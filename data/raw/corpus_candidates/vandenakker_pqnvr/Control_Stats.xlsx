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vdnakker\Google Drive\PhD\E2\Preregistration\OSF\Preregs vs. Papers\NA Mystery\"/>
    </mc:Choice>
  </mc:AlternateContent>
  <xr:revisionPtr revIDLastSave="0" documentId="13_ncr:1_{4641F74E-EC52-4929-950F-A192D5A28E2D}" xr6:coauthVersionLast="47" xr6:coauthVersionMax="47" xr10:uidLastSave="{00000000-0000-0000-0000-000000000000}"/>
  <bookViews>
    <workbookView xWindow="-120" yWindow="-120" windowWidth="29040" windowHeight="15840" xr2:uid="{9ADF650E-9FEF-416F-8D9C-FA8C2C431A0A}"/>
  </bookViews>
  <sheets>
    <sheet name="Sheet1" sheetId="2" r:id="rId1"/>
  </sheets>
  <definedNames>
    <definedName name="ExternalData_1" localSheetId="0" hidden="1">Sheet1!#REF!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J2268" i="2" l="1"/>
  <c r="J2269" i="2"/>
  <c r="J2270" i="2"/>
  <c r="J2271" i="2"/>
  <c r="J2272" i="2"/>
  <c r="J2273" i="2"/>
  <c r="N2257" i="2"/>
  <c r="N2256" i="2"/>
  <c r="N2255" i="2"/>
  <c r="N2254" i="2"/>
  <c r="J2253" i="2"/>
  <c r="J2254" i="2"/>
  <c r="J2255" i="2"/>
  <c r="J2256" i="2"/>
  <c r="J2257" i="2"/>
  <c r="J2252" i="2"/>
  <c r="J961" i="2"/>
  <c r="J962" i="2"/>
  <c r="J963" i="2"/>
  <c r="J964" i="2"/>
  <c r="J965" i="2"/>
  <c r="J966" i="2"/>
  <c r="J967" i="2"/>
  <c r="J956" i="2"/>
  <c r="J719" i="2"/>
  <c r="J720" i="2"/>
  <c r="J716" i="2"/>
  <c r="J717" i="2"/>
  <c r="J718" i="2"/>
  <c r="J721" i="2"/>
  <c r="J714" i="2"/>
  <c r="J402" i="2"/>
  <c r="J403" i="2"/>
  <c r="J404" i="2"/>
  <c r="J405" i="2"/>
  <c r="J406" i="2"/>
  <c r="J180" i="2"/>
  <c r="J181" i="2"/>
  <c r="J182" i="2"/>
  <c r="J183" i="2"/>
  <c r="J184" i="2"/>
  <c r="J185" i="2"/>
  <c r="J179" i="2"/>
  <c r="J178" i="2"/>
  <c r="J1942" i="2" l="1"/>
  <c r="N614" i="2"/>
  <c r="N615" i="2"/>
  <c r="N214" i="2"/>
  <c r="N213" i="2"/>
  <c r="N216" i="2"/>
  <c r="N217" i="2"/>
  <c r="N218" i="2"/>
  <c r="N219" i="2"/>
  <c r="N220" i="2"/>
  <c r="N221" i="2"/>
  <c r="N222" i="2"/>
  <c r="N223" i="2"/>
  <c r="N224" i="2"/>
  <c r="N225" i="2"/>
  <c r="N226" i="2"/>
  <c r="N227" i="2"/>
  <c r="N228" i="2"/>
  <c r="N229" i="2"/>
  <c r="N230" i="2"/>
  <c r="N231" i="2"/>
  <c r="N232" i="2"/>
  <c r="N233" i="2"/>
  <c r="N234" i="2"/>
  <c r="N235" i="2"/>
  <c r="N236" i="2"/>
  <c r="N237" i="2"/>
  <c r="N241" i="2"/>
  <c r="N242" i="2"/>
  <c r="N243" i="2"/>
  <c r="N244" i="2"/>
  <c r="N245" i="2"/>
  <c r="N247" i="2"/>
  <c r="N248" i="2"/>
  <c r="N250" i="2"/>
  <c r="N251" i="2"/>
  <c r="N253" i="2"/>
  <c r="N254" i="2"/>
  <c r="N256" i="2"/>
  <c r="N257" i="2"/>
  <c r="N258" i="2"/>
  <c r="N260" i="2"/>
  <c r="N261" i="2"/>
  <c r="N264" i="2"/>
  <c r="N294" i="2"/>
  <c r="N295" i="2"/>
  <c r="N296" i="2"/>
  <c r="N297" i="2"/>
  <c r="N298" i="2"/>
  <c r="N299" i="2"/>
  <c r="N300" i="2"/>
  <c r="N301" i="2"/>
  <c r="N302" i="2"/>
  <c r="N305" i="2"/>
  <c r="N306" i="2"/>
  <c r="N307" i="2"/>
  <c r="N308" i="2"/>
  <c r="N309" i="2"/>
  <c r="N311" i="2"/>
  <c r="N312" i="2"/>
  <c r="N313" i="2"/>
  <c r="N319" i="2"/>
  <c r="N320" i="2"/>
  <c r="N323" i="2"/>
  <c r="N324" i="2"/>
  <c r="N325" i="2"/>
  <c r="N326" i="2"/>
  <c r="N340" i="2"/>
  <c r="N341" i="2"/>
  <c r="N342" i="2"/>
  <c r="N348" i="2"/>
  <c r="N367" i="2"/>
  <c r="N368" i="2"/>
  <c r="N369" i="2"/>
  <c r="N377" i="2"/>
  <c r="N379" i="2"/>
  <c r="N380" i="2"/>
  <c r="N384" i="2"/>
  <c r="N385" i="2"/>
  <c r="N386" i="2"/>
  <c r="N387" i="2"/>
  <c r="N388" i="2"/>
  <c r="N390" i="2"/>
  <c r="N407" i="2"/>
  <c r="N408" i="2"/>
  <c r="N409" i="2"/>
  <c r="N410" i="2"/>
  <c r="N411" i="2"/>
  <c r="N412" i="2"/>
  <c r="N413" i="2"/>
  <c r="N414" i="2"/>
  <c r="N416" i="2"/>
  <c r="N417" i="2"/>
  <c r="N418" i="2"/>
  <c r="N419" i="2"/>
  <c r="N420" i="2"/>
  <c r="N421" i="2"/>
  <c r="N422" i="2"/>
  <c r="N423" i="2"/>
  <c r="N424" i="2"/>
  <c r="N425" i="2"/>
  <c r="N426" i="2"/>
  <c r="N427" i="2"/>
  <c r="N428" i="2"/>
  <c r="N429" i="2"/>
  <c r="N430" i="2"/>
  <c r="N431" i="2"/>
  <c r="N432" i="2"/>
  <c r="N433" i="2"/>
  <c r="N434" i="2"/>
  <c r="N435" i="2"/>
  <c r="N436" i="2"/>
  <c r="N439" i="2"/>
  <c r="N440" i="2"/>
  <c r="N441" i="2"/>
  <c r="N442" i="2"/>
  <c r="N443" i="2"/>
  <c r="N444" i="2"/>
  <c r="N445" i="2"/>
  <c r="N446" i="2"/>
  <c r="N447" i="2"/>
  <c r="N448" i="2"/>
  <c r="N449" i="2"/>
  <c r="N450" i="2"/>
  <c r="N451" i="2"/>
  <c r="N452" i="2"/>
  <c r="N453" i="2"/>
  <c r="N454" i="2"/>
  <c r="N468" i="2"/>
  <c r="N469" i="2"/>
  <c r="N470" i="2"/>
  <c r="N472" i="2"/>
  <c r="N473" i="2"/>
  <c r="N474" i="2"/>
  <c r="N475" i="2"/>
  <c r="N476" i="2"/>
  <c r="N552" i="2"/>
  <c r="N553" i="2"/>
  <c r="N554" i="2"/>
  <c r="N555" i="2"/>
  <c r="N556" i="2"/>
  <c r="N557" i="2"/>
  <c r="N558" i="2"/>
  <c r="N559" i="2"/>
  <c r="N560" i="2"/>
  <c r="N561" i="2"/>
  <c r="N562" i="2"/>
  <c r="N563" i="2"/>
  <c r="N564" i="2"/>
  <c r="N567" i="2"/>
  <c r="N568" i="2"/>
  <c r="N569" i="2"/>
  <c r="N570" i="2"/>
  <c r="N571" i="2"/>
  <c r="N572" i="2"/>
  <c r="N573" i="2"/>
  <c r="N574" i="2"/>
  <c r="N575" i="2"/>
  <c r="N576" i="2"/>
  <c r="N589" i="2"/>
  <c r="N590" i="2"/>
  <c r="N591" i="2"/>
  <c r="N592" i="2"/>
  <c r="N593" i="2"/>
  <c r="N594" i="2"/>
  <c r="N595" i="2"/>
  <c r="N596" i="2"/>
  <c r="N597" i="2"/>
  <c r="N598" i="2"/>
  <c r="N599" i="2"/>
  <c r="N600" i="2"/>
  <c r="N601" i="2"/>
  <c r="N621" i="2"/>
  <c r="N623" i="2"/>
  <c r="N631" i="2"/>
  <c r="N632" i="2"/>
  <c r="N633" i="2"/>
  <c r="N638" i="2"/>
  <c r="N639" i="2"/>
  <c r="N640" i="2"/>
  <c r="N641" i="2"/>
  <c r="N645" i="2"/>
  <c r="N646" i="2"/>
  <c r="N647" i="2"/>
  <c r="N649" i="2"/>
  <c r="N669" i="2"/>
  <c r="N670" i="2"/>
  <c r="N671" i="2"/>
  <c r="N674" i="2"/>
  <c r="N675" i="2"/>
  <c r="N676" i="2"/>
  <c r="N678" i="2"/>
  <c r="N679" i="2"/>
  <c r="N695" i="2"/>
  <c r="N696" i="2"/>
  <c r="N697" i="2"/>
  <c r="N698" i="2"/>
  <c r="N740" i="2"/>
  <c r="N741" i="2"/>
  <c r="N742" i="2"/>
  <c r="N743" i="2"/>
  <c r="N744" i="2"/>
  <c r="N745" i="2"/>
  <c r="N746" i="2"/>
  <c r="N747" i="2"/>
  <c r="N748" i="2"/>
  <c r="N749" i="2"/>
  <c r="N763" i="2"/>
  <c r="N764" i="2"/>
  <c r="N765" i="2"/>
  <c r="N772" i="2"/>
  <c r="N773" i="2"/>
  <c r="N774" i="2"/>
  <c r="N775" i="2"/>
  <c r="N776" i="2"/>
  <c r="N777" i="2"/>
  <c r="N778" i="2"/>
  <c r="N779" i="2"/>
  <c r="N780" i="2"/>
  <c r="N781" i="2"/>
  <c r="N782" i="2"/>
  <c r="N783" i="2"/>
  <c r="N784" i="2"/>
  <c r="N787" i="2"/>
  <c r="N788" i="2"/>
  <c r="N789" i="2"/>
  <c r="N790" i="2"/>
  <c r="N792" i="2"/>
  <c r="N793" i="2"/>
  <c r="N794" i="2"/>
  <c r="N795" i="2"/>
  <c r="N796" i="2"/>
  <c r="N797" i="2"/>
  <c r="N798" i="2"/>
  <c r="N799" i="2"/>
  <c r="N800" i="2"/>
  <c r="N801" i="2"/>
  <c r="N827" i="2"/>
  <c r="N828" i="2"/>
  <c r="N829" i="2"/>
  <c r="N830" i="2"/>
  <c r="N831" i="2"/>
  <c r="N832" i="2"/>
  <c r="N833" i="2"/>
  <c r="N834" i="2"/>
  <c r="N846" i="2"/>
  <c r="N868" i="2"/>
  <c r="N869" i="2"/>
  <c r="N870" i="2"/>
  <c r="N871" i="2"/>
  <c r="N872" i="2"/>
  <c r="N873" i="2"/>
  <c r="N875" i="2"/>
  <c r="N876" i="2"/>
  <c r="N877" i="2"/>
  <c r="N878" i="2"/>
  <c r="N879" i="2"/>
  <c r="N880" i="2"/>
  <c r="N881" i="2"/>
  <c r="N882" i="2"/>
  <c r="N883" i="2"/>
  <c r="N884" i="2"/>
  <c r="N885" i="2"/>
  <c r="N886" i="2"/>
  <c r="N906" i="2"/>
  <c r="N910" i="2"/>
  <c r="N916" i="2"/>
  <c r="N917" i="2"/>
  <c r="N918" i="2"/>
  <c r="N919" i="2"/>
  <c r="N920" i="2"/>
  <c r="N921" i="2"/>
  <c r="N922" i="2"/>
  <c r="N925" i="2"/>
  <c r="N934" i="2"/>
  <c r="N935" i="2"/>
  <c r="N943" i="2"/>
  <c r="N947" i="2"/>
  <c r="N954" i="2"/>
  <c r="N955" i="2"/>
  <c r="N975" i="2"/>
  <c r="N976" i="2"/>
  <c r="N977" i="2"/>
  <c r="N978" i="2"/>
  <c r="N979" i="2"/>
  <c r="N980" i="2"/>
  <c r="N981" i="2"/>
  <c r="N982" i="2"/>
  <c r="N983" i="2"/>
  <c r="N985" i="2"/>
  <c r="N986" i="2"/>
  <c r="N987" i="2"/>
  <c r="N988" i="2"/>
  <c r="N989" i="2"/>
  <c r="N990" i="2"/>
  <c r="N991" i="2"/>
  <c r="N992" i="2"/>
  <c r="N993" i="2"/>
  <c r="N994" i="2"/>
  <c r="N995" i="2"/>
  <c r="N996" i="2"/>
  <c r="N997" i="2"/>
  <c r="N998"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53" i="2"/>
  <c r="N1054" i="2"/>
  <c r="N1056" i="2"/>
  <c r="N1057" i="2"/>
  <c r="N1148" i="2"/>
  <c r="N1154" i="2"/>
  <c r="N1155" i="2"/>
  <c r="N1156" i="2"/>
  <c r="N1159" i="2"/>
  <c r="N1197" i="2"/>
  <c r="N1201" i="2"/>
  <c r="N1202" i="2"/>
  <c r="N1206" i="2"/>
  <c r="N1207" i="2"/>
  <c r="N1212" i="2"/>
  <c r="N1217" i="2"/>
  <c r="N1218" i="2"/>
  <c r="N1221" i="2"/>
  <c r="N1223" i="2"/>
  <c r="N1224" i="2"/>
  <c r="N1225" i="2"/>
  <c r="N1226" i="2"/>
  <c r="N1227" i="2"/>
  <c r="N1228" i="2"/>
  <c r="N1229" i="2"/>
  <c r="N1230" i="2"/>
  <c r="N1231" i="2"/>
  <c r="N1232" i="2"/>
  <c r="N1233" i="2"/>
  <c r="N1238" i="2"/>
  <c r="N1239" i="2"/>
  <c r="N1240" i="2"/>
  <c r="N1241" i="2"/>
  <c r="N1242" i="2"/>
  <c r="N1243" i="2"/>
  <c r="N1244" i="2"/>
  <c r="N1245" i="2"/>
  <c r="N1261" i="2"/>
  <c r="N1335" i="2"/>
  <c r="N1338" i="2"/>
  <c r="N1381" i="2"/>
  <c r="N1382" i="2"/>
  <c r="N1383" i="2"/>
  <c r="N1384" i="2"/>
  <c r="N1477" i="2"/>
  <c r="N1479" i="2"/>
  <c r="N1480" i="2"/>
  <c r="N1481" i="2"/>
  <c r="N1482" i="2"/>
  <c r="N1489" i="2"/>
  <c r="N1490" i="2"/>
  <c r="N1493" i="2"/>
  <c r="N1494" i="2"/>
  <c r="N1495" i="2"/>
  <c r="N1500" i="2"/>
  <c r="N1501" i="2"/>
  <c r="N1502" i="2"/>
  <c r="N1510" i="2"/>
  <c r="N1514" i="2"/>
  <c r="N1515" i="2"/>
  <c r="N1516" i="2"/>
  <c r="N1517" i="2"/>
  <c r="N1522" i="2"/>
  <c r="N1523" i="2"/>
  <c r="N1524" i="2"/>
  <c r="N1525" i="2"/>
  <c r="N1526" i="2"/>
  <c r="N1527" i="2"/>
  <c r="N1530" i="2"/>
  <c r="N1536" i="2"/>
  <c r="N1537" i="2"/>
  <c r="N1538" i="2"/>
  <c r="N1539" i="2"/>
  <c r="N1544" i="2"/>
  <c r="N1545" i="2"/>
  <c r="N1546" i="2"/>
  <c r="N1547" i="2"/>
  <c r="N1548" i="2"/>
  <c r="N1549" i="2"/>
  <c r="N1550" i="2"/>
  <c r="N1551" i="2"/>
  <c r="N1556" i="2"/>
  <c r="N1560" i="2"/>
  <c r="N1565" i="2"/>
  <c r="N1570" i="2"/>
  <c r="N1575" i="2"/>
  <c r="N1577" i="2"/>
  <c r="N1578" i="2"/>
  <c r="N1579" i="2"/>
  <c r="N1580" i="2"/>
  <c r="N1581" i="2"/>
  <c r="N1582" i="2"/>
  <c r="N1583" i="2"/>
  <c r="N1584" i="2"/>
  <c r="N1585" i="2"/>
  <c r="N1586" i="2"/>
  <c r="N1587" i="2"/>
  <c r="N1593" i="2"/>
  <c r="N1594" i="2"/>
  <c r="N1595" i="2"/>
  <c r="N1596" i="2"/>
  <c r="N1598" i="2"/>
  <c r="N1600" i="2"/>
  <c r="N1601" i="2"/>
  <c r="N1602" i="2"/>
  <c r="N1607" i="2"/>
  <c r="N1608" i="2"/>
  <c r="N1619" i="2"/>
  <c r="N1620" i="2"/>
  <c r="N1621" i="2"/>
  <c r="N1639" i="2"/>
  <c r="N1643" i="2"/>
  <c r="N1644" i="2"/>
  <c r="N1645" i="2"/>
  <c r="N1646" i="2"/>
  <c r="N1647" i="2"/>
  <c r="N1648" i="2"/>
  <c r="N1649" i="2"/>
  <c r="N1650" i="2"/>
  <c r="N1651" i="2"/>
  <c r="N1652" i="2"/>
  <c r="N1653" i="2"/>
  <c r="N1654" i="2"/>
  <c r="N1655" i="2"/>
  <c r="N1656" i="2"/>
  <c r="N1657" i="2"/>
  <c r="N1658" i="2"/>
  <c r="N1662" i="2"/>
  <c r="N1663" i="2"/>
  <c r="N1664" i="2"/>
  <c r="N1669" i="2"/>
  <c r="N1674" i="2"/>
  <c r="N1681" i="2"/>
  <c r="N1684" i="2"/>
  <c r="N1704" i="2"/>
  <c r="N1705" i="2"/>
  <c r="N1706" i="2"/>
  <c r="N1707" i="2"/>
  <c r="N1708" i="2"/>
  <c r="N1709" i="2"/>
  <c r="N1710" i="2"/>
  <c r="N1711" i="2"/>
  <c r="N1712" i="2"/>
  <c r="N1713" i="2"/>
  <c r="N1714" i="2"/>
  <c r="N1715" i="2"/>
  <c r="N1716" i="2"/>
  <c r="N1717" i="2"/>
  <c r="N1718" i="2"/>
  <c r="N1719" i="2"/>
  <c r="N1722" i="2"/>
  <c r="N1724" i="2"/>
  <c r="N1725" i="2"/>
  <c r="N1737" i="2"/>
  <c r="N1739" i="2"/>
  <c r="N1749" i="2"/>
  <c r="N1750" i="2"/>
  <c r="N1754" i="2"/>
  <c r="N1755" i="2"/>
  <c r="N1767" i="2"/>
  <c r="N1768" i="2"/>
  <c r="N1769" i="2"/>
  <c r="N1770" i="2"/>
  <c r="N1771" i="2"/>
  <c r="N1774" i="2"/>
  <c r="N1775" i="2"/>
  <c r="N1776" i="2"/>
  <c r="N1777" i="2"/>
  <c r="N1778" i="2"/>
  <c r="N1779" i="2"/>
  <c r="N1780" i="2"/>
  <c r="N1781" i="2"/>
  <c r="N1782" i="2"/>
  <c r="N1783" i="2"/>
  <c r="N1784" i="2"/>
  <c r="N1785" i="2"/>
  <c r="N1786" i="2"/>
  <c r="N1787" i="2"/>
  <c r="N1788" i="2"/>
  <c r="N1790" i="2"/>
  <c r="N1791" i="2"/>
  <c r="N1794" i="2"/>
  <c r="N1795" i="2"/>
  <c r="N1797" i="2"/>
  <c r="N1798" i="2"/>
  <c r="N1799" i="2"/>
  <c r="N1806" i="2"/>
  <c r="N1807" i="2"/>
  <c r="N1808" i="2"/>
  <c r="N1812" i="2"/>
  <c r="N1813" i="2"/>
  <c r="N1815" i="2"/>
  <c r="N1817" i="2"/>
  <c r="N1819" i="2"/>
  <c r="N1820" i="2"/>
  <c r="N1821" i="2"/>
  <c r="N1823" i="2"/>
  <c r="N1824" i="2"/>
  <c r="N1825" i="2"/>
  <c r="N1826" i="2"/>
  <c r="N1827" i="2"/>
  <c r="N1828" i="2"/>
  <c r="N1829" i="2"/>
  <c r="N1830" i="2"/>
  <c r="N1831" i="2"/>
  <c r="N1832" i="2"/>
  <c r="N1894" i="2"/>
  <c r="N1895" i="2"/>
  <c r="N1896" i="2"/>
  <c r="N1897" i="2"/>
  <c r="N1898" i="2"/>
  <c r="N1899" i="2"/>
  <c r="N1900" i="2"/>
  <c r="N1901" i="2"/>
  <c r="N1909" i="2"/>
  <c r="N1910" i="2"/>
  <c r="N1930" i="2"/>
  <c r="N1931" i="2"/>
  <c r="N1932" i="2"/>
  <c r="N1943" i="2"/>
  <c r="N1944" i="2"/>
  <c r="N1945" i="2"/>
  <c r="N1955" i="2"/>
  <c r="N1956" i="2"/>
  <c r="N1964" i="2"/>
  <c r="N1966" i="2"/>
  <c r="N1997" i="2"/>
  <c r="N1998" i="2"/>
  <c r="N1999" i="2"/>
  <c r="N2001" i="2"/>
  <c r="N2002" i="2"/>
  <c r="N2003" i="2"/>
  <c r="N2006" i="2"/>
  <c r="N200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54" i="2"/>
  <c r="N2055" i="2"/>
  <c r="N2060" i="2"/>
  <c r="N2061" i="2"/>
  <c r="N2062" i="2"/>
  <c r="N2063" i="2"/>
  <c r="N2064" i="2"/>
  <c r="N2065" i="2"/>
  <c r="N2066" i="2"/>
  <c r="N2095" i="2"/>
  <c r="N2102" i="2"/>
  <c r="N2103" i="2"/>
  <c r="N2111" i="2"/>
  <c r="N2112" i="2"/>
  <c r="N2113" i="2"/>
  <c r="N2114" i="2"/>
  <c r="N2145" i="2"/>
  <c r="N2146" i="2"/>
  <c r="N2147" i="2"/>
  <c r="N2148" i="2"/>
  <c r="N2151" i="2"/>
  <c r="N2152" i="2"/>
  <c r="N2153" i="2"/>
  <c r="N2158" i="2"/>
  <c r="N2159" i="2"/>
  <c r="N2160" i="2"/>
  <c r="N2161" i="2"/>
  <c r="N2167" i="2"/>
  <c r="N2168" i="2"/>
  <c r="N2169" i="2"/>
  <c r="N2174" i="2"/>
  <c r="N2175" i="2"/>
  <c r="N2176" i="2"/>
  <c r="N2177" i="2"/>
  <c r="N2178" i="2"/>
  <c r="N2179" i="2"/>
  <c r="N2180" i="2"/>
  <c r="N2181" i="2"/>
  <c r="N2182" i="2"/>
  <c r="N2212" i="2"/>
  <c r="N2213" i="2"/>
  <c r="N2214" i="2"/>
  <c r="N2215" i="2"/>
  <c r="N2216" i="2"/>
  <c r="N2217" i="2"/>
  <c r="N2219" i="2"/>
  <c r="N2220" i="2"/>
  <c r="N2222" i="2"/>
  <c r="N2223" i="2"/>
  <c r="N2224" i="2"/>
  <c r="N2225" i="2"/>
  <c r="N2226" i="2"/>
  <c r="N2227" i="2"/>
  <c r="N2228" i="2"/>
  <c r="N2229" i="2"/>
  <c r="N2230" i="2"/>
  <c r="N2231" i="2"/>
  <c r="N2232" i="2"/>
  <c r="N2233" i="2"/>
  <c r="N2234" i="2"/>
  <c r="N2235" i="2"/>
  <c r="N2236" i="2"/>
  <c r="N2238" i="2"/>
  <c r="N2239" i="2"/>
  <c r="N2240" i="2"/>
  <c r="N2241" i="2"/>
  <c r="N2242" i="2"/>
  <c r="N2243" i="2"/>
  <c r="N2244" i="2"/>
  <c r="N2245" i="2"/>
  <c r="N2246" i="2"/>
  <c r="N2247" i="2"/>
  <c r="N2248" i="2"/>
  <c r="N2249" i="2"/>
  <c r="N2250" i="2"/>
  <c r="N2251" i="2"/>
  <c r="N2264" i="2"/>
  <c r="N2265" i="2"/>
  <c r="N2266" i="2"/>
  <c r="N2267" i="2"/>
  <c r="N2277" i="2"/>
  <c r="N2278" i="2"/>
  <c r="N2279" i="2"/>
  <c r="N2280" i="2"/>
  <c r="N2281" i="2"/>
  <c r="N2282" i="2"/>
  <c r="N2283" i="2"/>
  <c r="N2284" i="2"/>
  <c r="N2285" i="2"/>
  <c r="N2286" i="2"/>
  <c r="N2287" i="2"/>
  <c r="N2288" i="2"/>
  <c r="N2289" i="2"/>
  <c r="N2293" i="2"/>
  <c r="N2307" i="2"/>
  <c r="N2308" i="2"/>
  <c r="N2315" i="2"/>
  <c r="N2316" i="2"/>
  <c r="N2317" i="2"/>
  <c r="N2318" i="2"/>
  <c r="N2353" i="2"/>
  <c r="J422" i="2" l="1"/>
  <c r="J442" i="2"/>
  <c r="J451" i="2"/>
  <c r="J452" i="2"/>
  <c r="J419" i="2"/>
  <c r="J115" i="2"/>
  <c r="J1038" i="2" l="1"/>
  <c r="J1039" i="2"/>
  <c r="J1040" i="2"/>
  <c r="J1041" i="2"/>
  <c r="J1042" i="2"/>
  <c r="J1043" i="2"/>
  <c r="J1044" i="2"/>
  <c r="J1045" i="2"/>
  <c r="J1046" i="2"/>
  <c r="J1047" i="2"/>
  <c r="J1048" i="2"/>
  <c r="J1049" i="2"/>
  <c r="J1051" i="2"/>
  <c r="J1659" i="2" l="1"/>
  <c r="J1664" i="2"/>
  <c r="J1663" i="2"/>
  <c r="J1662" i="2"/>
  <c r="J1661" i="2"/>
  <c r="J1669" i="2"/>
  <c r="J1239" i="2"/>
  <c r="J1240" i="2"/>
  <c r="J1241" i="2"/>
  <c r="J1242" i="2"/>
  <c r="J1243" i="2"/>
  <c r="J1244" i="2"/>
  <c r="J1245" i="2"/>
  <c r="J1238" i="2"/>
  <c r="J1233" i="2"/>
  <c r="J1199" i="2"/>
  <c r="J1200" i="2"/>
  <c r="J722" i="2"/>
  <c r="J723" i="2"/>
  <c r="J724" i="2"/>
  <c r="J725" i="2"/>
  <c r="J726" i="2"/>
  <c r="J727" i="2"/>
  <c r="J728" i="2"/>
  <c r="J729" i="2"/>
  <c r="J730" i="2"/>
  <c r="J731" i="2"/>
  <c r="J732" i="2"/>
  <c r="J733" i="2"/>
  <c r="J734" i="2"/>
  <c r="J735" i="2"/>
  <c r="J736" i="2"/>
  <c r="J737" i="2"/>
  <c r="J738" i="2"/>
  <c r="J739" i="2"/>
  <c r="J515" i="2"/>
  <c r="J516" i="2"/>
  <c r="J121" i="2" l="1"/>
  <c r="J897" i="2" l="1"/>
  <c r="J896" i="2"/>
  <c r="J895" i="2"/>
  <c r="J894" i="2"/>
  <c r="J893" i="2"/>
  <c r="J892" i="2"/>
  <c r="J891" i="2"/>
  <c r="J890" i="2"/>
  <c r="J889" i="2"/>
  <c r="J888" i="2"/>
  <c r="J887" i="2"/>
  <c r="J824" i="2"/>
  <c r="J823" i="2"/>
  <c r="J822" i="2"/>
  <c r="J821" i="2"/>
  <c r="J820" i="2"/>
  <c r="J819" i="2"/>
  <c r="J818" i="2"/>
  <c r="J817" i="2"/>
  <c r="J816" i="2"/>
  <c r="J815" i="2"/>
  <c r="J814" i="2"/>
  <c r="J813" i="2"/>
  <c r="J812" i="2"/>
  <c r="J811" i="2"/>
  <c r="J810" i="2"/>
  <c r="J809" i="2"/>
  <c r="J765" i="2"/>
  <c r="J764" i="2"/>
  <c r="J763" i="2"/>
  <c r="J762" i="2"/>
  <c r="J711" i="2"/>
  <c r="J710" i="2"/>
  <c r="J709" i="2"/>
  <c r="J708" i="2"/>
  <c r="J707" i="2"/>
  <c r="J706" i="2"/>
  <c r="J705" i="2"/>
  <c r="J704" i="2"/>
  <c r="J624" i="2"/>
  <c r="J623" i="2"/>
  <c r="J622" i="2"/>
  <c r="J621" i="2"/>
  <c r="J620" i="2"/>
  <c r="J619" i="2"/>
  <c r="J618" i="2"/>
  <c r="J617" i="2"/>
  <c r="J616" i="2"/>
  <c r="J339" i="2"/>
  <c r="J338" i="2"/>
  <c r="J337" i="2"/>
  <c r="J336" i="2"/>
  <c r="J335" i="2"/>
  <c r="J334" i="2"/>
  <c r="J333" i="2"/>
  <c r="J100" i="2"/>
  <c r="J99" i="2"/>
  <c r="J98" i="2"/>
  <c r="J97" i="2"/>
  <c r="J96" i="2"/>
  <c r="J95" i="2"/>
  <c r="J94" i="2"/>
  <c r="J93" i="2"/>
  <c r="J92" i="2"/>
  <c r="J91" i="2"/>
  <c r="J90" i="2"/>
  <c r="J89" i="2"/>
  <c r="J88" i="2"/>
  <c r="J87" i="2"/>
  <c r="J86" i="2"/>
  <c r="J85" i="2"/>
  <c r="J84" i="2"/>
  <c r="J62" i="2"/>
  <c r="J61" i="2"/>
  <c r="J60" i="2"/>
  <c r="J59" i="2"/>
  <c r="J58" i="2"/>
  <c r="J57" i="2"/>
  <c r="J56" i="2"/>
  <c r="J55" i="2"/>
  <c r="J54" i="2"/>
  <c r="J53" i="2"/>
  <c r="J52" i="2"/>
  <c r="J51" i="2"/>
  <c r="J50" i="2"/>
  <c r="J49" i="2"/>
  <c r="J48" i="2"/>
  <c r="J15" i="2"/>
  <c r="J14" i="2"/>
  <c r="J2319" i="2"/>
  <c r="J2293" i="2"/>
  <c r="J2170" i="2"/>
  <c r="J2169" i="2"/>
  <c r="J2168" i="2"/>
  <c r="J2167" i="2"/>
  <c r="J1384" i="2"/>
  <c r="J1383" i="2"/>
  <c r="J1382" i="2"/>
  <c r="J1381" i="2"/>
  <c r="J1232" i="2"/>
  <c r="J1231" i="2"/>
  <c r="J1230" i="2"/>
  <c r="J1229" i="2"/>
  <c r="J1228" i="2"/>
  <c r="J1227" i="2"/>
  <c r="J1226" i="2"/>
  <c r="J1225" i="2"/>
  <c r="J1224" i="2"/>
  <c r="J1223" i="2"/>
  <c r="J1222" i="2"/>
  <c r="J1221" i="2"/>
  <c r="J1220" i="2"/>
  <c r="J1219" i="2"/>
  <c r="J1218" i="2"/>
  <c r="J1217" i="2"/>
  <c r="J1157" i="2"/>
  <c r="J1156" i="2"/>
  <c r="J1155" i="2"/>
  <c r="J1154" i="2"/>
  <c r="J2022" i="2" l="1"/>
  <c r="J973" i="2"/>
  <c r="J279" i="2"/>
  <c r="J5" i="2"/>
  <c r="J6" i="2"/>
  <c r="J7" i="2"/>
  <c r="J8" i="2"/>
  <c r="J9" i="2"/>
  <c r="J10" i="2"/>
  <c r="J11" i="2"/>
  <c r="J12" i="2"/>
  <c r="J13"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63" i="2"/>
  <c r="J64" i="2"/>
  <c r="J65" i="2"/>
  <c r="J66" i="2"/>
  <c r="J67" i="2"/>
  <c r="J68" i="2"/>
  <c r="J69" i="2"/>
  <c r="J70" i="2"/>
  <c r="J71" i="2"/>
  <c r="J72" i="2"/>
  <c r="J73" i="2"/>
  <c r="J74" i="2"/>
  <c r="J75" i="2"/>
  <c r="J76" i="2"/>
  <c r="J77" i="2"/>
  <c r="J78" i="2"/>
  <c r="J79" i="2"/>
  <c r="J80" i="2"/>
  <c r="J81" i="2"/>
  <c r="J82" i="2"/>
  <c r="J83" i="2"/>
  <c r="J109" i="2"/>
  <c r="J110" i="2"/>
  <c r="J111" i="2"/>
  <c r="J112" i="2"/>
  <c r="J114" i="2"/>
  <c r="J116" i="2"/>
  <c r="J117" i="2"/>
  <c r="J118" i="2"/>
  <c r="J119" i="2"/>
  <c r="J120" i="2"/>
  <c r="J122" i="2"/>
  <c r="J123" i="2"/>
  <c r="J124" i="2"/>
  <c r="J125" i="2"/>
  <c r="J126" i="2"/>
  <c r="J127" i="2"/>
  <c r="J128" i="2"/>
  <c r="J129" i="2"/>
  <c r="J13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9" i="2"/>
  <c r="J320" i="2"/>
  <c r="J323" i="2"/>
  <c r="J324" i="2"/>
  <c r="J325" i="2"/>
  <c r="J326" i="2"/>
  <c r="J327" i="2"/>
  <c r="J328" i="2"/>
  <c r="J329" i="2"/>
  <c r="J330" i="2"/>
  <c r="J331" i="2"/>
  <c r="J332"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4" i="2"/>
  <c r="J385" i="2"/>
  <c r="J386" i="2"/>
  <c r="J387" i="2"/>
  <c r="J388" i="2"/>
  <c r="J389" i="2"/>
  <c r="J390" i="2"/>
  <c r="J391" i="2"/>
  <c r="J392" i="2"/>
  <c r="J393" i="2"/>
  <c r="J394" i="2"/>
  <c r="J395" i="2"/>
  <c r="J396" i="2"/>
  <c r="J397" i="2"/>
  <c r="J398" i="2"/>
  <c r="J399" i="2"/>
  <c r="J400" i="2"/>
  <c r="J401" i="2"/>
  <c r="J407" i="2"/>
  <c r="J408" i="2"/>
  <c r="J409" i="2"/>
  <c r="J410" i="2"/>
  <c r="J411" i="2"/>
  <c r="J412" i="2"/>
  <c r="J413" i="2"/>
  <c r="J414" i="2"/>
  <c r="J415" i="2"/>
  <c r="J416" i="2"/>
  <c r="J417" i="2"/>
  <c r="J418" i="2"/>
  <c r="J420" i="2"/>
  <c r="J421" i="2"/>
  <c r="J423" i="2"/>
  <c r="J424" i="2"/>
  <c r="J425" i="2"/>
  <c r="J426" i="2"/>
  <c r="J427" i="2"/>
  <c r="J428" i="2"/>
  <c r="J429" i="2"/>
  <c r="J430" i="2"/>
  <c r="J431" i="2"/>
  <c r="J432" i="2"/>
  <c r="J433" i="2"/>
  <c r="J434" i="2"/>
  <c r="J435" i="2"/>
  <c r="J436" i="2"/>
  <c r="J437" i="2"/>
  <c r="J438" i="2"/>
  <c r="J439" i="2"/>
  <c r="J440" i="2"/>
  <c r="J441" i="2"/>
  <c r="J443" i="2"/>
  <c r="J444" i="2"/>
  <c r="J445" i="2"/>
  <c r="J446" i="2"/>
  <c r="J447" i="2"/>
  <c r="J448" i="2"/>
  <c r="J449" i="2"/>
  <c r="J450" i="2"/>
  <c r="J453" i="2"/>
  <c r="J454" i="2"/>
  <c r="J456" i="2"/>
  <c r="J457" i="2"/>
  <c r="J463" i="2"/>
  <c r="J464" i="2"/>
  <c r="J465" i="2"/>
  <c r="J466" i="2"/>
  <c r="J467" i="2"/>
  <c r="J468" i="2"/>
  <c r="J469" i="2"/>
  <c r="J470" i="2"/>
  <c r="J471" i="2"/>
  <c r="J472" i="2"/>
  <c r="J473" i="2"/>
  <c r="J474" i="2"/>
  <c r="J475" i="2"/>
  <c r="J476" i="2"/>
  <c r="J477" i="2"/>
  <c r="J484" i="2"/>
  <c r="J485" i="2"/>
  <c r="J486" i="2"/>
  <c r="J487" i="2"/>
  <c r="J488" i="2"/>
  <c r="J489" i="2"/>
  <c r="J490" i="2"/>
  <c r="J491" i="2"/>
  <c r="J492" i="2"/>
  <c r="J493" i="2"/>
  <c r="J494" i="2"/>
  <c r="J495" i="2"/>
  <c r="J498" i="2"/>
  <c r="J499" i="2"/>
  <c r="J500" i="2"/>
  <c r="J501" i="2"/>
  <c r="J502" i="2"/>
  <c r="J503" i="2"/>
  <c r="J504" i="2"/>
  <c r="J505" i="2"/>
  <c r="J506" i="2"/>
  <c r="J507" i="2"/>
  <c r="J508" i="2"/>
  <c r="J509" i="2"/>
  <c r="J510" i="2"/>
  <c r="J511" i="2"/>
  <c r="J512" i="2"/>
  <c r="J513" i="2"/>
  <c r="J514"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89" i="2"/>
  <c r="J590" i="2"/>
  <c r="J591" i="2"/>
  <c r="J592" i="2"/>
  <c r="J593" i="2"/>
  <c r="J594" i="2"/>
  <c r="J595" i="2"/>
  <c r="J596" i="2"/>
  <c r="J597" i="2"/>
  <c r="J598" i="2"/>
  <c r="J599" i="2"/>
  <c r="J600" i="2"/>
  <c r="J601" i="2"/>
  <c r="J603" i="2"/>
  <c r="J604" i="2"/>
  <c r="J605" i="2"/>
  <c r="J606" i="2"/>
  <c r="J607" i="2"/>
  <c r="J608" i="2"/>
  <c r="J609" i="2"/>
  <c r="J612" i="2"/>
  <c r="J625" i="2"/>
  <c r="J626" i="2"/>
  <c r="J627" i="2"/>
  <c r="J628" i="2"/>
  <c r="J629" i="2"/>
  <c r="J630" i="2"/>
  <c r="J631" i="2"/>
  <c r="J632" i="2"/>
  <c r="J633" i="2"/>
  <c r="J638" i="2"/>
  <c r="J639" i="2"/>
  <c r="J640" i="2"/>
  <c r="J641" i="2"/>
  <c r="J642" i="2"/>
  <c r="J643" i="2"/>
  <c r="J644" i="2"/>
  <c r="J645" i="2"/>
  <c r="J646" i="2"/>
  <c r="J647" i="2"/>
  <c r="J648" i="2"/>
  <c r="J649" i="2"/>
  <c r="J650" i="2"/>
  <c r="J651" i="2"/>
  <c r="J652" i="2"/>
  <c r="J653" i="2"/>
  <c r="J654" i="2"/>
  <c r="J655" i="2"/>
  <c r="J656" i="2"/>
  <c r="J657" i="2"/>
  <c r="J658"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94" i="2"/>
  <c r="J695" i="2"/>
  <c r="J696" i="2"/>
  <c r="J697" i="2"/>
  <c r="J698" i="2"/>
  <c r="J699" i="2"/>
  <c r="J700" i="2"/>
  <c r="J701" i="2"/>
  <c r="J702" i="2"/>
  <c r="J703" i="2"/>
  <c r="J712" i="2"/>
  <c r="J713" i="2"/>
  <c r="J740" i="2"/>
  <c r="J741" i="2"/>
  <c r="J742" i="2"/>
  <c r="J743" i="2"/>
  <c r="J744" i="2"/>
  <c r="J745" i="2"/>
  <c r="J746" i="2"/>
  <c r="J747" i="2"/>
  <c r="J748" i="2"/>
  <c r="J749" i="2"/>
  <c r="J750" i="2"/>
  <c r="J751" i="2"/>
  <c r="J752" i="2"/>
  <c r="J753" i="2"/>
  <c r="J754" i="2"/>
  <c r="J755" i="2"/>
  <c r="J756" i="2"/>
  <c r="J757" i="2"/>
  <c r="J758" i="2"/>
  <c r="J759" i="2"/>
  <c r="J760" i="2"/>
  <c r="J761"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25" i="2"/>
  <c r="J826" i="2"/>
  <c r="J827" i="2"/>
  <c r="J828" i="2"/>
  <c r="J829" i="2"/>
  <c r="J830" i="2"/>
  <c r="J831" i="2"/>
  <c r="J832" i="2"/>
  <c r="J833" i="2"/>
  <c r="J834"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68" i="2"/>
  <c r="J969" i="2"/>
  <c r="J970" i="2"/>
  <c r="J971" i="2"/>
  <c r="J972"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53" i="2"/>
  <c r="J1054" i="2"/>
  <c r="J1056" i="2"/>
  <c r="J1057"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3" i="2"/>
  <c r="J1144" i="2"/>
  <c r="J1145" i="2"/>
  <c r="J1146" i="2"/>
  <c r="J1147" i="2"/>
  <c r="J1148" i="2"/>
  <c r="J1149" i="2"/>
  <c r="J1158" i="2"/>
  <c r="J1159" i="2"/>
  <c r="J1160" i="2"/>
  <c r="J1161" i="2"/>
  <c r="J1162" i="2"/>
  <c r="J1163" i="2"/>
  <c r="J1168" i="2"/>
  <c r="J1169" i="2"/>
  <c r="J1170" i="2"/>
  <c r="J1171" i="2"/>
  <c r="J1172" i="2"/>
  <c r="J1173" i="2"/>
  <c r="J1174" i="2"/>
  <c r="J1175" i="2"/>
  <c r="J1176" i="2"/>
  <c r="J1177" i="2"/>
  <c r="J1178" i="2"/>
  <c r="J1179" i="2"/>
  <c r="J1191" i="2"/>
  <c r="J1192" i="2"/>
  <c r="J1193" i="2"/>
  <c r="J1195" i="2"/>
  <c r="J1201" i="2"/>
  <c r="J1202" i="2"/>
  <c r="J1203" i="2"/>
  <c r="J1204" i="2"/>
  <c r="J1205" i="2"/>
  <c r="J1206" i="2"/>
  <c r="J1207" i="2"/>
  <c r="J1208" i="2"/>
  <c r="J1209" i="2"/>
  <c r="J1210" i="2"/>
  <c r="J1211" i="2"/>
  <c r="J1212" i="2"/>
  <c r="J1213" i="2"/>
  <c r="J1214" i="2"/>
  <c r="J1215" i="2"/>
  <c r="J1216" i="2"/>
  <c r="J1247" i="2"/>
  <c r="J1248" i="2"/>
  <c r="J1249" i="2"/>
  <c r="J1250" i="2"/>
  <c r="J1251" i="2"/>
  <c r="J1252" i="2"/>
  <c r="J1253" i="2"/>
  <c r="J1254" i="2"/>
  <c r="J1257" i="2"/>
  <c r="J1258" i="2"/>
  <c r="J1261" i="2"/>
  <c r="J1262" i="2"/>
  <c r="J1263" i="2"/>
  <c r="J1264" i="2"/>
  <c r="J1265" i="2"/>
  <c r="J1266" i="2"/>
  <c r="J1267" i="2"/>
  <c r="J1278" i="2"/>
  <c r="J1279" i="2"/>
  <c r="J1280" i="2"/>
  <c r="J1281" i="2"/>
  <c r="J1282" i="2"/>
  <c r="J1283" i="2"/>
  <c r="J1284" i="2"/>
  <c r="J1285" i="2"/>
  <c r="J1286" i="2"/>
  <c r="J1287" i="2"/>
  <c r="J1288"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9" i="2"/>
  <c r="J1320" i="2"/>
  <c r="J1321" i="2"/>
  <c r="J1322" i="2"/>
  <c r="J1323" i="2"/>
  <c r="J1324" i="2"/>
  <c r="J1325" i="2"/>
  <c r="J1326" i="2"/>
  <c r="J1327" i="2"/>
  <c r="J1328" i="2"/>
  <c r="J1329" i="2"/>
  <c r="J1330" i="2"/>
  <c r="J1331" i="2"/>
  <c r="J1333" i="2"/>
  <c r="J1334" i="2"/>
  <c r="J1335"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2" i="2"/>
  <c r="J1373" i="2"/>
  <c r="J1374" i="2"/>
  <c r="J1375" i="2"/>
  <c r="J1376" i="2"/>
  <c r="J1377" i="2"/>
  <c r="J1378" i="2"/>
  <c r="J1379" i="2"/>
  <c r="J1380"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22" i="2"/>
  <c r="J1423" i="2"/>
  <c r="J1424" i="2"/>
  <c r="J1425" i="2"/>
  <c r="J1426" i="2"/>
  <c r="J1427" i="2"/>
  <c r="J1428" i="2"/>
  <c r="J1429" i="2"/>
  <c r="J1430" i="2"/>
  <c r="J1431" i="2"/>
  <c r="J1432" i="2"/>
  <c r="J1433" i="2"/>
  <c r="J1434" i="2"/>
  <c r="J1435" i="2"/>
  <c r="J1436" i="2"/>
  <c r="J1437" i="2"/>
  <c r="J1438" i="2"/>
  <c r="J143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3" i="2"/>
  <c r="J1536" i="2"/>
  <c r="J1537" i="2"/>
  <c r="J1538" i="2"/>
  <c r="J1539"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7" i="2"/>
  <c r="J1608" i="2"/>
  <c r="J1612" i="2"/>
  <c r="J1613" i="2"/>
  <c r="J1614" i="2"/>
  <c r="J1615" i="2"/>
  <c r="J1616" i="2"/>
  <c r="J1617" i="2"/>
  <c r="J1618" i="2"/>
  <c r="J1619" i="2"/>
  <c r="J1620" i="2"/>
  <c r="J1621" i="2"/>
  <c r="J1622" i="2"/>
  <c r="J1623" i="2"/>
  <c r="J1624" i="2"/>
  <c r="J1625" i="2"/>
  <c r="J1626" i="2"/>
  <c r="J1627" i="2"/>
  <c r="J1628" i="2"/>
  <c r="J1638" i="2"/>
  <c r="J1640" i="2"/>
  <c r="J1641" i="2"/>
  <c r="J1642" i="2"/>
  <c r="J1674" i="2"/>
  <c r="J1681"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50" i="2"/>
  <c r="J2052" i="2"/>
  <c r="J2053" i="2"/>
  <c r="J2054" i="2"/>
  <c r="J2055"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7" i="2"/>
  <c r="J2138" i="2"/>
  <c r="J2139" i="2"/>
  <c r="J2140" i="2"/>
  <c r="J2141" i="2"/>
  <c r="J2142" i="2"/>
  <c r="J2143" i="2"/>
  <c r="J2144" i="2"/>
  <c r="J2145" i="2"/>
  <c r="J2146" i="2"/>
  <c r="J2147" i="2"/>
  <c r="J2148" i="2"/>
  <c r="J2149" i="2"/>
  <c r="J2150" i="2"/>
  <c r="J2151" i="2"/>
  <c r="J2152" i="2"/>
  <c r="J2153" i="2"/>
  <c r="J2158" i="2"/>
  <c r="J2159" i="2"/>
  <c r="J2160" i="2"/>
  <c r="J2161" i="2"/>
  <c r="J2174" i="2"/>
  <c r="J2175" i="2"/>
  <c r="J2176" i="2"/>
  <c r="J2177" i="2"/>
  <c r="J2178" i="2"/>
  <c r="J2179" i="2"/>
  <c r="J2180" i="2"/>
  <c r="J2181" i="2"/>
  <c r="J2182" i="2"/>
  <c r="J2185" i="2"/>
  <c r="J2187" i="2"/>
  <c r="J2188" i="2"/>
  <c r="J2192" i="2"/>
  <c r="J2193" i="2"/>
  <c r="J2194" i="2"/>
  <c r="J2195" i="2"/>
  <c r="J2196" i="2"/>
  <c r="J2197" i="2"/>
  <c r="J2198" i="2"/>
  <c r="J2199" i="2"/>
  <c r="J2200" i="2"/>
  <c r="J2201" i="2"/>
  <c r="J2202" i="2"/>
  <c r="J2203" i="2"/>
  <c r="J2206" i="2"/>
  <c r="J2207"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8" i="2"/>
  <c r="J2259" i="2"/>
  <c r="J2260" i="2"/>
  <c r="J2261" i="2"/>
  <c r="J2262" i="2"/>
  <c r="J2263" i="2"/>
  <c r="J2264" i="2"/>
  <c r="J2265" i="2"/>
  <c r="J2266" i="2"/>
  <c r="J2267" i="2"/>
  <c r="J2274" i="2"/>
  <c r="J2275" i="2"/>
  <c r="J2276" i="2"/>
  <c r="J2277" i="2"/>
  <c r="J2278" i="2"/>
  <c r="J2279" i="2"/>
  <c r="J2280" i="2"/>
  <c r="J2281" i="2"/>
  <c r="J2282" i="2"/>
  <c r="J2283" i="2"/>
  <c r="J2284" i="2"/>
  <c r="J2285" i="2"/>
  <c r="J2286" i="2"/>
  <c r="J2287" i="2"/>
  <c r="J2288" i="2"/>
  <c r="J2289" i="2"/>
  <c r="J2290" i="2"/>
  <c r="J2291" i="2"/>
  <c r="J2292"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 i="2"/>
  <c r="J3" i="2"/>
  <c r="J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66E225-F394-43CF-8170-421EF9633E80}" keepAlive="1" name="Query - Sexported Items" description="Connection to the 'Sexported Items' query in the workbook." type="5" refreshedVersion="0" background="1">
    <dbPr connection="Provider=Microsoft.Mashup.OleDb.1;Data Source=$Workbook$;Location=&quot;Sexported Items&quot;;Extended Properties=&quot;&quot;" command="SELECT * FROM [Sexported Items]"/>
  </connection>
</connections>
</file>

<file path=xl/sharedStrings.xml><?xml version="1.0" encoding="utf-8"?>
<sst xmlns="http://schemas.openxmlformats.org/spreadsheetml/2006/main" count="5184" uniqueCount="2630">
  <si>
    <t>Statistical statement</t>
  </si>
  <si>
    <t>Statistical statement NEW</t>
  </si>
  <si>
    <t>PSP</t>
  </si>
  <si>
    <t>NrTests</t>
  </si>
  <si>
    <t>Relevant</t>
  </si>
  <si>
    <t>t</t>
  </si>
  <si>
    <t>F</t>
  </si>
  <si>
    <t>df1</t>
  </si>
  <si>
    <t>df2</t>
  </si>
  <si>
    <t>cor</t>
  </si>
  <si>
    <t>p</t>
  </si>
  <si>
    <t>Notes</t>
  </si>
  <si>
    <t xml:space="preserve">For RTs, again no main effect of any neighborhood variable was found. Nevertheless, there was a significant interaction between cross-lingual N density and bigram frequency (  </t>
  </si>
  <si>
    <t xml:space="preserve">The interaction between the presence of a more frequent English neighbor and word frequency was significant (  </t>
  </si>
  <si>
    <t xml:space="preserve">English N frequency and bigram frequency (  </t>
  </si>
  <si>
    <t xml:space="preserve">The marginal interaction between English N density and bigram frequency (  </t>
  </si>
  <si>
    <t xml:space="preserve">2 3.84, df 1, p .05). Contrasts for the marginally significant interaction between English N frequency and word frequency (  </t>
  </si>
  <si>
    <t xml:space="preserve">The best fitting parameters for each task were: two-food: d 0.00023 ms1,  </t>
  </si>
  <si>
    <t xml:space="preserve">food-risk: d 0.00013 ms1,  </t>
  </si>
  <si>
    <t xml:space="preserve">money-risk: d 0.00031 ms1,  </t>
  </si>
  <si>
    <t xml:space="preserve">d 0.00029 ms1,  </t>
  </si>
  <si>
    <t xml:space="preserve">.016, 0.69, ter 33 ms. In each combination, d is the drift rate multiplier,  </t>
  </si>
  <si>
    <t>5.46). The difference between the two conditions was not significant, t(30) 1.49, p .143, Cohen’s d .54.</t>
  </si>
  <si>
    <t>factors on children’s D scores. Only the crucial interaction between training type and test was significant, F(1, 31) 5.12, p .031, partial 2 .14.</t>
  </si>
  <si>
    <t>This was confirmed by simple effect analyses: the mean D scores for the two conditions (individuation vs. exposure) before training were not significantly different, t(31) .44, p .662, Cohen’s d .07</t>
  </si>
  <si>
    <t>However, after training, the mean D scores between the two conditions (individuation vs. exposure) were significantly different, t(31) 2.24, p .033, Cohen’s d .60.</t>
  </si>
  <si>
    <t>Results showed a significant multivariate effect, F(4, 201) = 3.01, p=.019, g2 = .057. Considering the subscales independently, there were</t>
  </si>
  <si>
    <t>Considering the subscales independently, there were significant effects for independent versus interdependent self, F(1, 204) = 5.13, p=.025, g2 = .025, whereby participants in the low-economicinequality condition inferred that people were generally more interdependent (M = 4.32, SD = 0.94) than in the high-economic-inequality condition (M = 4.00, SD = 1.09).</t>
  </si>
  <si>
    <t>Furthermore, participants assigned to the high-economic-inequality condition tended to infer that people would engage in more exchange relationships (M = 3.59, SD = 0.99) than those in the low-economic-inequality condition (M = 3.96, SD = 0.90), F (1, 204) = 7.59, p=.006, g2 = .036. However, although the means show that those i</t>
  </si>
  <si>
    <t>Finally, the univariate effect for the subscale on attitudes versus norms as a guide to behavior was not significant, F(1, 204) = 0.06, p=.805.</t>
  </si>
  <si>
    <t>The results supported this hypothesis, (β = .16), t (217) = 2.03, p =.04(Figure 1). Naturally,</t>
  </si>
  <si>
    <t>Naturally, religiosity was a significant predictor of wanting an item blessed, (β = .30), t(217) = 4.11, p &lt; .001; however,</t>
  </si>
  <si>
    <t>however, those higher in religiosity (+1 SD) showed an increased desire to have the item blessed when it suffered from low reliability compared to low comfort, t(217) = 2.54, p = .01. The effect</t>
  </si>
  <si>
    <t>The effect of condition was not significant for those low (−1 SD) in religiosity, t(217) = −.35, p = .73. Said differently</t>
  </si>
  <si>
    <t>Participants were less accurate when naming cursive words compared with typeprint words, F(1, 29) = 74.76, p &lt;.001,η2 =.72.Further</t>
  </si>
  <si>
    <t>Further, participants were less accurate naming hard-to-read cursive compared with easy-to-read cursive words, F(1, 29) = 42.52, p &lt;.001,η2 =.60.</t>
  </si>
  <si>
    <t>A similar analysis of naming latency indicated an effect of script, F(2, 52) = 72.26, p &lt;.001,η2 = .71.</t>
  </si>
  <si>
    <t>Participants named cursive words more slowly than type-print words, F(1, 29) = 107.92, p &lt;.001,η2 = .79</t>
  </si>
  <si>
    <t>Further, hard-to-read cursive words were named more slowly than easy-to-read cursive words were, F(1, 29) = 22.41, p &lt; .001, η2 = .44.</t>
  </si>
  <si>
    <t>Two participants were excluded from the JOL analyses because they did not provide JOLs for each script type. Results indicated a significant effect of script, F(2, 54) = 16.07, p &lt; .001, η2 = .37.</t>
  </si>
  <si>
    <t>Participants predicted that they would recognize fewer cursive words than type-print words, F(1, 27) = 7.45, p = .011, η2 =.22.</t>
  </si>
  <si>
    <t>Further, participants predicted that they would recognize fewer hard-to-read cursive words than easy-to-read cursive words, F(1, 27) = 39.42, p &lt; .001, η2 =.59.</t>
  </si>
  <si>
    <t>\= .16. Performance was better for cursive compared to typeprint words, F(1, 29) = 7.86, p =.009,η2 = .21 There was no</t>
  </si>
  <si>
    <t>There was no significant difference between easy-to-read cursive and hardto-read cursive words, F(1, 29) = 2.15, p =.153,η2 =.07, BF01 = 1.96, however, the Bayes factor indicates only weak support for the null hypothesis.</t>
  </si>
  <si>
    <t>Model 1 (see Fig. 2;Table 3) offered a good fit to the observed data (v2 = 149.99, p \\ .001, df = 62, RMSEA = .036, p value = 1.00, SRMR = .036, NFI = .99, NNFI = .99, CFI = .99, GFI = .97 and AGFI = .96). T</t>
  </si>
  <si>
    <t>Model 2 investigating the association between the two school stressors, LS and depressive symptoms (Fig. 3; Table 3) revealed a good model fit to the present data (v2 = 210.22, p \\ .01, df = 113, v2/df = 1.86, RMSEA = .030, p value = 1.00, SRMR = .035, NFI = .99, NNFI = .99, CFI = .99, GFI = .97 and AGFI = .96).</t>
  </si>
  <si>
    <t>The main effect of US valence was observed F(1, 177) = 37.62, p &lt;.001, h2p = .17, BF10 &gt; 1000, indicating a typical EC effect: the positive CSs (M = .38, SD = 2.01) were evaluated more positively than the negative CSs (M = −.56, SD = 1.78).</t>
  </si>
  <si>
    <t>than the negative CSs (M = −.56, SD = 1.78). Unsurprisingly, the experimental condition did not interact with US valence, F(1, 177) = .49, p =.49, h2 p =.003, BF01=4.85.</t>
  </si>
  <si>
    <t>No main effect of condition was observed F(2, 257) = .89, p = .82, h2 p = .001, BF01 = 8.71. T</t>
  </si>
  <si>
    <t>The crucial interaction between US valence and the experimental condition was not observed (see Figure 2), F(2, 257) = 1.67, p = .19, h2 p = .005, BF01 = 5.26.</t>
  </si>
  <si>
    <t>The analysis revealed a main effect of US valence F(1, 531) = 76.79, p &lt; .001, h2p = .125, BF10 &gt; 1000, with positive CSs (M = .29, SD = 1.92) evaluated more positively than negative CSs (M = −.57, SD = 1.78).</t>
  </si>
  <si>
    <t>A weak interaction between condition and time was observed F(1, 531) = 3.95, p = .047, h2 p = .006, BF10 = 0.65, with the difference in ratings between postextinction and post-acquisition phases being more negative in the RMT (M = −.32, SD = 2.09) than RMC (M = .07, SD = 1.83) condition.</t>
  </si>
  <si>
    <t>Importantly, neither the US valence by time interaction, F(1, 531) = 0.56, p = .45, h2 p = .001, BF01 = 6.37,</t>
  </si>
  <si>
    <t>nor the US valence by time by condition interaction (see Figure 3), F(1, 531) = 1.76, p = .186, h2 p = .001, BF01 = 2.80, were observed, indicating that no extinction effect was found whatsoever.</t>
  </si>
  <si>
    <t>(positive, neutral and negative) separately. The analysis revealed a main effect of US valence, F(2, 2341) = 170.39, p &lt; .001, h2p = .126, BF10 &gt; 1000, reflecting a general EC effect (CSs- : M = 3.27, SD = 1.21; CSs neutral : M = 3.92, SD = 1.52; CSs + : M = 4.22, SD = 1.34)</t>
  </si>
  <si>
    <t>1.21, meaning that CSs were overall evaluated more negatively over the completion of the extinction phase. T</t>
  </si>
  <si>
    <t>n analysis of variance revealed the predicted interaction between participants’ persuasive goals and the order of the videos on how many blocks of videos they chose to watch, F(2, 300) = 9.09, p &lt; 0.001, partial g2 = 0.057 (see Fig. 1). When participants’ task was to argue that the target was likeable, they watched more videos when his early b</t>
  </si>
  <si>
    <t>When participants’ task was to argue that the target was likeable, they watched more videos when his early behaviors were dislikeable than when they were likeable, F(1, 302) = 7.84, p = 0.005. When their task was to argue that he was dislikeable, how-</t>
  </si>
  <si>
    <t>likeable than when they were likeable, F(1, 302) = 7.84, p = 0.005. When their task was to argue that he was dislikeable, however, they watched more videos when his early behaviors were likeable than when they were dislikeable, F(1, 302) = 9.85, p = 0.002.</t>
  </si>
  <si>
    <t>No differences emerged in the number of videos watched when participants were not give a specific persuasive goal, F(1, 302) = 0.65, p = 0.42.</t>
  </si>
  <si>
    <t>Consistent with the possibility that their biased information gathering was self-deceptive (or at the very least, self-persuasive), participants’ private opinions showed a main effect of their persuasive goals, F(1, 198) = 31.33, p &lt; 0.001, partial g2 = 0.137. As can be seen in Fig. 2, participants found the target more likeable when their goal was to persuade others of his likeabi</t>
  </si>
  <si>
    <t>le when their goal was to persuade others of his likeability than when their goal was to persuade others of his dislikeability. A substantial main effect also emerged for the order of the information, F(1, 198) = 144.25, p &lt; 0.001, partial g2 = 0.421, suggesting that (unsurprisingly) the impact of reality was more substantial than the impact of their biased processing.</t>
  </si>
  <si>
    <t>In contrast, participants’ best guess of others’ opinions also shifted in the direction of their persuasive goals, F(1, 197) = 27.41, p &lt; 0.001, partial g2 = 0.122. As can be seen in Fig. 3, participants thought that others would find the target more likeable when their goal was to persua</t>
  </si>
  <si>
    <t>Again, the impact of the order of information was substantially greater than the impact of bias in this analysis, F(1, 198) = 264.61, p &lt; 0.001, partial g2 = 0.573. To test the hypothesis that self-deception/self-persuasion facilitates</t>
  </si>
  <si>
    <t>This ANOVA revealed the predicted interaction between congruency and number of videos watched, such that participants were more persuasive when they showed the information gathering bias than when they did not, interaction F(1, 198) = 13.92, p &lt; 0.001, partial g2 = 0.066 (see Fig. 5). To assess whether participants were also rated as mo</t>
  </si>
  <si>
    <t>Pairwise decoding in the sub-region of V1 corresponding to the left cup location was found to be linked only to the experimental conditions that involved actions to be executed towards that leftward spatial location (grasp vs. place left, t11 = 2.970, P = 0.013; place</t>
  </si>
  <si>
    <t>place left vs. place right, t11 = 3.390, P = 0.006; but</t>
  </si>
  <si>
    <t>but not grasp vs. place right, t11 = 1.235, P = 0.242), and</t>
  </si>
  <si>
    <t>place left vs. place right, t11 = 2.515, P = 0.029; but</t>
  </si>
  <si>
    <t>but not grasp vs. place left, t11 = 1.156, P = 0.272). Notably,</t>
  </si>
  <si>
    <t>we found decoding for upcoming actions that only became differentiated relatively early in the action sequence, near that particular spatial location (i.e., whether the individual would move the cube object towards a future cup location or simply replace it at that location; grasp vs. place left, t11 = 3.890, P = 0.003; grasp</t>
  </si>
  <si>
    <t>grasp vs. place right, t11 = 2.684, P = 0.021) and not</t>
  </si>
  <si>
    <t>0.021) and not for those actions that only became reliably differentiated much later into the action sequence, outside of the cube object’s visual spatial location (i.e., place left vs. place right, t11 = 1.205, P = 0.253). To complement</t>
  </si>
  <si>
    <t>There was no difference between truth tellers (M = 5.70, SD = 1.09, 95% CI \[0.67, 1.46\]) and liars (M = 5.97, SD = 0.72, 95% CI \[0.49, 0.90\]) in motivation scores, t(58) = 1.21, p = 0.268, d = 0.29</t>
  </si>
  <si>
    <t>There was no significant difference for word count between truth tellers (M = 1,629.20, SD = 1,049.82, 95% CI \[625.64, 1,363.22\]) and liars (M = 1,604.10, SD = 1,035.60, 95% CI \[428.77, 1,533.52\]), t(58) = 0.093, p = 0.926, d = 0.02</t>
  </si>
  <si>
    <t>word count as the dependent variables. The MANOVA revealed no significant multivariate main effect for Veracity, Wilks' λ = 0.957, F (2, 57) = 0.733, p = 0.485, ηp2 = 0.025. In addition</t>
  </si>
  <si>
    <t>57) = 0.733, p = 0.485, ηp2 = 0.025. In addition, no significant univariate main effects were obtained for any of the two dependent variables, all F 's &lt; 0.94; all p's &gt; 0.761 (see Table 1).</t>
  </si>
  <si>
    <t>The MANOVA revealed no significant main effect for Veracity, Wilks' λ = 0.899, F (3, 54) = 2.012, p = 0.123, ηp2 = 0.101 (see Table 2). Hypothesis 1 is therefore not supported.</t>
  </si>
  <si>
    <t>The MANOVA revealed a significant main effect for question type, Wilks' λ = 0.771, F (3, 54) = 5.348, p = 0.003, ηp2 = 0.229. A significant univariate effect was obtained for one of the three dependent variables.</t>
  </si>
  <si>
    <t>There was no Veracity × Question Type interaction, λ = 0.974, F (3, 54) = 0.477, p = 0.700, ηp2 = 0.026. Hypothesis 2 is therefore not supported</t>
  </si>
  <si>
    <t>There was a significant main effect of outcome probability \[F(1,23) = 127.87, MSE = 3.217, p = 0.000\]. An</t>
  </si>
  <si>
    <t>interaction effect between outcome probability and outcome domain was found significant \[F(1,23) = 12.795, MSE = 0.200, p = 0.002\]. A paired sample t</t>
  </si>
  <si>
    <t>On average, normalized certainty equivalent scores were larger for large probability gain condition (M = 0.46, SD = 0.25) than for small probability gain condition (M = 0.18, SD = 0.22), with significant difference \[t(23) = 6.62, p = 0.000\]. On average,</t>
  </si>
  <si>
    <t>normalized certainty equivalent scores were larger for large probability loss condition (M = 0.65, SD = 0.20) than for small probability loss condition (M = 0.19, SE = 0.15), with significant difference \[t(23) = 11.164, p = 0.000\]. On average,</t>
  </si>
  <si>
    <t>normalized certainty equivalent scores were smaller for large probability gain condition (M = 0.46, SD = 0.25) than for large probability loss condition (M = 0.65, SD = 0.20), with significant difference \[t(23) = −2.86, p = 0.009\]. There</t>
  </si>
  <si>
    <t>There was no significant difference between small probability gain condition and small probability loss \[t(23) = −0.14, p = 0.89\]. To</t>
  </si>
  <si>
    <t>not significantly correlated with the log-transformed DLHTs (half semitone condition: r = −.051, p = .756; semitone</t>
  </si>
  <si>
    <t>condition: r = .166, p = .306) or</t>
  </si>
  <si>
    <t>DLPTs (half semitone condition: r = .149, p = .358; semitone</t>
  </si>
  <si>
    <t>condition: r = .179, p = .270). In contrast</t>
  </si>
  <si>
    <t>(half semitone condition: r = .408, p = .009; semitone</t>
  </si>
  <si>
    <t>condition: r = .446, p = .004) and log</t>
  </si>
  <si>
    <t>condition: r = .355, p = .025; semitone</t>
  </si>
  <si>
    <t>condition: r = .358, p = .023). Next,</t>
  </si>
  <si>
    <t>The MMN amplitudes were analyzed using ANOVA with the session (harmonic tone versus pure tone) and condition (half semitone versus semitone) as within-subject factors and the group (good performers versus poor performers) as a between-subjects factor. There was a significant interaction between session and group (F (1, 38) = 4.543, p=.040). The simple</t>
  </si>
  <si>
    <t>The main effect of group was not significant for the harmonic tone session (F(1, 38) = .581, p = .451), but</t>
  </si>
  <si>
    <t>it was significant for the pure tone session (F(1, 38) = 11.537, p=.002). The relation</t>
  </si>
  <si>
    <t>A paired t-test on these data revealed that targets associated with ostracism dominated visual awareness for longer than targets associated with inclusion, t(39) = 2.44, p =.019,d = .38, 95% CI: \[73, 784\] (see Figure 2). In addition,</t>
  </si>
  <si>
    <t>Wilcoxin’s nonparametric test showed no difference between the IPF ratios for faces associated with ostracism and inclusion (z = 1.51, p =.062,r = .17).4 Alternation rates also</t>
  </si>
  <si>
    <t>Alternation rates also did not differ as a function of face type (t(39) = 0.28, p = .777, d =.04,95%CI:\[.27, .20\]. General Discussion</t>
  </si>
  <si>
    <t>Analysis of variance (ANOVA) with construal level and attribution locus as independent variables and trust as a dependent variable revealed no significant main effect for construal level, F(1, 109) = 0.78, p = .38, η2 = .01, or for</t>
  </si>
  <si>
    <t>or for attribution locus, F(1, 109) = 1.03, p =.31, η2 = .01. However</t>
  </si>
  <si>
    <t>the analysis revealed a significant construal-level by attribution-locus interaction effect, F(1, 109) = 4.35, p =.04, η2 = .04 (see Figure 1). Simple-effects</t>
  </si>
  <si>
    <t>external attributions were significantly more effective at restoring trust, M =3.30,SD = 1.55, than internal attributions, M =2.22, SD =1.08, F(1, 109) = 4.79, p =.03, η2 = .04. For high-level</t>
  </si>
  <si>
    <t>For high-level construal trustors, there was no significant difference between internal, M =3.00, SD = 1.50, and external attributions, M =2.72, SD =1.37, F(1, 109) = 0.57, p = .45, η2 = .01. This indicates t</t>
  </si>
  <si>
    <t>This did not change the significance or the shape of the interaction, F(1, 85) = 10.64, p =0.01, η2 =0.07. Study 2</t>
  </si>
  <si>
    <t>As expected, during the Exploration phase, children in the Show Lights condition and Teach Toy condition did not differ in their total playtime, (Show Lights vs. Teach Toy: 76 vs. 68 s, t(45.73) = 1.05, p = .30; see Figure 2 for results) Actions</t>
  </si>
  <si>
    <t>Far Mat Actions, 2.88 vs. 3.29, t(44.58) = 0.47, p = .64), Near Mat Actions</t>
  </si>
  <si>
    <t>Near Mat Actions (7.41 vs. 9.0, t(36.54) = 0.73, p = .47), Transitions between</t>
  </si>
  <si>
    <t>Transitions between the two mats (Show Lights vs. Teach Toy: 1.96 vs. 2.17, t(45.96) = 0.34, p = .73) or the</t>
  </si>
  <si>
    <t>Informativeness Score (0.79 vs. 1.08, Z = 0.88, p = .38; Mann–Whitney U test). All</t>
  </si>
  <si>
    <t>Demonstration Phase did not differ across conditions (Show Lights vs. Teach Toy: 40 vs. 57 sec., t(34.71) = 1.56, p = 0.13). However,</t>
  </si>
  <si>
    <t>Demonstration phase, children in the Teach Toy condition produced more Actions (Show Lights vs. Teach Toy: 5.17 vs. 11.58, t(31.21) = 2.27, p = .030) specifically</t>
  </si>
  <si>
    <t>on the Far Mat (1.42 vs. 4.88, t(27.62) = 2.42, p = .022) and produced</t>
  </si>
  <si>
    <t>produced more Transitions between the mats (1.29 vs. 3.25, t(28.27) = 2.04, p = .050). Note,</t>
  </si>
  <si>
    <t>p = .01, Mann–Whitney U test). Furthermore</t>
  </si>
  <si>
    <t>In the Show Lights condition, none of the measures were correlated with age (Actions: r(22) = .21, p = .32; Far</t>
  </si>
  <si>
    <t>Far Mat Actions: r(22) = .22, p = .30; Transitions</t>
  </si>
  <si>
    <t>Duration of Demonstration phase: r(22) = -0.02, p = .93). In the Teach Toy condition,</t>
  </si>
  <si>
    <t>only the Informativeness Score was positively correlated with age (r(22) = .54, p = .006, Actions</t>
  </si>
  <si>
    <t>Actions: r(22) = .26, p = .22; Far Mat</t>
  </si>
  <si>
    <t>Mat Actions: r(22) = .03, p = .9; Transition</t>
  </si>
  <si>
    <t>Transition: r(22) = .23, p = .29; Duration of</t>
  </si>
  <si>
    <t>Duration of Demonstration phase: r(22) = .27, p = .20). Further exploratory</t>
  </si>
  <si>
    <t>Children in the Show Lights condition spent less time acting on the stimuli during the Demonstration phase than the Exploration phases, (Exploration vs. Demonstration: 76 vs. 40 s, t(23) = 4.94, p &lt; .001). They also</t>
  </si>
  <si>
    <t>They also produced fewer Actions (10.29 vs. 5.17, t(23) = 3.87, p = .001), which was</t>
  </si>
  <si>
    <t>reflected in both Far Mat Actions (2.88 vs. 1.42, t(23) = 3.30, p = .003), and Near</t>
  </si>
  <si>
    <t>and Near Mat Actions (7.42 vs. 3.75, t(23) = 2.79, p = .01); the</t>
  </si>
  <si>
    <t>the only behavioral measures that did not decrease between the Exploration and Demonstration phase were Transitions (1.96 vs. 1.29, t(23) = 1.40, p = .175). By</t>
  </si>
  <si>
    <t>no behavioral measure differed between the Exploration and Demonstration phase for the Teach Toy condition (Exploration vs. Demonstration: 68 vs. 57 s, t(23) = 0.96, p = .35; Actions:</t>
  </si>
  <si>
    <t>Actions: 12.29 vs. 11.58, t (23) = .25, p = .80; Far Mat</t>
  </si>
  <si>
    <t>Far Mat Actions: 3.29 vs. 4.88, t (23) = 1.36, p = .19; Near</t>
  </si>
  <si>
    <t>Near Mat Actions: 9.0 vs. 6.71, t(23) = 0.93, p = .37; Transition:</t>
  </si>
  <si>
    <t>; Transition: 2.17 vs. 3.25, t (23) = 1.29, p = .21). Thus,</t>
  </si>
  <si>
    <t>A planned contrast indicated that, as hypothesized, the Jewish Americans emphasized Autonomy (individualistic worldview) more than the Arabs and the ultra-Orthodox Jews did, t(265) 9.33, p .001, d 1.15. In addition,</t>
  </si>
  <si>
    <t>In addition, the Jewish Americans emphasized embeddedness (collectivistic worldview) less than the other two groups did, t(265) 5.83, p .001, d 0.63.4 We thus</t>
  </si>
  <si>
    <t>between-subjects factor. As hypothesized, the cultural group interacted with the riddle type in predicting success in riddle-solving, F(2, 267) 17.02, p .001, p2 0.11 (see Figure 2). The analysis</t>
  </si>
  <si>
    <t>The analysis further yielded a significant main effect for cultural group, F(2, 267) 4.23, p .015 and for</t>
  </si>
  <si>
    <t>and for riddle type, F(1, 267) 31.70, p .001. We conducted</t>
  </si>
  <si>
    <t>A planned contrast comparing the performance of the Jewish Americans and the collectivistic cultural groups (Arabs and ultraOrthodox Jews) indicated that, as hypothesized, the former were better at solving the rule-based riddles than the latter, t(267) 1.90, p .03, d 0.23. In contrast,</t>
  </si>
  <si>
    <t>In contrast, the collectivistic cultural groups were better at solving the context-based riddles than the Jewish Americans, t(267) 5.27, p .001, d 0.64.5</t>
  </si>
  <si>
    <t>However, fit for the two-factor model was superior to the three-factor model as revealed by the Bayes Factor \[BF10 = 1.414\] and conditional posterior probability \[(PrBIC(H1|D) =0.586\]. Further</t>
  </si>
  <si>
    <t>The Bayes Factor demonstrated that the one-factor model was almost three times more likely than the closest fitting competing two-factor model (BF10 = 2.757). Reliability of this</t>
  </si>
  <si>
    <t>The overall model exhibited adequate fit (χ2(1) = 0.690, p = .448; RMSEA = 0.000 \[90%CI = 0.000, 0.213\]; CFI = 1.000; SRMR = 0.010) and is displayed in Figure 5.</t>
  </si>
  <si>
    <t>The EF and EC factors were correlated near unity and the standardized 95%CI contained one (φ = −0.970 \[95%CI = −0.912, −1.028\], p &lt; .001), indicating that behavioral ratings of EF and EC converged on a unitary construct.</t>
  </si>
  <si>
    <t>. A unitary ‘self-regulation’ factor was therefore estimated with loadings from all four variables, with self-reported EC used as the reference variable for factor scaling so that higher values on this latent variable reflected better self-regulation (χ2(2) = 1.774, p = .422, RMSEA = 0.000 \[90%CI = 0.000, 0.165\], CFI = 1.000; SRMR = 0.015). The self-regulation factor is displayed in Figure 6 and explained almost all the</t>
  </si>
  <si>
    <t>(5) = 3.980, p = .617, RMSEA = 0.000 \[90%CI = 0.000, 0.106\]; CFI = 1.000, SRMR = 0.016) and the regression</t>
  </si>
  <si>
    <t>The covariance between the error variances for the emotional and behavioral regulation factor and ADHD problems was freely estimated (θε = 0.236, p &lt; .001) to obtain an adequate fitting model (χ2(7) = 10.517, p = .170, RMSEA = 0.061 \[90%CI = 0.000, 0.131\], CFI = 0.993, SRMR = 0.016). Inspection</t>
  </si>
  <si>
    <t>Model fit statistics were: (χ2(25) = 43.913, p = .058; RMSEA = 0.077 (90%CI = 0.037, 0.114); CFI = 0.979; SRMR = 0.038). Control, Emotional control</t>
  </si>
  <si>
    <t>indicating that the covariance between executive attention factor score estimates and parent reported EC scale scores had been slightly overestimated (Z = −2.465, p = .014). A mediation model</t>
  </si>
  <si>
    <t>as a regression coefficient (γ = 0.068, p = .335). The non-significant correlation between executive attention and ADHD problems was therefore constrained to zero, which did not result in a significantly worse fitting model (Δχ2</t>
  </si>
  <si>
    <t>0.124\], CFI = 0.994; SRMR = 0.018). The indirect effect of executive attention on ADHD problems via the self-regulation factor was moderately strong and statistically significant (β = −0.462, p &lt; .001, b = −1.498 \[95%BC-CI = −1.041, −2.028\], p &lt; .001), explaining</t>
  </si>
  <si>
    <t>Bifactor model of EC modeled from data obtained on the EATQ-R parent-report form. Model fit statistics were: (χ2</t>
  </si>
  <si>
    <t>One-factor model of EC modeled from data obtained on the EATQ-R self-report form. Model fit statistics were: (χ2</t>
  </si>
  <si>
    <t>Unitary executive attention model consisting of a single latent variable predicting performance on measures of working memory capacity, psychometric g, and response inhibition. Model fit statistics were: (χ2(25) = 36.748, p = .189, RMSEA = 0.059 \[90%CI = 0.000, 0.097\], CFI = 0.955, SRMR = 0.048). LR = Listening recall;</t>
  </si>
  <si>
    <t>Empirical relationships between executive function and effortful control as measured by behavioral ratings on the BRIEF and EATQ-R. Model fit statistics were: (χ2(1) = 0.690, p = .448, RMSEA = 0.000 \[90%CI = 0.000, 0.213\], CFI = 1.000, SRMR = 0.010). EBR, Emotional</t>
  </si>
  <si>
    <t>Model of ADHD problems regressed onto the self-regulation factor, with variance indirectly explained by executive attention. Model fit statistics were: (χ2</t>
  </si>
  <si>
    <t>All parameters were significant at p &lt; .001. The indirect effect of executive attention on ADHD problems was statistically significant (β = −0.462, p &lt; .001; b = −1.498 \[95%CI = −1.041, −2.028\], p &lt; .001), explaining 21.3% of the variance</t>
  </si>
  <si>
    <t>(7) = 10.517, p = .170, RMSEA = 0.061 \[90%CI = 0.000, 0.131\], CFI = 0.993, SRMR = 0.016). E</t>
  </si>
  <si>
    <t>N = 3074; M = 33.53; 95% CI \[29.5, 33.5\]. The Pearson correlation of the mean estimated contributions to world history for each country for the two samples was high, r(33) = .95, p &lt; .01, 95% CI \[.90, .98\], indicating that the results are stable.</t>
  </si>
  <si>
    <t>As shown in the far right column of Table 3, estimated contributions to world history for the entire data set were significantly correlated with national identity composite scores, r(5936) = .20, p &lt; .01, 95% CI \[.18, .22\], showing that individuals who indicated greater pride in and loyalty toward their countries tended to give higher estimates of their country’s contributions to world history. The degree of association between</t>
  </si>
  <si>
    <t>which also remained if estimation errors were controlled for (F(1,26) 7.88, p 0.01; Garrett and Sharot, 2017) and if the</t>
  </si>
  <si>
    <t>if the difference between number of good and bad news trials are controlled for (F(1,26) 6.97, p 0.01). Post hoc t</t>
  </si>
  <si>
    <t>information integration parameter was larger for good news than bad news (t(15) 3.34, p 0.004, paired sample t test) but</t>
  </si>
  <si>
    <t>absent in the threat manipulation group (t(18) 0.92, p 0.25, paired sample t test; Fig. 3). Participants</t>
  </si>
  <si>
    <t>information integration parameters for good news (G) did not differ between groups (t(33) 0.611, p 0.250, independent sample t test). There</t>
  </si>
  <si>
    <t>p 0.001, one-sample t tests vs 0 and 1, respectively), and participants’ first estimates were not significantly different from the information provided (t(34) 0.45, p 0.65, one-sample t test vs 0 on the difference between participants’ first estimates and the information provided).</t>
  </si>
  <si>
    <t>This did not reveal a main effect of valence (F(1,33) 1.24, p 0.25), a main e</t>
  </si>
  <si>
    <t>, a main effect of group (F(1,33) 1.03, p 0.25), or an</t>
  </si>
  <si>
    <t>interaction (F(1,33) 0.62, p 0.25). This suggests</t>
  </si>
  <si>
    <t>Conducting an ANOVA on participants’ first estimates with valence (good/ bad news) as a repeated factor and group (threat/control) as a between-participant factor revealed no main effect of group (F(1,33) 1.18, p 0.25), the obvious</t>
  </si>
  <si>
    <t>main effect of valence (as trials are binned into good and bad according to first estimates: F(1,33) 278.08, p 0.001) and a</t>
  </si>
  <si>
    <t>a group \* valence interaction (F(1,33) 6.71, p 0.014). The interaction</t>
  </si>
  <si>
    <t>p 0.014). The interaction was characterized by the threat group providing lower first estimates than controls for stimuli that will subsequently be categorized as good news (t(33) 2.30, p 0.028) but no</t>
  </si>
  <si>
    <t>no significant difference for trials that will be subsequently categorized as bad news (t(33) 1.59, p 0.123). Controlling</t>
  </si>
  <si>
    <t>ANOVA looking at information integration parameters did not alter the results (F(1,26) 5.43, p 0.028). What, therefore,</t>
  </si>
  <si>
    <t>note that the same pattern of results pertains if we omit this covariate (self-reported anxiety: F(1,17) 4.75, p 0.04; SCL: F(1,17) 8.81, p 0.009)\]. We also</t>
  </si>
  <si>
    <t>sible confounds (see Materials and Methods). The analysis revealed that changes in self-reported anxiety (F(1,16) 6.90, p 0.02, bi 0.03, p</t>
  </si>
  <si>
    <t>and change in physiological stress indicated by SCL (F(1,16) 4.99, p 0.04, bi 0.05, p 2 0.24) explained</t>
  </si>
  <si>
    <t>each of which remained significant if estimation errors were also controlled for (self-reported stress: F(1,15) 4.61, p 0.048; SCL: F(1,15) 4.67, p 0.047; Garrett and Sharot, 2017). In other words,</t>
  </si>
  <si>
    <t>Change in cortisol, which is suggested to reflect the HPA axis component of the stress response (Gunnar and Quevedo, 2007), did not relate to information integration for bad news (F(1,16) 0.46, p 0.25, bi 0.04, p</t>
  </si>
  <si>
    <t>found no significant effects (change in self-report: F(1,16) 0.47, p 0.25, bi 0.01; change</t>
  </si>
  <si>
    <t>change in SCL: F(1,16) 0.61, p 0.25, bi 0.03; change in</t>
  </si>
  <si>
    <t>change in cortisol: F(1,16) 0.72, p 0.25, bi 0.07). Finally, we examined</t>
  </si>
  <si>
    <t>Indeed, both effects were significant using this approach (change in self-report: F(1,31) 10.57, p 0.003, bi 0.05; change</t>
  </si>
  <si>
    <t>change in SCL: F(1,31) 4.51, p 0.04, bi 0.08; Fig. 4), while the</t>
  </si>
  <si>
    <t>quivalent analysis on information integration parameters from good news was not (change in self-report: F(1,31) 0.001, p 0.25, bi 0.001; change in</t>
  </si>
  <si>
    <t>change in SCL: F(1,31) 0.55, p 0.25, bi 0.036). The results of</t>
  </si>
  <si>
    <t>ment) for unfamiliar faces, we find that statistically, these two values of Cronbach’s α significantly differ, F(89, 89) = 1.75, p = .005 \[67\]. We find th</t>
  </si>
  <si>
    <t>mixed-factors ANOVA on compatibility effects revealed a significant time-by-training interaction, F(3,204) = 3.44; p = .018; 1 Self-report and</t>
  </si>
  <si>
    <t>η2 = 0.05, indicating that the</t>
  </si>
  <si>
    <t>The results did not support Hypothesis 2, according to which both trainings with the positive component (PN, ApP) are more effective than the trainings without the positive component (AvN, CT), t(204) = 0.31, p = .757. The results did</t>
  </si>
  <si>
    <t>The results did not support Hypothesis 4 either, according to which the trainings with at least one of the components (PN, ApP, AvN) are more effective than the CT, t(204) = 0.71, p = .477. In line</t>
  </si>
  <si>
    <t>Hypothesis 1, the PN was more effective than any of the other trainings, t (204) = 2.27, p = .024. At the same</t>
  </si>
  <si>
    <t>pattern of results also supported Hypothesis 3, suggesting that both trainings with the negative component (PN and AvN) were more effective than the other trainings (ApP, CT), t(204) = 2.90, p = .004. Subsequent Fisher</t>
  </si>
  <si>
    <t>SD = 175; p = .003). Interestingly, however, the increase in compatibility effect was only significant in the PN-group, t(51) = 3.23, p = .002 (in AvN, ApP</t>
  </si>
  <si>
    <t>p = .002 (in AvN, ApP and CT: p &gt; .116), which showed a compatibility effect (i.e., positive bias) after training, t(51) = 2.04, p = .047. 2.2. Anxiety measures</t>
  </si>
  <si>
    <t>Direct effects of AAT on state anxiety. A 2 (time: pre-AAT, postAAT) x 4 (training) mixed factors ANOVA yielded a main effect of time, F(1,204) = 12.07, p = .001, η2 = 0.06, which was</t>
  </si>
  <si>
    <t>F(1,204) = 12.07, p = .001, η2 = 0.06, which was qualified by an interaction with training, F(3,204) = 3.44, p = .018, η2 = 0.05, showing that anxiety ratings of the four groups changed differently over the course of the AAT.</t>
  </si>
  <si>
    <t>A one-way ANOVA of the STAI-6 scores at T2 (i.e., before the speech-task) showed that the resulting four groups did not differ significantly in their levels of state anxiety, F (3,188) = 1.7, p = .170, η2 = 0.03. State anxiety</t>
  </si>
  <si>
    <t>State anxiety (STAI-6). A 3 (time: post-AAT/pre-stressor, post-announcement, post-stressor) x 4 (training) mixed factors ANOVA of the STAI-6 ratings yielded a significant main effect of time, F(2, 187) = 39.06, p &lt; .001, η2 = 0.3, indicating</t>
  </si>
  <si>
    <t>However, the crucial training-by-time interaction was not significant, F(6, 374) = 1.21, p = .302, η2 = 0.02, indicating</t>
  </si>
  <si>
    <t>Initial one-way ANOVAs of the physiological baseline measures (T2) showed that across groups, participants did not differ in their levels of HRV (F(3, 187) = 0.31, p = .821), HR</t>
  </si>
  <si>
    <t>HR (F(3, 187) = 0.35, p = .790), SBP</t>
  </si>
  <si>
    <t>SBP (F(3, 187) = 1.32, p = .269) or DBP</t>
  </si>
  <si>
    <t>DBP (F(3, 187) = 1.43, p = .235) immediately before</t>
  </si>
  <si>
    <t>significant overall drop in HRV, indicating an increase in stress, F(1.9, 355.75) = 78.6, p &lt; .001, η2 = 0.3, which was</t>
  </si>
  <si>
    <t>which was not moderated by group, F(5.71, 355.75) = 1.36, p = .235. A similar pattern</t>
  </si>
  <si>
    <t>There was a significant change over time (HR: F(1.79, 334.56) = 225.01, p &lt; .001, η2 = 0.55; SBP</t>
  </si>
  <si>
    <t>SBP: F(1.64, 307.47) = 607.15, p &lt; .001, η2 = 0.77; DBP</t>
  </si>
  <si>
    <t>DBP: F(1.69, 315.89) = 693.12, p &lt; .001, η2 = 0.79), but no</t>
  </si>
  <si>
    <t>315.89) = 693.12, p &lt; .001, η2 = 0.79), but no significant trainingby-time interaction (HR: F(5.37, 334.56) = 1.05, p = .389; SBP: F(4.93,</t>
  </si>
  <si>
    <t>SBP: F(4.93, 307.47) = 0.18, p = .967; DBP: F(5.07, 315.89) = 0.35, p = .882).5 3. Discussion</t>
  </si>
  <si>
    <t>The Pearson correlation showed a positive and significant relationship between abstraction and crosssituational consistency, r(723) = .12; p &lt; .002. This finding</t>
  </si>
  <si>
    <t>Both groups presented significant differences in the construal level (Mconcrete = 13.99; SD = 3.52 and Mabstract = 21.82; SD = 1.92), F(1, 723) = 1298.62; p &lt; .001, ηp2 = .64. As predicted,</t>
  </si>
  <si>
    <t>As predicted, participants who had been categorized as presenting an abstract style demonstrated a higher level of cross-situational consistency (Mabstract = 3.67; SD = 0.81) than participants categorized with a concrete style (Mconcrete = 3.46; SD = 0.80), F(1, 723) = 12.27; p &lt; .001, ηp2 = .17. Study 2.</t>
  </si>
  <si>
    <t>Participants in the experimental condition selected ideas that were more creative than those selected by participants in the control condition, F(1,85) = 4.45, p = .038, partial η2 = .050. To investigate</t>
  </si>
  <si>
    <t>Participants in the experimental condition tended to select ideas that were more original than the ideas selected by participants in the control condition, F(1,85) = 3.08, p = .083, partial η2 = .035. For the</t>
  </si>
  <si>
    <t>usefulness ratings of the selected ideas, no significant difference was found between the two conditions, F (1,85) = .201, p = n.s. Selection Performance</t>
  </si>
  <si>
    <t>A repeated measures ANOVA indicated that the number of advertised brands affected participants’ subjective decision fluency, F(2, 177) = 9.78, p &lt; 0.01, η2 = 0.10. As expected,</t>
  </si>
  <si>
    <t>moderator, F(2, 177) = 14.68, p &lt; 0.01, but price diff</t>
  </si>
  <si>
    <t>but price differences were not, F(2, 178) = 0.76, p = 0.55. In the next</t>
  </si>
  <si>
    <t>the number of advertised brands affected decision time, F(2, 177) = 8.56, p &lt; 0.01, η2 = 0.09, and</t>
  </si>
  <si>
    <t>The findings thus support H1b. Involvement was not a significant moderator, F(2, 177) = 0.80, p = 0.45, and neither</t>
  </si>
  <si>
    <t>and neither was the price difference, F(2, 178) = 1.76, p = 0.14. Another repeated</t>
  </si>
  <si>
    <t>ANOVA indicated that the number of advertised brands in the choice set affected participants’ subjective familiarity, F(2, 177) = 94.92, p &lt; 0.01, η2 = 0.51. In support</t>
  </si>
  <si>
    <t>Involvement according to the number of advertised brands was not significant, F(2, 177) = 1.27, p = 0.28, nor was</t>
  </si>
  <si>
    <t>nor was the price difference, F(2, 178) = 2.04, p = 0.09. According to a</t>
  </si>
  <si>
    <t>the number of advertised brands also affected participants’ liking of the chosen product, F(2, 177) = 20.62, p &lt; 0.01, η2 = 0.19. In support</t>
  </si>
  <si>
    <t>fewer advertised brands. Involvement was not a significant moderator, F(2, 177) = 2.72, p = 0.07, nor was price difference,</t>
  </si>
  <si>
    <t>nor was price difference, F(2, 178) = 0.86, p = 0.49. The ratings</t>
  </si>
  <si>
    <t>The ratings of satisfaction with their overall shopping experience indicated values of F(2, 177) = 6.72, p &lt; 0.01, η2 = 0.07 from the ANOVA.</t>
  </si>
  <si>
    <t>Price difference was not a significant moderator, F(2, 178) = 0.67, p = 0.62. The ANOVA</t>
  </si>
  <si>
    <t>for participants’ intentions to revisit the e‐store showed values of F(2, 177) = 6.06, p &lt; 0.01, η2 = 0.06. Confirming the predictions in H3c,</t>
  </si>
  <si>
    <t>Price difference again was not a significant moderator, F(2, 178) = 0.63, p = 0.65. After making</t>
  </si>
  <si>
    <t>The repeated measures ANOVA indicated that the number of advertised brands in the choice set affected participants’ shopping pleasure,rated after each choice, F(2, 177) = 4.10, p = 0.02, η2 = 0.05, and the planned contrast</t>
  </si>
  <si>
    <t>Involvement was not a significant moderator, F(2, 177) = 2.01, p = 0.14, nor was</t>
  </si>
  <si>
    <t>nor was price difference, F(2, 178) = 0.08, p = 0.99. Furthermore,</t>
  </si>
  <si>
    <t>This ANOVA revealed F (2, 177) = 8.71, p &lt; 0.01, η2 = 0.09, and the planned contrast showed</t>
  </si>
  <si>
    <t>no advertised brands and more as opposed to fewer advertised brands. Price difference was not a significant moderator, F(2, 178) = 0.91, p = 0.46. 9.4.3 | Mediation analysis</t>
  </si>
  <si>
    <t>In line with our hypothesis, a significant two-way interaction between advice and participants manipulated opinion was found, F(1, 436) 5 24.99, p &lt; .001, g2 5 .054, indicating a</t>
  </si>
  <si>
    <t>The three-way interaction between advice, participants manipulated opinion and product was not significant, F(1, 436) 5 0.743, p 5 .39, g2 5 .002, indicating that the two-way interaction mentioned above did not depend on the type of financial product.</t>
  </si>
  <si>
    <t>We also observed a significant but weak interaction between the type of financial product and advice, F(1, 436) 5 9.66, p 5 .002, g2 5 .022. No other</t>
  </si>
  <si>
    <t>other effects were significant: product: F(1, 436) 5 1.61, p 5 .21, g2 5 .004; advice:</t>
  </si>
  <si>
    <t>advice: F(1, 436) 5 0.12, p 5 .73, g2 &lt; .001; participants manipulated</t>
  </si>
  <si>
    <t>participants manipulated opinion: F(1, 436) 5 0.40, p 5 .53, g2 5 .001; product</t>
  </si>
  <si>
    <t>product by participants manipulated opinion: F(1, 436) 5 0.74, p 5 .39, g2 5 .002. Further analyses</t>
  </si>
  <si>
    <t>Further analyses confirmed the two-way interaction between advice and participants manipulated opinion for both investment account, F(1, 436) 5 16.479, p &lt; .001, g2 5 .036, and life</t>
  </si>
  <si>
    <t>life insurance, F(1, 436) 5 23.07, p &lt; .001, g2 5 .050. Planned comparisons</t>
  </si>
  <si>
    <t>they assigned higher EA to the advisor who recommended buying the product (M 5 3.64, SD 5 0.84) than to the one who recommended against it (M 5 3.05, SD 5 1.02), F(1, 436) 5 20.68, p &lt; .001, g2 5 .045. However, when</t>
  </si>
  <si>
    <t>insurance, the effect reversed: They assigned lower EA to the advisor who recommended buying the product (M 5 3.19, SD 5 0.92) than to the one who recommended against it (M 5 3.48, SD 5 1.04), F(1, 436) 5 4.97, p 5 .026, g2 5 .01, supporting hypothesis H1b.</t>
  </si>
  <si>
    <t>Planned comparisons revealed that when the participants were asked to imagine that they held a positive opinion towards investing in the stock market, they assigned higher EA to the advisor who recommended opening the investment account (M 5 3.46, SD 5 0.89) than to the one who recommended against it (M 5 3.19, SD 5 1.10), F(1, 436) 5 4.38, p 5 .037, g2 5 .01, which again supports hypothesis H1a.</t>
  </si>
  <si>
    <t>hey assigned lower EA to the advisor who recommended opening the account (M 5 3.01, SD 5 0.80) than to the one who recommended against it (M 5 3.47, SD 5 0.98), F(1, 436) 5 13.38, p &lt; .001, g2 5 .03. Confirmation Effect Revisited.</t>
  </si>
  <si>
    <t>we found that the regression model with experimental manipulation of advice, participants measured opinions on insuring and their interaction as predictors was significant, F(3, 436) 5 4.910, p 5 .002, R2 5 .033. We found</t>
  </si>
  <si>
    <t>was significant, F(3, 436) 5 4.910, p 5 .002, R2 5 .033. We found that no significant effect was exerted by either experimental manipulation of advice (b 5 .075, SE 5 .047, t 5 1.58, p 5 .11, 95% CI \[2.018, .167\]), or the</t>
  </si>
  <si>
    <t>(b 5 .075, SE 5 .047, t 5 1.58, p 5 .11, 95% CI \[2.018, .167\]), or the participants measured opinions on insuring (b 5 .009, SE 5 .047, t 5 0.19, p 5 .85, 95% CI \[2.084, .102\]). However, as</t>
  </si>
  <si>
    <t>the interaction between advice and the participants measured opinions was significant (b 5 .165, SE 5 .047, t 5 3.495, p &lt; .001, 95% CI \[.070, .258\]). In other words,</t>
  </si>
  <si>
    <t>The association at the lowest level of the moderator (M –1SD 5 2.80), the most negative opinion on insuring held by participants, was not significant (b 52.090, SE 5 0.067, t 521.36, p 5 .17, 95% CI \[2.222, .041\]). F</t>
  </si>
  <si>
    <t>highest level of the moderator (M 1 1SD 5 4.68), the effect of advice on perceived advisors EA was significant and positive (b 5 .240, SE 5 .067, t 5 3.595, p &lt; .001, 95% CI \[.109, .371\]), indicating that when participants held a positive opinion towards insuring</t>
  </si>
  <si>
    <t>EA ascribed to the investment advisor. The regression model with experimental manipulation of advice, participants measured opinions of investing in the stock market and their interaction as predictors was significant, F(3, 436) 5 7.155, p &lt; .001, R2 5 .047. We found</t>
  </si>
  <si>
    <t>436) 5 7.155, p &lt; .001, R2 5 .047. We found no significant effect of experimental manipulation (b 52057, SE 5 .047, t 521.22, p 5 .223, 95% CI \[2.149, .035\]), and</t>
  </si>
  <si>
    <t>marginally significant effect of the participants measured opinion on investing (b 52.083, SE 5 .047, t 521.77, p 5 .08, 95% CI \[2.175, .009\]). Again, as expected</t>
  </si>
  <si>
    <t>The association at the lowest level of the moderator (M –1SD 5 1.45), the most negative opinion on investing held by participants, was significant and negative (b 52.247, SE 5 .066, t 523.74, p &lt; .001, 95% CI \[2.377, 2.117\]), indicating that</t>
  </si>
  <si>
    <t>the association between experimental manipulation of advice and the EA assigned to advisor was not significant (b 52.057, SE 5 .047, t 521.219, p 5 .223, 95% CI \[2.149, .035\]). For the</t>
  </si>
  <si>
    <t>he effect of advice on advisors EA was significant and positive (b 5 .133, SE 5 .066, t 5 2.011, p 5 .045, 95% CI \[.003, .263\]), indicating that</t>
  </si>
  <si>
    <t>The results of the regression analyses confirmed the significant interactions between the recommendation and the manipulation of participants opinions via the different scenarios, for both the insurance scenario (b 5 .214, SE 5 .046, t 5 4.663, p &lt; .001, 95% CI \[.124, .304\]) and</t>
  </si>
  <si>
    <t>the investment scenario (b 5 .182, SE 5 .047, t 5 3.895, p &lt; .001, 95% CI \[.090, .273\]). Also</t>
  </si>
  <si>
    <t>t 5 3.252, p 5 .001, 95% CI \[.060, .242\], for the insurance scenario</t>
  </si>
  <si>
    <t>and b 5 .188, SE 5 .047, t 5 4.204, p &lt; .001, 95% CI \[.095, .280\], for the investment scenario). None</t>
  </si>
  <si>
    <t>There was a main effect of emotion, Wilk’s Λ =.74,F(1, 582) = 210.26, p &lt;.001,ηp</t>
  </si>
  <si>
    <t>There was no main effect of type of relationship, Wilk’s Λ =.99,F(1, 582) = 2.29, p = .131, ηp</t>
  </si>
  <si>
    <t>or sexual orientation, Wilk’s Λ =.99,F(1, 582) = 1.15, p =.284,ηp 2 =.002. Of interest,</t>
  </si>
  <si>
    <t>the interaction between emotion and type of relationship was significant, F(1, 582) = 329.41, p &lt; .001, ηp</t>
  </si>
  <si>
    <t>This interaction was not qualified by country, F(2, 582) = 2.67, p =.070,ηp 2 =.009, suggesting that the CNM dehumanization effect held crossnationally.</t>
  </si>
  <si>
    <t>he interaction between emotion and sexual orientation was non-significant, F(1, 582) = 1.20, p =.274,ηp 2 =.002, such that</t>
  </si>
  <si>
    <t>Again, country did not qualify these results, F(2, 582) = 0.75, p =.475,ηp 2 = .003, suggesting that same-sex partners were not dehumanized in the three countries.</t>
  </si>
  <si>
    <t>Results also showed that the three-way interaction between emotion, type of relationship, and sexual orientation was nonsignificant, F(1, 582) = 0.98, p =.323,ηp 2 = .002. Once more,</t>
  </si>
  <si>
    <t>this result was not qualified by country, F(2, 582) = 0.16, p =.853,ηp</t>
  </si>
  <si>
    <t>In addition, results also showed an interaction between emotion and country, F(2582) = 16.25, p &lt;.001,ηp 2 =.053. Pairwise comparisons</t>
  </si>
  <si>
    <t>There was also a significant interaction between type of relationship and country, F(2582) = 13.79, p &lt; .001, ηp 2 = .045. Pairwise</t>
  </si>
  <si>
    <t>Portugal) repeated-measures ANOVA. The interaction between emotion, valence, and sexual orientation, F(1, 581) = 1.94, p =.165,ηp</t>
  </si>
  <si>
    <t>581) = 1.94, p =.165,ηp 2 = .003, as well as the 4-way interaction with country, F(2, 581) = 0.47, p =.627,ηp 2 = .002, was non-significant.</t>
  </si>
  <si>
    <t>the interaction between emotion and type of relationship remained significant, F(1, 571) = 20.69, p &lt;.001,ηp</t>
  </si>
  <si>
    <t>the interaction between emotion and sexual orientation remained non-significant, F(1, 571) = 0.38, p =.536,ηp</t>
  </si>
  <si>
    <t>the interaction between emotion, type of relationship, and sexual orientation remained non-significant, F(1, 571) = 0.08, p =.777,ηp</t>
  </si>
  <si>
    <t>of these effects were qualified by country, all F &lt;2.26, p &gt;.105,ηp 2 &lt;.008. Discussion</t>
  </si>
  <si>
    <t>A univariate analysis revealed main effects of cluster on both competence, F(5,16) = 30.86, p &lt; .001, ηp2</t>
  </si>
  <si>
    <t>and warmth, F(5,16) = 31.05, p &lt; .001, ηp2</t>
  </si>
  <si>
    <t>analysis of variance (ANOVA) demonstrated an interaction of cluster by dimension, F(5, 16) = 18.95, p &lt; .001, ηp2</t>
  </si>
  <si>
    <t>Group-level analysis revealed that perceived warmth and competence were not correlated, r(22) = .18, ns.</t>
  </si>
  <si>
    <t>As expected, competence positively correlated with social status, r(22) = .53, p &lt; .05, and warmth</t>
  </si>
  <si>
    <t>warmth marginally negatively correlated with competition, r(22) = −.41, p = .06. The unpredicted correlation</t>
  </si>
  <si>
    <t>n between competence and competition was r(22) = −.26, ns, and the</t>
  </si>
  <si>
    <t>unpredicted correlation between warmth and social status was marginal, r(22) = −.42, p =.051. Perception of the rich</t>
  </si>
  <si>
    <t>In line with our particular interest here, a matched pair t test demonstrated that the cluster involving the rich group scored higher on competence (M = 3.55) than warmth (M = 2.96), t(7) = 5.40, p = .001. Moreover</t>
  </si>
  <si>
    <t>, the group-level paired-sample t test targeting the rich group revealed that it was perceived as significantly more competent (M = 3.50) than warm (M = 2.46), t(105) = 13.15, p &lt; .001. Consistent with</t>
  </si>
  <si>
    <t>Distinct from the group-level analysis, the rich group’s competence positively correlated with warmth, r(106) = .50, p &lt; .001. Competence</t>
  </si>
  <si>
    <t>Competence positively correlated with social status, r(106) = .19, p &lt; .05, but no warmth–competitiveness relation was observed.</t>
  </si>
  <si>
    <t>but less contempt (M = 2.38) or pity (M = 2.10), F(3, 21) = 12.81, p &lt; .01, ηp2</t>
  </si>
  <si>
    <t>ANOVA indicated that participants endorsed significantly different emotions toward the rich, F(3, 315) = 162.54, p &lt; .001, ηp2</t>
  </si>
  <si>
    <t>On the cluster level, the cluster involving the rich group consistently indicated higher passive facilitation (M = 3.62), less active facilitation (M = 2.50), and less passive harm (M = 2.22), but unexpectedly least active harm6 (M = 2.27), F(3, 21) = 34.77, p &lt; .001, ηp2</t>
  </si>
  <si>
    <t>F(3, 21) = 34.77, p &lt; .001, ηp2 = .83. On the group level, participants reported, as expected, significantly higher passive facilitation—going along to get along (M = 3.54) with the rich than other behaviors. Contrary to expectations, passive harm (M = 2.99) was rated higher than active harm (M = 2.58) or active facilitation (M = 2.37), which did not differ from each other, F(3, 315) = 58.21, p &lt; .001, ηp2 = .36 (Table 2). Discussion</t>
  </si>
  <si>
    <t>The findings revealed that females reported higher scores on identity commitment (F = 5.35; Sig. = .02) and on</t>
  </si>
  <si>
    <t>complexity dimension of creativity (F = 6.12; Sig. = .01) than boys</t>
  </si>
  <si>
    <t>Overall, multivariate effects for risk-taking (Wilks’ k = .95; F(5, 308) = 2.91; p = .001, g2 = .05), complexity</t>
  </si>
  <si>
    <t>complexity (Wilks’ k = .92; F(5, 308) = 5.05; p = .000, g2 = .08), curiosity</t>
  </si>
  <si>
    <t>curiosity (Wilks’ k = .94; F(5, 308) = 3.86; p = .002, g2 = .08), imagination</t>
  </si>
  <si>
    <t>imagination (Wilks’ k = .94; F(5, 308) = 3.97; p = .002, g2 = .08) were significant.</t>
  </si>
  <si>
    <t>The model presented a good fit to data, χ2(41) = 62.67, p &lt; .05; χ2/df = 1.53; CFI = 0.99; SRMR = .03. As can</t>
  </si>
  <si>
    <t>The model showed an adequate fit to data, χ2(2) = 3.94, p = .14; χ2/df = 1.97; CFI = 0.98; SRMR = .03. As can be seen in Figure 2</t>
  </si>
  <si>
    <t>For membership salience, the model in which coefficients were not constrained showed an excellent fit to data, χ2(82) = 85.31, p = .38; χ2/df = 1.04; CFI = 1.00; SRMR = .04. In order to test</t>
  </si>
  <si>
    <t>From the chi-square difference test, it emerged that the two models were equivalent, χ2(88) = 89.62, Δ χ2(6) = 4.31, ns. In the</t>
  </si>
  <si>
    <t>when all parameters were constrained, a significant difference between the two models was found, χ2(119) = 149.17, Δ χ2(31) = 59.55, p &lt; .001. From the</t>
  </si>
  <si>
    <t>analysis of the single paths, we found a moderating effect of membership salience on the relationship between quality of contact and perceived legitimacy, χ2(89) = 96.70, Δ χ2(1) = 7.08, p &lt; .01. Quality of</t>
  </si>
  <si>
    <t>perceived legitimacy when membership salience was high (β = −.48, p &lt; .001), but not when it was low (β = −.08, ns). The indirect effect of perceived legitimacy with high membership salience was significant (point of estimate = .63, 95% CI \[0.07, 4.31\]). For content o</t>
  </si>
  <si>
    <t>Findings showed that group salience did not moderate the relation between contact and motivation for social change, χ2(23) = 35.52, Δ χ2(19) = 23.98, ns. Regarding</t>
  </si>
  <si>
    <t>fit indexes, χ2(4) = 5.26, p = .26; χ2/df = 1.31; CFI = 0.99; SRMR = .01. When constraining</t>
  </si>
  <si>
    <t>all coefficients, the chi-square difference test was significant, χ2(23) = 51.86, Δ χ2(19) = 46.60, p &lt; .001. When each</t>
  </si>
  <si>
    <t>p &lt; .001. When each path was individually constrained, a moderating effect on the relationship between contact quality and perceived status stability was observed, χ2(5) = 10.49, Δ χ2(1) = 5.23, p &lt; .05: the</t>
  </si>
  <si>
    <t>quality and perceived stability was significant when the interaction was focused more on differences rather than on similarities (β = .36, p &lt; .01), while</t>
  </si>
  <si>
    <t>the coefficient turned out to be nonsignificant for low levels of the moderator (β = −.03, ns). No</t>
  </si>
  <si>
    <t>SD = 2.48), t(58) = 5.84, p \\ 0.001. The participants</t>
  </si>
  <si>
    <t>SD = 2.48), t(58) = 5.84, p \\ 0.001. The participants recognized that their own confidence levels (M = 6.77, SD = 1.48) were equal to those of the fake less overconfident bettors, F(1, 29) = 2.66, p \[ 0.10, and</t>
  </si>
  <si>
    <t>their own confidence (M = 6.10, SD = 1.85) was lower than that of the fake very overconfident bettors, F(1, 29) = 56.74, p \\ 0.001. These results thus</t>
  </si>
  <si>
    <t>the fake very overconfident betting opponent (M = 5.77, SD = 2.11), t(58) = 1.16, p \[ 0.10 as being statistically equal</t>
  </si>
  <si>
    <t>as being more competent than the fake less overconfident bettors (M = 5.10, SD = 1.19), t(58) = 6.03, p \\ 0.001. The fake</t>
  </si>
  <si>
    <t>very overconfident bettor (M = 5.03, SD = 1.30) was also perceived as being more accurate on the general knowledge items than the fake less overconfident bettor (M = 4.03, SD = 1.10), t(58) = 3.22, p \\ 0.01. These results</t>
  </si>
  <si>
    <t>the participants tended to choose ‘‘not to bet’’ (betting with the very overconfident bettor: M = 3.13, SD = 1.72; betting with the less overconfident bettor: M = 1.50, SD = 1.36), t(58) = 4.09, p \\ 0.001. The fake</t>
  </si>
  <si>
    <t>The fake very overconfident bettor (M = 11.67, SD = 7.86) made more money than the fake less overconfident bettor (M = 5.27, SD = 5.86), t(58) = 3.589, p \\ 0.01. Mediation Effect</t>
  </si>
  <si>
    <t>Although the beverage was rated as more refreshing in the blue cup (M 5.87, SD 1.03) than in the yellow cup (M 5.51, SD 1.33), the main effect did not reach significance, F(1, 106) 2.71, p .102, p2 .03. However,</t>
  </si>
  <si>
    <t>a significant interaction between cup color and mindset emerged, F(1, 106) 4.70, p .032, p2 .04. As hypothesized</t>
  </si>
  <si>
    <t>parkling water in a blue cup as more refreshing (M 6.18, SD 0.70) than the same beverage in a yellow cup (M 5.33, SD 1.22), F(1, 106) 7.15, p .009, p2 .06. For participants</t>
  </si>
  <si>
    <t>who were primed with a low-level mindset, cup color had no effect, F 1. The</t>
  </si>
  <si>
    <t>ith a low-level mindset, cup color had no effect, F 1. The main effect of mindset was not significant, F 1. Moreover</t>
  </si>
  <si>
    <t>when the remaining items (i.e., intensity, sweetness, bitterness, sourness, quality, liking, and purchase intention) were used as dependent variables, no interaction effects were found, ps .24.4 Discussion</t>
  </si>
  <si>
    <t>Interestingly, the majority of participants believed they had received a motivated gift from someone else (n = 312) while a minority (n = 188) believed they had not, χ2 (1) = 30.752, p &lt; 0.001. Among</t>
  </si>
  <si>
    <t>the significant majority said others had done so too (n = 151, n = 22 said they had not), χ2 (1) = 96.191, p &lt; 0.001. However, among</t>
  </si>
  <si>
    <t>respondents were more evenly split about whether others had given them a motivated gift (n = 161 said others had given them a motivated gift, n = 166 said others had not given them a motivated gift, χ2 (1) = 0.076, ns). 4 | STUDIES 2A–D</t>
  </si>
  <si>
    <t>As Table 2 shows, power was positively related to both abusive behavior (B 5 .04, p 5 .041) and p</t>
  </si>
  <si>
    <t>perceived incivility (B 5 .10, p 5 .001), and</t>
  </si>
  <si>
    <t>perceived incivility was positively related to abusive behavior (B 5 .03, p 5 .049). Hypothesis</t>
  </si>
  <si>
    <t>was negative and significant (B 52.05, p 5 .048), supporting</t>
  </si>
  <si>
    <t>relationship between psychological power and abusive behavior is weaker for individuals higher (1 1 SD) in agreeableness (B 5 .01, p 5 .449) versus individuals lower (21 SD)</t>
  </si>
  <si>
    <t>in agreeableness (B 5 .06, p 5 .023). We</t>
  </si>
  <si>
    <t>did not find support for Hypothesis 6—agreeableness did not moderate the effect of psychological power on perceived incivility (B 5 .05, p 5 .390).</t>
  </si>
  <si>
    <t>As predicted by our account, but not the equity and efficiency preferences account, the frame has a dramatic impact on TOG play: under the Equalize frame, 47.2% of players choose the equitable option, compared to only 5.6% under the Give frame, χ2(1, N=498)=110.4, p&lt;.001. Furthermore, the</t>
  </si>
  <si>
    <t>frame also reverses the relationship between one’s play in the PD and the TOG (Figure 1; positive interaction between frame \[0=Give, 1=Equalize\] and TOG choice \[0=Efficient, 1=Equitable\] when predicting PD cooperation using logistic regression: b=2.42, p=.003, see Supplementary Information Table S1, for regression details</t>
  </si>
  <si>
    <t>Under the Equalize frame, subjects that choose the equitable option are much more likely to cooperate (49.1%) in the PD than subjects that choose the efficient option (22.7%), χ2(1, N=250)=19.1, p&lt;.001. Under the</t>
  </si>
  <si>
    <t>Give frame, however, the opposite is true (equitable option, 14.5%C; efficient option, 36.3%C; χ2(1, N=248)=2.8, p=.09).</t>
  </si>
  <si>
    <t>deviations for all of the study variables. The mean of personal standards perfectionism was higher than the mean of self-critical perfectionism (t = 1.94, p = .053). Repeated measures</t>
  </si>
  <si>
    <t>Self-critical perfectionism was positively correlated with personal standards perfectionism, (r = .46, p &lt; .001). Goal</t>
  </si>
  <si>
    <t>(r = .46, p &lt; .001). Goal motivation was significantly positively related to autonomy support (r = .22, p &lt; .001). Table</t>
  </si>
  <si>
    <t>The results indicated that the predictor variables accounted for a highly significant multiple R of .455, F (5,256) = 11.11, p &lt; .001. It can be seen on</t>
  </si>
  <si>
    <t>Both forms of perfectionism were unique predictors: self-critical perfectionism, beta = − .29, t (262) = − 3.94, p &lt; .001 and personal</t>
  </si>
  <si>
    <t>standards perfectionism, beta = .17, t (260) = 2.45, p = .015. Both motivational</t>
  </si>
  <si>
    <t>variables drawn from SDT were also significantly related to goal progress: goal motivation, beta = .23, t (258) = 3.77, p &lt; .001; and</t>
  </si>
  <si>
    <t>autonomy support, beta = .20, t (258) = 3.36, p &lt; .001. Finally, both</t>
  </si>
  <si>
    <t>forms of affect were significantly associated with goal progress, positive affect beta = .13, t (257) = 1.99, p = .045, and</t>
  </si>
  <si>
    <t>negative affect beta = − .15, t (257) = 2.32, p = .021. Mediation analyses</t>
  </si>
  <si>
    <t>Direct and indirect effects of self-critical perfectionism on participants’ endof-year goal progress, controlling for personal standards perfectionism. Total effect of DV on IV: b = − 0.16, SE = 0.06, t = − 4.11, p &lt; 0.001)</t>
  </si>
  <si>
    <t>Direct and indirect effects of self-critical perfectionism on participants’ endof-year goal progress, controlling for personal standards perfectionism. Total effect of DV on IV: b = 0.16, SE = 0 0.06, t = 3.97, p &lt; 0.001)</t>
  </si>
  <si>
    <t>Direct and indirect effects of self-critical perfectionism on end-of-year goal progress controlling for personal standards perfectionism. Total effect of DV on IV: b = − 0.26, SE = 0 0.07, t = − 3.97, p &lt; 0.001)</t>
  </si>
  <si>
    <t>Direct and indirect effects of personal standards perfectionism on participants’ end-of-year goal progress, controlling for self-critical perfectionism. Total effect of DV on IV: b = 0.15, SE = 0 0.07, t = 2.29, p &lt; 0 .05)</t>
  </si>
  <si>
    <t>The finding supported Hypothesis 1 when learning orientation had both a direct effect (0.498, p &lt; 0.001) an</t>
  </si>
  <si>
    <t>an indirect impact on innovation performance due to creative self-efficacy (0.62 × 0.277 = 0.172; p &lt; 0.001; following the calculation rule of Bollen (1989). Therefore, the total effects</t>
  </si>
  <si>
    <t>f learning orientation on innovation performance were 0.67 (p &lt; 0.001).</t>
  </si>
  <si>
    <t>Furthermore, the findings illustrated that creative self-efficacy positively mediates between learning orientation (the estimate = 0.62, p &lt; 0.001) and innovation performance (the estimate = 0.277, p &lt; 0.001). Hence, Hypothesis 2 was supported.</t>
  </si>
  <si>
    <t>d Implications These findings are relevant to the intensity and kind of innovation activities and performances for sustainability implementation in SMEs. They have contributed to inspiring research questions. Many previous studies have not explored the causal linkages between creative climate, learning orientation, financial slack, innovation outcomes and organizational performance. Our study attempted to seek answers to such questions by using empirical data to test the direct and indirect influence of innovation performance and creative self-efficacy as mediating variables on the connection between learning orientation and organizational performance. Moreover, this study also examined the direct effect of financial slack on innovation outcomes and organizational performance. Previous studies have rarely investigated these relationships. One of the fundamental contributions of this study is its confirmation that SMEs have not utilized financial slack to invest in innovation activities and improve firm performance. This result was not consistent with previous theories, which supported that SMEs could utilize financial slack to benefit from pursuing new strategies for innovative solutions such as launching new business models, processes, services and products (Gassmann 2006; Parida and Örtqvist 2015) or developing new markets with potentially high payoffs (Simsek et al. 2007; Voss et al. 2008). In other words, in innovation projects, the determinant logic across the literature is that financial resource slack, instead of constraining actually encourages innovation (Hoegl et al. 2008; Camison-Zornoza et al. 2004). However, the findings provide strong evidence that supports other prior creative studies. These scholars argue that larger financial slack lowers sustainability expense in “developing economy firms due to inherent institutional weaknesses in enforcing compliance with sustainability causes.</t>
  </si>
  <si>
    <t>organizational performance (0.233, p &lt; 0.001). This</t>
  </si>
  <si>
    <t>In addition, Hypothesis 6 holds because the estimated coefficient verified a positive and statistically significant association between innovation performance and organizational performance (0.349, p &lt; 0.001). However, the findings demonstrated no evidence to support Hypotheses 4 and 5.</t>
  </si>
  <si>
    <t>The main effect was found for the three conditions (F(2,90) = 144.70, p &lt; 0.001, η2p = 0.76), such that</t>
  </si>
  <si>
    <t>the ratings for the reappraisal condition were higher than the pleasant condition \[t(45) = 7.78, p &lt; 0.001\] and neutral</t>
  </si>
  <si>
    <t>neutral condition \[t(45) = 14.03, p &lt; 0.001\]. Additionally,</t>
  </si>
  <si>
    <t>ratings were higher for the pleasant condition vs. neutral condition \[t(45) = 11.31, p &lt; 0.001\]. ERP Results</t>
  </si>
  <si>
    <t>A main effect of Hemisphere existed, \[F(1,44) = 9.09, p &lt; 0.01, η2p = 0.17\], with the</t>
  </si>
  <si>
    <t>A main effect of Condition existed, \[F(2,88) = 9.76, p &lt; 0.001, η2p = 0.18\], with the amplitudes</t>
  </si>
  <si>
    <t>amplitudes being larger for positive cognitive reappraisal than for pleasant pictures \[t(45) = 2.02, p &lt; 0.05\] and</t>
  </si>
  <si>
    <t>eutral \[t(45) = 3.87, p &lt; 0.01\]. Amplitudes</t>
  </si>
  <si>
    <t>Amplitudes for pleasant pictures were larger than those for neutral \[t(45) = 2.82, p &lt; 0.001\]. The</t>
  </si>
  <si>
    <t>analysis also showed a main effect of Region, \[F(1.43,88) = 225.37, p &lt; 0.001, η2p = 0.84\]. The amplitudes</t>
  </si>
  <si>
    <t>amplitudes were larger in the posterior recording sites than in the central \[t(45) = 16.22, p &lt; 0.001\] and anterior</t>
  </si>
  <si>
    <t>anterior \[t(45) = 16.17, p &lt; 0.001\] recording sites.</t>
  </si>
  <si>
    <t>a significant interaction between Hemisphere and Region, \[F(2,88) = 225.37, p &lt; 0.001, η2p = 0.84\]. Specifically, with</t>
  </si>
  <si>
    <t>the amplitudes being larger for the left-posterior recording sites than for right-posterior \[t(45) = 12.92, p &lt; 0.001\],and the</t>
  </si>
  <si>
    <t>amplitudes being larger for the left-central recording sites than for right-central \[t(45) = 13.10, p &lt; 0.001\], and the</t>
  </si>
  <si>
    <t>amplitudes being larger for the left-anterior recording sites than for rightanterior \[t(45) = 13.10, p &lt; 0.001\]. There was an also significant</t>
  </si>
  <si>
    <t>interaction between Hemisphere and Condition, \[F(2,79.1) = 9.76, p &lt; 0.001, η2p = 0.18\]. Specifically</t>
  </si>
  <si>
    <t>with the left hemisphere activations being higher for the positive cognitive reappraisal than neutral \[t(45) = 16.41, p &lt; 0.001\], and</t>
  </si>
  <si>
    <t>with the right hemisphere activations being higher for the positive cognitive reappraisal than neutral \[t(45) = 16.58, p &lt; 0.001\]. Age</t>
  </si>
  <si>
    <t>Late positive potential was sensitive to condition, \[F(2,88) = 20.40, p &lt; 0.001, η2p = 0.32\]. LPP following</t>
  </si>
  <si>
    <t>positive cognitive reappraisal was significantly larger than that following pleasant pictures \[t(45) = 2.77, p &lt; 0.01\] and</t>
  </si>
  <si>
    <t>neutral appraisal \[t(45) = 5.76, p &lt; 0.001\]. Amplitudes</t>
  </si>
  <si>
    <t>for pleasant pictures were larger than those for neutral appraisal \[t(45) = 3.72, p &lt; 0.001\]. A main</t>
  </si>
  <si>
    <t>effect was found in the region, \[F(1.29,88) = 62.81, p &lt; 0.001, η2p = 0.59\], and the</t>
  </si>
  <si>
    <t>LPP amplitudes for the posterior recording sites were larger compared with those for the central \[t(45) = 7.13, p &lt; 0.001\] and</t>
  </si>
  <si>
    <t>anterior \[t(45) = 7.80, p &lt; 0.001\] recording sites. The</t>
  </si>
  <si>
    <t>amplitudes for the central recording sites were larger than those for the anterior recording sites \[t(45) = 5.85, p &lt; 0.001\]. A significant</t>
  </si>
  <si>
    <t>interaction existed between region and condition \[F(2.77,121.94) = 3.00, p &lt; 0.05, η2p = 0.06\]. Post hoc</t>
  </si>
  <si>
    <t>reappraisal condition than for the pleasant condition \[t(45</t>
  </si>
  <si>
    <t>However, contrary to predictions, no differences occurred between the reappraisal and pleasant condition in the anterior region. There was a significant interaction between Hemisphere and Condition, \[F(2,88) = 20.40,</t>
  </si>
  <si>
    <t>2p = 0.31\]. Specifically</t>
  </si>
  <si>
    <t>for the positive cognitive reappraisal, the left hemisphere activations were higher than the right hemisphere \[t(45) = 1.98, p &lt; 0.05\]. We</t>
  </si>
  <si>
    <t>also found the interaction effect between Age and Region, \[F(2,88) = 7.74, p &lt; 0.001, η2p = 0.15\]. Post hoc</t>
  </si>
  <si>
    <t>LPP was larger for the older children than for the younger children, \[t(45</t>
  </si>
  <si>
    <t>A main effect of condition existed, \[F(2,88) = 10.23, p &lt; 0.001, η2p = 0.19\]. The</t>
  </si>
  <si>
    <t>amplitudes for positive cognitive reappraisal were larger than those for pleasant \[t(45) = 2.02, p &lt; 0.05\] and</t>
  </si>
  <si>
    <t>neutral pictures \[t(45) = 3.02, p &lt; 0.01\]. The amplitudes</t>
  </si>
  <si>
    <t>for pleasant pictures were larger than those for neutral pictures \[t(45) = 4.05, p &lt; 0.001\]. The</t>
  </si>
  <si>
    <t>analysis showed a main effect of region, \[F(1.42,88) = 89.64, p &lt; 0.001, η2p = 0.67\]. The amplitudes</t>
  </si>
  <si>
    <t>amplitudes were larger in the central recording sites than in the posterior \[t(45) = 9.97, p &lt; 0.001\] and</t>
  </si>
  <si>
    <t>anterior recording sites \[t(45) = 9.63, p &lt; 0.001\], and the</t>
  </si>
  <si>
    <t>amplitudes for the posterior recording sites were larger than those for the anterior recording sites \[t(45) = 5.26, p &lt; 0.001\]. There</t>
  </si>
  <si>
    <t>was a significant interaction between Hemisphere and Region, \[F(2,88) = 89.64, p &lt; 0.001, η2p = 0.67\]. Specifically, with</t>
  </si>
  <si>
    <t>amplitudes being larger for the left-central recording sites than for right-central \[t(45) = 4.81, p &lt; 0.001\],and the amplitudes</t>
  </si>
  <si>
    <t>being larger for the left-anterior recording sites than for right-anterior \[t(45) = 13.10, p &lt; 0.001\]. There was</t>
  </si>
  <si>
    <t>a significant interaction between Hemisphere and Condition, \[F(2,88) = 10.23, p &lt; 0.001, η2p = 0.19\], but simple</t>
  </si>
  <si>
    <t>We also found the interaction effect between Age and Region, \[F(2,88) = 5.69, p &lt; 0.01, η2p = 0.12\]. Post hoc</t>
  </si>
  <si>
    <t>LPP was larger for the older children than for the younger children, \[t(45) = 6.24, p &lt; 0.01\]. Age</t>
  </si>
  <si>
    <t>The results showed that increasing age in months was associated with large amplitudes due to reappraisal only in the under 120 months group \[r(22) = 0.39, p &lt; 0.05\], and this correlation was significant for the early window</t>
  </si>
  <si>
    <t>For both facial and bodily dominance, associations with competition outcomes were stronger for physical compared to nonphysical disciplines (cross-product terms, facial dominance: b ¼ .12, SE ¼ .05, p ¼ .02; bodily</t>
  </si>
  <si>
    <t>dominance: b ¼ .12, SE ¼ .05, p ¼ .03; Supplemental Table S4).</t>
  </si>
  <si>
    <t>Moreover, facial physical dominance correlated positively with baseline T (r ¼ .23, p &lt; .05), physical</t>
  </si>
  <si>
    <t>trength (r ¼ .32, p &lt; .001), and self</t>
  </si>
  <si>
    <t>self-reported trait dominance (r ¼ .18, p &lt; .05; Supplemental Table S5). Bodily</t>
  </si>
  <si>
    <t>trait dominance (r ¼ .28, p &lt; .01), and</t>
  </si>
  <si>
    <t>negatively with height (r ¼.22, p &lt; .05; Table S5).</t>
  </si>
  <si>
    <t>wrestling discipline (Table 3; direct effect of facial/bodily dominance on outcome of arm wrestling: unstandardized coefficients ¼ .05/.05, standardized coefficients ¼ .15/.16, SE ¼ .03/.03, p ¼ .09/.06, o</t>
  </si>
  <si>
    <t>n physical strength: unstandardized coefficients ¼ 1.71/1.54, standardized coefficients ¼ .32/.32, SE ¼ .47/.41, p &lt; .001/&lt; .001). There</t>
  </si>
  <si>
    <t>and no main effect of emotion was observed in the repeated-measures ANOVA analysis \[F(2,114) = 0.79, p = ns\]. The</t>
  </si>
  <si>
    <t>SSRT did not differ significantly between the three stop-signal conditions \[F(2,114) = 0.58, p = ns\], indicating that stop performance was comparable in the emotional and in the neutral stop-signal trials.</t>
  </si>
  <si>
    <t>The SSD was also comparable in all conditions \[F(2,114) = 0.33, p = ns\]. Incidental</t>
  </si>
  <si>
    <t>Incidental recall was superior for emotional relative to neutral words \[F(2,114) = 41.70, p &lt; 0.001, η2p = 0.42\]. This</t>
  </si>
  <si>
    <t>was true both for negative words \[t(57) = 6.70, p &lt; 0.001, d = 0.98\] and positive</t>
  </si>
  <si>
    <t>positive words \[t(57) = 7.86, p &lt; 0.001, d = 1.07\]. Correct recall</t>
  </si>
  <si>
    <t>Correct recall did not differ between negative and positive words \[t(57) = 0.35, p = ns\]. ERP Findings</t>
  </si>
  <si>
    <t>The global analysis revealed that the main effect of Response Type was significant \[F(1,57) = 38.46, p &lt;0.001, η2p = 0.40\]. The ERPs</t>
  </si>
  <si>
    <t>The ERN amplitudes were statistically comparable \[F(2,114) = 0.78, p = 0.46, η2p = 0.01) in the NEG, POS and NEU Error trials</t>
  </si>
  <si>
    <t>the main effect of Error Condition was also significant \[F(2,114) = 6.34, p = 0.002, η2p = 0.10\]. The Pe amplitudes</t>
  </si>
  <si>
    <t>This was true for both NEG Error trials \[t(57) = 2.75, p = 0.008, d = 0.23, 1M = 1.3 μV\] and POS</t>
  </si>
  <si>
    <t>POS Error trials \[t(57) = 3.36, p = 0.001, d = 0.30, 1M = 1.6 μV\]. The Pe</t>
  </si>
  <si>
    <t>differ between NEG and POS Error trials \[t(57) = 0.54, p = ns, 1M = 0.3 μV\].</t>
  </si>
  <si>
    <t>The Pearson correlation analyses revealed that memory performance for negative words was significantly correlated with the Pe amplitude in the NEG Error trials (r = 0.35, p = 0.007)1. However</t>
  </si>
  <si>
    <t>there was no significant correlation either between memory performance for positive words and the Pe amplitude in the POS Error trials (r = −0.04, p = ns), or between</t>
  </si>
  <si>
    <t>memory performance for neutral words and the Pe amplitude in the NEU Error trials (r = 0.04, p = ns). Figure 3</t>
  </si>
  <si>
    <t>The analyses revealed significant correlation between incidental recall for negative words and the Pe amplitude both in all erroneous response trials (r = 0.33, p = 0.012) and</t>
  </si>
  <si>
    <t>in the NEU Error trials (r = 0.30, p = 0.023). No correlation</t>
  </si>
  <si>
    <t>No correlation was found between memory performance for negative nouns and the Pe amplitude in the POS Error trials (r = 0.26, p = ns). Figure 4</t>
  </si>
  <si>
    <t>We included Nation as a predictor for completeness. However, in so doing we determined that the test of parallel lines was significant, χ2(4) = 10.356, p = .035. This indicates</t>
  </si>
  <si>
    <t>We included Nation as a predictor for completeness. Regarding the first trial, our model did not provide good fit, χ2(4) = 7.84, p = .010. None of</t>
  </si>
  <si>
    <t>Regarding our second trial, our model did not provide good fit, χ2(4) = 1.53, p = .821. None of t</t>
  </si>
  <si>
    <t>This suggests that posts about both experiential and material purchases are quite common, but that posts about experiential purchases were encountered more frequently (McNemar's c2(1) ¼ 31.61, p &lt; .001). In total,</t>
  </si>
  <si>
    <t>For how often people in general see posts about experiential or material purchases, we found that participants reported that in the past year they have seen more experiential posts (M ¼ 5.72, SD ¼ 1.39) than material posts (M ¼ 4.28, SD ¼ 1.55), t(171) ¼ 12.97, p &lt; .001, dz ¼ 0.99, which is</t>
  </si>
  <si>
    <t>As can be seen in Table 1, the manipulation check showed that participants reported posts in the material condition as more material than those in experiential condition, t(128) ¼11.26, p &lt; .001, dz ¼ 0.99. With regard</t>
  </si>
  <si>
    <t>marginally significant higher level of envy when they read the reported experiential post than the reported material post, t(129) ¼ 1.83, p ¼ .070, dz ¼ 0.16. These results</t>
  </si>
  <si>
    <t>Self-relevance, the perception that the purchase of the other was also important for oneself, was higher in the experiential condition than in the material condition, t(130) ¼ 3.43, p &lt; .001, dz ¼ 0.30. With regard</t>
  </si>
  <si>
    <t>the comparability of experiential purchases was slightly lower than that of material purchases, but the effect was not significant, t(130) ¼1.35, p ¼ .179, dz ¼ 0.12. The correlational statistics</t>
  </si>
  <si>
    <t>statistically significant in all specifications. As the anchoring number increases by one unit, people’s WTP increases $0.19 (t = 5.38, p &lt; .001, 95% CI = \[0.12, 0.26\]; Model 1 in Table 3).</t>
  </si>
  <si>
    <t>he main effects of the anchor type (t = −0.13, p = .898, 95% CI = \[−9.09, 7.89\]; Model 2 in Table 3) and</t>
  </si>
  <si>
    <t>recruiting method (t = −0.13, p = .896, 95% CI =</t>
  </si>
  <si>
    <t>We also found a significant correlation between the anchor and the mean estimated market price of each participant, but the correlation coefficient was smaller for the estimated market price (r = 0.37, p &lt; 0.001) than</t>
  </si>
  <si>
    <t>than that for WTP (r = 0.45, p &lt; .001).</t>
  </si>
  <si>
    <t>nor were there significant interactions with the anchoring number (anchor type×anchor: t = −0.42, p = .675, 95% CI = \[−0.18, 0.11\]; recruit</t>
  </si>
  <si>
    <t>type×anchor: t = 1.21, p = .229, 95% CI = \[−0.05, 0.22\]).</t>
  </si>
  <si>
    <t>Women's facial hair preferences were greater than chance (0.50) in the early follicular (t51 = 5.67, p &lt; 0.001), ovulatory</t>
  </si>
  <si>
    <t>ovulatory (t51 = 4.65, p &lt; 0.001), and luteal</t>
  </si>
  <si>
    <t>luteal (t51 = 4.81, p &lt; 0.001) phases (Fig. 2A). There was</t>
  </si>
  <si>
    <t>no significant effect of menstrual cycle phase on preferences (F2,102 = 0.07, p = 0.935; η2 = 0.001). Bayesian</t>
  </si>
  <si>
    <t>analyses revealed that it is 15 times more likely to reflect a true null result than the hypothesised effect (BFM = 15.115; see Table S1).</t>
  </si>
  <si>
    <t>n the sample in which peri-ovulation was determined via E2 drop, facial hair preferences were greater than chance (0.50) in the early follicular (t40 = 4.28, p &lt; 0.001), ovulatory</t>
  </si>
  <si>
    <t>ovulatory (t40 = 3.44, p &lt; 0.001), and luteal</t>
  </si>
  <si>
    <t>luteal (t40 = 3.84, p &lt; 0.001) phases</t>
  </si>
  <si>
    <t>There was no significant effect of menstrual cycle phase on preferences (F2,80 = 0.22, P = 0.803; η2 = 0.005). Bayesian</t>
  </si>
  <si>
    <t>Bayesian analyses revealed that it is 11 times more likely to reflect a true null result than the hypothesised effect (BFM = 10.678; see Table S2).</t>
  </si>
  <si>
    <t>In the sample in which peri-ovulation was determined via an LH surge, facial hair preferences were greater than chance (0.50) in the early follicular (t31 = 3.07, p = 0.004), ovulatory</t>
  </si>
  <si>
    <t>ovulatory (t31 = 3.59, p &lt; 0.001), and luteal</t>
  </si>
  <si>
    <t>luteal (t31 = 3.84, p = 0.005) phases (Fig. 2C). There</t>
  </si>
  <si>
    <t>no significant effect of menstrual cycle phase on preferences (F2,62 = 0.40, p = 0.675; η2 = 0.013). Bayesian</t>
  </si>
  <si>
    <t>analyses revealed that it is 8 times more likely to reflect a true null result than the hypothe-</t>
  </si>
  <si>
    <t>The main effect of Cue was significant, F(1, 26) 17.95, MSe .010, p2 .408, p .001; the proportion of c</t>
  </si>
  <si>
    <t>There was also a significant main effect of the type of distractor, F(1, 26) 28.55, MSe .004, p2 .523, p .001. Accuracy was</t>
  </si>
  <si>
    <t>These main effects were qualified by their significant interaction, F(1, 26) 6.76, MSe .004, p2</t>
  </si>
  <si>
    <t>The DF effect was significant in both the exemplar test condition, t(26) 4.48, p .001, Cohen’s d .934, and the</t>
  </si>
  <si>
    <t>category test condition, t(25) 2.68, p .013, Cohen’s d .535, but the</t>
  </si>
  <si>
    <t>There was a significant main effect of cue, F(1, 26) 16.04, MSe 161145, p2 .382, p .001, showing</t>
  </si>
  <si>
    <t>There was also a significant main effect of type of Distractor, F(1, 26) 14.46, MSe 996858, p2 .357, p .001, indicating that participants took longer to respond in the exemplar test condition (M 2084 ms, SE 115 ms) than in the category test condition (M 1853 ms, SE 108 ms</t>
  </si>
  <si>
    <t>The interaction between cue and distractor did not approach significance, F(1, 26) 1.33, MSe 112481, p2 .049, p .259. The results of</t>
  </si>
  <si>
    <t>In terms of recollection, the WORDS condition produced more 6R responses than the IRREGULAR-NONWORD condition, t(55)¼ 3.30, po0.01, although not</t>
  </si>
  <si>
    <t>3.30, po0.01, although not significantly more than the REGULARNONWORD condition, t(62)¼1.67, p¼ .10. As well, there were</t>
  </si>
  <si>
    <t>marginally more 6R responses were observed in the REGULARNONWORD than the IRREGULAR-NONWORD condition, t(63)¼ 1.89, p¼.06. In terms</t>
  </si>
  <si>
    <t>In terms of familiarity, a 2 (between: REGULAR-NONWORD vs. IRREGULAR-NONWORD) 3 (within: level of confidence) mixed ANOVA revealed a main effect of confidence, F(2,126)¼10.36, MSe¼0.011, ηp2¼ .14, but no main effect</t>
  </si>
  <si>
    <t>A 2 (between: WORDS vs. NONWORDS) X 3 (within: level of confidence) mixed ANOVA revealed a main effect of confidence, F(2,182)¼8.32, MSe¼0.011, ηp2¼.08, but no</t>
  </si>
  <si>
    <t>Critically, we observed a significant interaction between confidence levels and stimulus type, F(2,182)¼14.20, MSe¼0.011, ηp2¼ .14, indicating that</t>
  </si>
  <si>
    <t>MSe¼0.011, ηp2¼ .14, indicating that there were more 6K responses for words than nonwords, t(91)¼4.49, po0.01, and fewer</t>
  </si>
  <si>
    <t>fewer 4K responses for words than nonwords, t(91)¼ 2.93, po0.01. Words and</t>
  </si>
  <si>
    <t>Words and nonwords did not differ in terms of 5K responses, t (91)¼ 1.46, p¼ .15.</t>
  </si>
  <si>
    <t>revealed a main effect of confidence, F(2,74)¼ 21.44, MSe¼0.015, ηp2¼ .37, indicating that</t>
  </si>
  <si>
    <t>A comparison between the probability that a recollected item would decline similarly showed no difference between nonword types, t(59)¼0.94, p¼.35. Because the</t>
  </si>
  <si>
    <t>To analyze the “know” responses, a 2 (between: WORDS vs. NONWORDS) 3 (within: level of confidence \[6K, 5K, 4K\]) mixed ANOVA revealed a main effect of confidence, F(2,92)¼20.01, MSe¼ 0.015, ηp2¼ .30. Though</t>
  </si>
  <si>
    <t>there was no interaction between stimulus type and confidence, F o1, a</t>
  </si>
  <si>
    <t>main effect of stimulus type was observed, F (1,46)¼6.08, MSe¼0.06, ηp2¼.12. This main</t>
  </si>
  <si>
    <t>Follow-up comparisons revealed that this was true for 6K items, t (60)¼3.47, po0.01, though this</t>
  </si>
  <si>
    <t>effect was only marginal for 5K items, t(85)¼1.73, p¼.09, and not</t>
  </si>
  <si>
    <t>not present for 4K items, t(72)¼ 0.43, p¼.67. High confidence</t>
  </si>
  <si>
    <t>Regarding recollection, recollectable nonwords were no more or less likely to decline than were recollectable words, t (87)¼0.07, p¼.94. 2.2.4. Second repetition</t>
  </si>
  <si>
    <t>items in the two nonword conditions. To analyze the “know” responses, a 2 (between: REGULAR-NONWORD vs. IRREGULARNONWORD) 3 (within: level of confidence \[6K, 5K, 4K\]) mixed ANOVA revealed a main effect of confidence, F(2,74)¼6.51, MSe¼0.19, ηp2¼.15, indicating that higher confidence “know” responses that did decline had a greater decline in confidence than lower confidence “know” responses that did decline.</t>
  </si>
  <si>
    <t>A comparison between the amount of decline in confidence that a recollected item experienced showed no difference between nonword types, t(59)¼0.78, p¼.44. Because the</t>
  </si>
  <si>
    <t>mixed ANOVA revealed a main effect of confidence, F(2,92) ¼4.09, MSe¼0.20, ηp2¼ .08. Although</t>
  </si>
  <si>
    <t>there was no interaction between stimulus type and confidence, F o1, a main e</t>
  </si>
  <si>
    <t>effect of stimulus type was observed, F(1,46)¼ 9.10, MSe¼0.56, ηp2¼ .17. This main effect</t>
  </si>
  <si>
    <t>Follow-up comparisons revealed that this was true for 6K items, t(60)¼ 3.31, po0.01, and</t>
  </si>
  <si>
    <t>5K items, t(85)¼3.28, po 0.01, but not</t>
  </si>
  <si>
    <t>not present for 4K items, t (72)¼1.48, p¼ .14. Higher confidence</t>
  </si>
  <si>
    <t>Regarding recollection, nonwords that were initially “remembered” but that did decline, declined to a greater degree than did initially “remembered” words that declined, t(87)¼2.72, po 0.01. 3. Discussio</t>
  </si>
  <si>
    <t>The relative fit of the restricted model was not worse than the fit of the unrestricted model, both in terms of χ2, Δχ2(51) = 48.48, p = .574, and in terms of comparative fit index (CFI) (ΔCFI = 0.001).</t>
  </si>
  <si>
    <t>As expected and in line with Table 4, the effects from the dispositions to conduct were stronger than the opposite effects (in each case, Δχ2(1) &gt; 3.81, p &lt; .026, one-tailed), whereas</t>
  </si>
  <si>
    <t>nstead, Table 4 suggests that self-esteem with peers predicted extraversion and openness more strongly than do vice versa (opposite to Hypothesis 2), which was confirmed, Δχ2(1) &gt; 7.39, p &lt; .007, two-tailed. After stepwise</t>
  </si>
  <si>
    <t>Personal success accounted for significant variance in identification (χ2(2) = 14.60, p = .001, Cox-Snell R2 = .14) and we therefore</t>
  </si>
  <si>
    <t>Participants were 47% less likely to self-identify according to their nation compared to as an individual for each unit increase in personal success, B = -.63, χ2 (1) = 9.78, p = .002, exp(B) = .53, 95% CI \[.36; .79\]. Similarly, participants</t>
  </si>
  <si>
    <t>participants were 45% less likely to self-identify according to their religion compared to as an individual for each unit increase in personal success, B = -.60, χ2 (1) = 5.73, p = .02, exp(B) = .55, 95% CI \[.34; .90\]. An additional</t>
  </si>
  <si>
    <t>An additional model with “religion” as the reference category indicated that personal success was not associated with differences in self-identifications according to one’s religion compared to one’s nation, B = -.03, χ2 (1) = .01, p = .91, exp(B) = .97, 95% CI \[.55; 1.70\].</t>
  </si>
  <si>
    <t>desirability (desirable versus undesirable events) as our within-subject factors. There was a statistically significant three-way interaction between our factors (F (1,81) = 165.59, p &lt; .0005, ηp 2 = .672), which we resolved with two-way ANOVAs separately for desirable and undesirable events.</t>
  </si>
  <si>
    <t>For desirable events, we found a main effect of competence (F (1,81) = 117.22, p &lt; .0005, ηp 2 = .591), with competent characters (M = 60.87%, SD = 10.08%) expected to experience more desirable events than less competent characters (M = 49.92%, SD = 11.58%; Fig 2). This supports our hypothesis H1a.</t>
  </si>
  <si>
    <t>There was also a main effect of warmth (F (1,81) = 347.43, p &lt; .0005, ηp 2 = .811), with warm characters (M = 66.02%, SD = 10.13%) expected to live more desirable events than cold characters (M = 44.77%, SD = 11.52%; Fig 2), thus supporting our hypothesis H2a</t>
  </si>
  <si>
    <t>No statistically significant two-way interaction effect was found (F (1,81) = 2.48, p = .119, ηp 2 = .030). For undesirable events</t>
  </si>
  <si>
    <t>there was a significant two-way interaction between warmth and competence (F (1,81) = 185.32, p &lt; .0005, ηp</t>
  </si>
  <si>
    <t>no significant main effects of warmth (F (1,88) = 1.98, p = .163, ηp 2 = .024) or competence</t>
  </si>
  <si>
    <t>2 = .008; Fig 2). Looking at the</t>
  </si>
  <si>
    <t>to experience less undesirable events than less competent cold characters (M = 59.01%, SD = 10.38%, F (1,81) = 79.1030 p &lt; .0005, ηp</t>
  </si>
  <si>
    <t>competent warm characters (M = 58.78%, SD = 10.99%) to experience more undesirable events than less competent warm characters (M = 46.51%, SD = 10.58%, F (1,81) = 96.59, p &lt; .0005, ηp</t>
  </si>
  <si>
    <t>We found significant positive differences for the student character (t (81) = 13.78, p &lt; .0005) and the</t>
  </si>
  <si>
    <t>elderly character (t (81) = 15.16, p &lt; .0005) but a</t>
  </si>
  <si>
    <t>significant negative difference for the alcoholic character (t (81) = -11.32, p &lt; .0005). The difference</t>
  </si>
  <si>
    <t>difference between desirable and undesirable events for the businessperson was not statistically significant from zero (t (81) = 2.29, p = .024). We then</t>
  </si>
  <si>
    <t>We found main effects of warmth (F (1,81) = 278.26, p &lt; .0005, ηp 2 = .762) and competence</t>
  </si>
  <si>
    <t>2= .412), both being q</t>
  </si>
  <si>
    <t>2 = .601). A close look</t>
  </si>
  <si>
    <t>warm and less competent character (elderly; M = 14.50, MSE = .99, SD = 9.39) had a bigger difference in scores between desirable and undesirable events compared to the warm and competent character (student; M = 11.84, MSE = .95, SD = 8.96) but the effect size was small (F (1,81) = 5.14, p = .026, ηp 2 = .056; Fig 3). The cold</t>
  </si>
  <si>
    <t>cold and less competent character (alcoholic; M = -20.69, SD = 17.27) had a bigger difference in scores between desirable and undesirable events compared to the cold and less competent character (i.e. businessperson; M = 3.53, SD = 12.61) but in the opposite direction (F (1,81) = 111.54, p &lt; .0005, ηp 2 = .562; Fig 3). In summary, t</t>
  </si>
  <si>
    <t>For desirable events, ratings of perceived event frequency significantly correlated with the likelihood estimates for the self (r = .94, p &lt; .0005), the</t>
  </si>
  <si>
    <t>the student character (r = .88, p &lt; .0005) and the</t>
  </si>
  <si>
    <t>elderly character (r = .73, p = .001). Similarly, scores of personal</t>
  </si>
  <si>
    <t>events were significantly associated with the likelihood estimates for the self (r = .99, p &lt; .0005), the student</t>
  </si>
  <si>
    <t>the student character (r = .89, p &lt; .0005) and the e</t>
  </si>
  <si>
    <t>elderly character (r = .77, p &lt; .0005). Only the</t>
  </si>
  <si>
    <t>perceived controllability of an event was significantly associated with the likelihoods for the businessperson (r = .563, p = .023) and the</t>
  </si>
  <si>
    <t>alcoholic character (r = -.502, p = .049). For undesirable events</t>
  </si>
  <si>
    <t>ratings of event frequency significantly correlated with likelihood estimates for the self (r = .75, p = 0.001) and the</t>
  </si>
  <si>
    <t>student character (r = .62, p = 0.010), as did ratings of personal experience (self: r = .89, p &lt; .0005; student:</t>
  </si>
  <si>
    <t>student: r = .86, p &lt; .0005). Only the perceived</t>
  </si>
  <si>
    <t>controllability of an event was significantly associated with the likelihood estimates for alcoholic character (r = .61, p = .012). Table 1 lists all Pearson correlation coefficients and their respective significance levels</t>
  </si>
  <si>
    <t>For desirable events, the multiple regression model with personal experience, event controllability and emotional intensity was statistically significant in predicting likelihood estimates for the self (F (3,12) = 139.83, p &lt; .0005, adjusted R2 = .97) and the student character</t>
  </si>
  <si>
    <t>the student character (F (3,12) = 15.04, p &lt; .0005, adjusted R2 = .737) and the</t>
  </si>
  <si>
    <t>alcoholic character (F (3,12) = 7.59, p = .004, R2 = .568) but not</t>
  </si>
  <si>
    <t>not the elderly character (F (3,12) = 6.69, p = .007, R2 = .532) or the</t>
  </si>
  <si>
    <t>businessperson (F (3,12) = 2.00, p = .168, adjusted R2 = .167). Likelihood estimates</t>
  </si>
  <si>
    <t>For undesirable events, the multiple regression model with personal experience, event controllability and emotional intensity was statistically significant in predicting likelihood estimates for the self (F (3,12) = 32.33, p &lt; .0005, adjusted R2 = .86) and the student character</t>
  </si>
  <si>
    <t>character (F (3,12) = 16.73, p &lt; .0005, adjusted R2 = .76) but not the</t>
  </si>
  <si>
    <t>not the elderly character (F(3,12) = 1.14, p = .374, adjusted R2 = .03), the businessperson</t>
  </si>
  <si>
    <t>businessperson (F (3,12) = 1.71, p = .218, adjusted R2 = .13) or the</t>
  </si>
  <si>
    <t>the alcoholic character (F (3,12) = 3.18, p = .063, adjusted R2 = .30; Table 3). Likelihood estimates for self were significantly predicted by scores of personal experience (p &lt; .0005) but n</t>
  </si>
  <si>
    <t>The effect of entitativity was significant neither on displaced revenge, t(83) = 0.40, p =.69,d = 0.09, nor on</t>
  </si>
  <si>
    <t>displaced responsibility ascriptions, t(83) = 1.55, p =.13,d = 0.34. However, we did</t>
  </si>
  <si>
    <t>a significant effect on the effectiveness of sending a message to the original perpetrator, t(83) = 2.12, p = .04, d = 0.47. In the</t>
  </si>
  <si>
    <t>Since the two mediator variables were significantly intercorrelated (r = .49), we decided to run separate single-mediator models</t>
  </si>
  <si>
    <t>As shown in Figure 1, 257 of 358 (72%) participants believed that children today would wait less long, 2(2) 33.99, p .0001, and</t>
  </si>
  <si>
    <t>267 of 358 (75%) believed that children today would have less self-control, 2(2) 44.25, p .0001, than children 50 years ago.</t>
  </si>
  <si>
    <t>those identifying as Hispanic (n 20) were even more likely than non-Hispanics to endorse that children today would not wait as long as children in the past, 2(2) 13.17, p .001, and that</t>
  </si>
  <si>
    <t>children’s self-control has decreased, 2(2) 7.68, p .022. Finally, we analyzed</t>
  </si>
  <si>
    <t>On the whole, participants believed they themselves were above average on delay of gratification as adults, M 5.02 on a scale where 4 was labeled average (SD 1.50), t(352) 12.83, p .0001 (see Figure S1 in the online supplemental material). However, those who claimed they would not</t>
  </si>
  <si>
    <t>hose who claimed they would not have delayed very long as a child (less than 5 min) were more likely to endorse “same/no change” regarding today’s children, 2(20) 70.14, p .0001. The adults who</t>
  </si>
  <si>
    <t>The adults who had at least one child (n 139) believed they themselves would have waited significantly longer as a 4-year-old child than their own first-born child (Mparent 7.3, SD 3.19; Mchild 6.06, SD 2.89), t(138) 5.08, p .0001 (see Figure S2 in the online supplemental material). Responses for self and child were significantly correlated,</t>
  </si>
  <si>
    <t>Responses for self and child were significantly correlated, r(139) .55, p .0001. Among the</t>
  </si>
  <si>
    <t>the responses were highly correlated, r(121) .64, p .0001, and not</t>
  </si>
  <si>
    <t>not significantly different from each other (Mfirst 5.93, SD 2.89; Mlast 6.03, SD 3.04), t(120) .433, p .67. Discussion The survey study</t>
  </si>
  <si>
    <t>Pearson correlations were computed between our measures. Anomia correlated positively with both Perceived Discrimination, r (109) = 0.46, p &lt; .001 and Support</t>
  </si>
  <si>
    <t>Support for Political Violence, r (109) = 0.26, p = .005. However, the</t>
  </si>
  <si>
    <t>correlation between Perceived Discrimination and Support for Political Violence was a priori not significant r(109) = 0.11, p = .27. 2.2.3 | Mediation analyses</t>
  </si>
  <si>
    <t>As predicted, we observed a main effect of target race on participants’ threshold for pain perceptions, F(1, 83) 55.63, p .001, p2</t>
  </si>
  <si>
    <t>This interaction was not significant (F(1, 83) 0.75, p .388, p2 .01): the magnitude of racial bias in pain recognition did not differ depending on whether participants saw the forward or backwards version of the task.</t>
  </si>
  <si>
    <t xml:space="preserve"> .04. Participants prescribed</t>
  </si>
  <si>
    <t>Moreover, we also observed main effects of race on both judgments of social status, F(1, 84) 5.96, p .001; p2 .40, as well as on</t>
  </si>
  <si>
    <t>reported warmth toward Blacks and Whites, F(1, 84) 8.99, p .004; p2 .10. Not only</t>
  </si>
  <si>
    <t>Moreover, racial bias in pain recognition for the treated targets remained a significant predictor of racial bias in treatment recommendations (B 9.50, SE 3.80, t(37) 2.50, p .017), even after adjusting for bias in status judgments and explicit racial bias</t>
  </si>
  <si>
    <t>Using matched samples t-tests, participants’ truth-telling ability was rated higher than either their lie-detecting ability, t(240) = 7.17, p &lt; 0.001, d = 0.54, or their</t>
  </si>
  <si>
    <t>their truth-believing ability, t(240) = 6.43, p &lt; 0.001, d = 0.52. These results are in line with previous studies</t>
  </si>
  <si>
    <t>Findings show that guilty participants used significantly more CMs (Mean = 14.01, SD = 12.1) than innocent participants (Mean = 6.75, SD = 10.8), t(158) = 3.35, p = 0.001, d = 0.62. Correlates of Narcissistic</t>
  </si>
  <si>
    <t>A positive correlation between self-assessed lie-telling ability and CM use by guilty participants (N = 120) was obtained (r = 0.21, p = 0.021, 95% CI = 0.08–0.33). Specifically, the higher the self-assessed lie-telling ability the greater the number of CMs they applied in the CIT</t>
  </si>
  <si>
    <t>guilty participants’ lie-telling ability assessment explains 5% of the variance in the number of their “yes” answers to neutral items. Similar correlations with the CM frequency computed for the self-assessed lie-detecting (r = 0.15), truth</t>
  </si>
  <si>
    <t>truth-telling (r = 0.17), and</t>
  </si>
  <si>
    <t>believing (r = −0.14) abilities, were not significant.</t>
  </si>
  <si>
    <t>A multivariate analysis of variance (MANOVA) was applied with CM instructions (CM, no-CM) as the independent factor and SCR, FPWL, and RLL as the dependent factors. A significant CM effect was obtained for SCR, F(1,159) = 5.72, p = 0.018, η2p = 0.04, and FPWL</t>
  </si>
  <si>
    <t>FPWL, F(1,159) = 5.52, p = 0.020, η2p = 0.03. RLL produced</t>
  </si>
  <si>
    <t>RLL produced no significant CM effect, F(1,159) = 0.12, p = 0.726. Results indicate that SCR and FPWL responses declined when CMs were applied. CM instructions did not affect RLL responses (Table 4).</t>
  </si>
  <si>
    <t>A univariate analysis of variance (ANOVA), used on the combined measure showed similar significant results, F(1,159) = 5.33, p = 0.022, η 2 p = 0.03. Signal Detection Theory</t>
  </si>
  <si>
    <t>None of the comparisons revealed a significant difference (Z = 1.19, Z</t>
  </si>
  <si>
    <t>Z = 0.55, and</t>
  </si>
  <si>
    <t>and Z = −0.54, for the respective, SCR, FPWL and RLL measures).</t>
  </si>
  <si>
    <t>Consistent with predictions, participants in the insecure partner condition reported greater adoption of security regulation goals (M = 3.58; SD = 1.25) relative to participants in the secure partner condition (M = 2.73; SD = 1.16), b = 0.85, t(96) = 4.58, p &lt; .001, f2 = 0.12. This result</t>
  </si>
  <si>
    <t>Consistent with predictions, participants in the insecure partner condition sought more threat-relevant information (M = 0.17, SD = 0.83) relative to participants in the secure partner condition (M = − 0.19, SD = 0.83), b = 0.36, t(96) = 2.89, p = .005, f2 = 0.04. In contrast</t>
  </si>
  <si>
    <t>Furthermore, controlling for experimental condition, importance of threatening information predicted greater threat-relevant information seeking, b = 0.28, t(191.71) = 9.74, p &lt; .001, f2 = 0.11; whereas self-perceived</t>
  </si>
  <si>
    <t>The comparison of catch trial accuracy for our Amazon Mechanical Turk subjects (Exp. 1a) and Boston College students (Exp. 1b) is shown in Figure 1. The latter did significantly better than the former (0.94 vs. 0.83; Wald’s z = 5.96, p = 2.5\*10–9).6 As shown below, however, excluding subjects who missed catch trials had a negligible effect on the pattern of results</t>
  </si>
  <si>
    <t>As with the catch trials, a direct comparison of the AMT sample and the lab-based sample using the same materials (Exp. 1a vs. Exp. 1b) revealed slighty but significantly better performance in the latter, even after removing inattentive subjects (Wald’s z = 3.08, p = .002; Figure 2).</t>
  </si>
  <si>
    <t>Time focused was associated with Big Five Conscientiousness (pr .22, p .001),</t>
  </si>
  <si>
    <t>grit (pr .21, p .001), self-control</t>
  </si>
  <si>
    <t>self-control (pr .20, p .001),</t>
  </si>
  <si>
    <t>Agreeableness (pr .11, p .002), and inversely</t>
  </si>
  <si>
    <t>Agreeableness (pr .11, p .002), and inversely, with Extraversion (pr .09, p .01; see Table 1). Time focused was</t>
  </si>
  <si>
    <t>Big Five Openness and Emotional Stability (prs .02, .06, ps .55, .12). Because Big Five</t>
  </si>
  <si>
    <t>Big Five factors were intercorrelated (average r .19), we fit</t>
  </si>
  <si>
    <t>ession model with all the Big Five factors predicting time focused. In this model, only Conscientiousness (.21, p .001) and E</t>
  </si>
  <si>
    <t>model, only Conscientiousness (.21, p .001) and Extraversion (.14, p .001) continued to predict unique variance.</t>
  </si>
  <si>
    <t>Given the conceptual similarity between grit and Conscientiousness, and the high correlation between these constructs in the present data set, r .73, p .001, we fit a simultaneous regression model to see whether grit predicted incremental variance in the tendency to stay focused over and above Conscientiousness.</t>
  </si>
  <si>
    <t>scientiousness: .10, p .01). Criterion-related validity. Students who spent more time focused earned higher GPAs (pr .18, p .001). This association</t>
  </si>
  <si>
    <t>did not change when math grades were excluded from the GPA calculation (pr .18, p .001), confirming that the DPT captured practice behaviors associated with achievement in general, not just math achievement.</t>
  </si>
  <si>
    <t>Time focused correlated with practice-specific expectancies (deliberate practice beliefs, pr .14, p .01), and values</t>
  </si>
  <si>
    <t>specifically, costs, one component of value in EVT; frustration tolerance, pr .15, p .001), but was not</t>
  </si>
  <si>
    <t>not consistently associated with nonpractice-specific expectancies (growth mindset, pr .03, p .36; locus</t>
  </si>
  <si>
    <t>locus of control, pr .11, p .01) or values</t>
  </si>
  <si>
    <t>(again, we assessed the cost component; distress tolerance, pr .06, p .08). Study 2</t>
  </si>
  <si>
    <t>We obtained a significant intercept, b0 .31 \[.25, .37\], t(1122) 10.56, p .001, indicating considerable deviation from neutrality among participants who had been exposed to as few as four CS–US pairings.</t>
  </si>
  <si>
    <t>a significant slope parameter, which we failed to obtain, b1 .00 \[.00, .01\], t(1122) 1.63, p .102. Visual inspection revealed no obvious nonlinearity in the data that could have accounted for this result</t>
  </si>
  <si>
    <t>While sex did not significantly impact the investment decision, perceptions of institutional distrust significantly related to the investment decision (F(1, 303) = 45.13, p = .00, ηp</t>
  </si>
  <si>
    <t>e find that the main effects of both the trust intent manipulation (F(1, 303) = 23.21, p = .00, ηp</t>
  </si>
  <si>
    <t>time pressure manipulation (F(1, 303) = 3.93, p =.048, ηp</t>
  </si>
  <si>
    <t>As demonstrated by a significant main effect in the ANCOVA and further supported by the pairwise comparison, trusting behavior (% of money invested) is significantly lower in the lacking intent condition than in the positive intent condition (M = 22.55, SD = 29.41, vs. M = 39.85, SD = 36.46; contrast estimate = 17.30, SE = 3.59, p = .000). Thus, Hypothesis 1 is confirmed</t>
  </si>
  <si>
    <t>the significant pairwise comparisons between the high-time pressure and low-time pressure conditions are significant and in the predicted direction (M = 34.65, SD = 36.96, vs. M = 27.75, SD = 31.32; contrast estimate = 6.90, SE = 3.48, p = .048). Our results</t>
  </si>
  <si>
    <t>repeated measures ANOVA (all factors within-participants) found the predicted main effects for Pronounceability, F(2,114) = 52.27, p &lt; 0.001, η2p = 0.48, and for</t>
  </si>
  <si>
    <t>2p = 0.62. There was</t>
  </si>
  <si>
    <t>an interaction between the two factors, F(2,114) = 17.38, p &lt; 0.001, η2p = 0.23. The main</t>
  </si>
  <si>
    <t>effect of repetition was not statistically significant, F(1,57) = 1.50, p = 0.227, as well</t>
  </si>
  <si>
    <t>eBay seller profiles with easy-to-pronounce usernames (M = 5.18, SE = 0.23) were considered more trustworthy than profiles with medium-difficult-to-pronounce usernames (M = 4.55, SE = 0.24), t(57) = 5.58, p &lt; 0.001, dz = 0.73, 95% CI \[0.40, 0.85\], which in</t>
  </si>
  <si>
    <t>were considered more trustworthy than profiles with difficult-to-pronounce usernames (M = 3.97, SE = 0.26), t(57) = 7.71, p &lt; 0.001, dz = 1.01, 95% CI \[0.43, 0.74\]. The main</t>
  </si>
  <si>
    <t>tion that Person A felt most when making his decision. A chisquared test of proportions revealed that actors were perceived to experience different emotions across the two conditions; 2(9) 137.40, p .001. Participants were</t>
  </si>
  <si>
    <t>A repeated measures analysis of variance (ANOVA) with decision mode (emotion, reason) as the betweensubjects factor and emotion type (empathy, negative emotion, happiness) as the within-subjects factor revealed a main effect of decision mode, F(1, 362) 114.12, p .001, such that</t>
  </si>
  <si>
    <t>signal than from the reason signal. This was qualified by a significant Decision Mode Emotion Type interaction, F(2, 362) 4.14, p .016, such that</t>
  </si>
  <si>
    <t>the effect of decision mode was larger for inferred empathy, F(1, 362) 68.23, p .001, than for</t>
  </si>
  <si>
    <t>ger for inferred empathy, F(1, 362) 68.23, p .001, than for negative emotion, F(1, 362) 43.14, p .001, which was</t>
  </si>
  <si>
    <t>which was greater than the effect of decision mode on happiness F(1, 362) 27.16, p .001. We present</t>
  </si>
  <si>
    <t>motivation, F(1, 362) 74.71, p .001, such that participants believed Player A was more focused on others when Player A had made his or her decision using emotion rather than reason (see Table 4).</t>
  </si>
  <si>
    <t>A one-way ANOVA also revealed a marginal main effect of decision mode on the degree to which the target made his or her decision slowly, F(1, 362) 3.34, p .068. All effects were in</t>
  </si>
  <si>
    <t>constructs. For example, the correlation between “relying on emotion” and “predicted cooperation</t>
  </si>
  <si>
    <t>and “predicted cooperation</t>
  </si>
  <si>
    <t>stronger than the correlation between “quickly” and</t>
  </si>
  <si>
    <t>than the correlation between “quickly” and “predicted cooperation</t>
  </si>
  <si>
    <t>Specifically, the correlation between “relying on reason” and “predicted cooperation</t>
  </si>
  <si>
    <t>nd “predicted cooperation</t>
  </si>
  <si>
    <t>was significantly stronger than the correlation between “slowly” and “predicted cooperation</t>
  </si>
  <si>
    <t>The six-item theories of empathy measure indicated that the articles successfully influenced participant opinions on the entitativity of empathy, t(211) = 9.04, p &lt; .001, d = 1.24 (entity-induced mean = 3.74, SD = 1.45; incremental-induced</t>
  </si>
  <si>
    <t>Indeed, as hypothesized, participants exposed to an entity view of empathy found the low-empathy person less blameworthy than those exposed to an incremental view did, t(211) = 3.64, p &lt; .001, d = 0.50 (entity-induced mean = 0.72, SD = 1.37; incremental-induced mean = 1.38, SD = 1.36).</t>
  </si>
  <si>
    <t>The relationship between mindset and blame was mediated by perceived control (Cronbach's α for perceived control measure = 0.68). The regression of mindset induction on perceived control was statistically significant (β = 1.64, t(211) = 9.05, p &lt; .001, SE = 0.18), as was</t>
  </si>
  <si>
    <t>the regression of perceived control on blame (β = 0.27, t(211) = 4.54, p &lt; .001, SE = 0.059), see Fig. 1. The standardized indirect effect was (0.53)(0.30) = 0.31.</t>
  </si>
  <si>
    <t>effects at the 2.5th and 97.5th percentiles. The bootstrapped unstandardized indirect effect fully mediated the relationship between induction and blame (mediated effect = 0.36, p = .01, 95% CI \[0.11, 0.62\]; direct</t>
  </si>
  <si>
    <t>effect = 0.30, p = .21, 95% CI \[−0.17, 0.78\]). T</t>
  </si>
  <si>
    <t>A.A. Ryazanov, N.J.S. Christenfeld Journal of Experimental Social Psychology 76 (2018) 33–41 35</t>
  </si>
  <si>
    <t>p &lt; .001, d = 0.69 (entity-induced mean = 3.77, SD = 1.65, incremental-induced mean = 4.83, SD = 1.43). Incremental participants</t>
  </si>
  <si>
    <t>also found the person showing a high level of empathy more praiseworthy, t(211) = 3.23, p = .001, d = 0.44 (entity-induced mean = − 0.51, SD = 1.26; incremental-induced mean = − 1.10, SD = 1.42; lower numbers indicate greater praise).</t>
  </si>
  <si>
    <t>The difference is significant at p &lt; 0.001. Individuals</t>
  </si>
  <si>
    <t>Individuals in the ‘more unequal’ condition also reported with a significantly (p = 0.02) higher probability that their payment was not fair, and the average dollar amount they would allocate to the winner is below the $9 they experienced</t>
  </si>
  <si>
    <t>Results indicated an omnibus effect of our agent manipulation, Sample A: F(1, 728) = 11.87, p = .001; Sample B: F(1, 125) = 11.30, p = .001. The results showed that</t>
  </si>
  <si>
    <t>In both samples, the agent manipulation did not interact with the within-subjects variable representing the different ethical violations (Sample A: F(9, 6552) = 1.48, p = .148; Sample B</t>
  </si>
  <si>
    <t>The Stimulation × Network interaction was not significant, F(2,38) = 0.07, p = .93, η2p &lt; .01, implying that the stimulation did not modulate the attentional networks.</t>
  </si>
  <si>
    <t>Likewise, the main effect of Stimulation, F(1,19) = .24, p = .63, η2p = .01, was not significant. Yet, consistent with earlier studies,</t>
  </si>
  <si>
    <t>the main effect of Network, F(2,19) = 130.04, p &lt; .0001, η2p = .87, was significant, implying that the three networks did differ. Results are shown in Table 2.</t>
  </si>
  <si>
    <t>As shown in Table 2, there was no significant difference regarding attentional bias between anodal and sham stimulations, t(19)= .34, p = .74, d = .33. A comparison between mean</t>
  </si>
  <si>
    <t>there was no significant difference between latencies of the former relative to the latter following the sham condition, t(19) = 0.46, p = .88, d = .10 (hence, no attentional bias in the absence of stimulation, i.e. baseline)</t>
  </si>
  <si>
    <t>Similarly, there was no attentional bias for threat following the anodal stimulation, t(19) = 0.12, p = .90, d = .03. Stimulation-order</t>
  </si>
  <si>
    <t>The ANOVA revealed a non-significant Order × Stimulation × Network interaction for the ANT, F(2,38) = 2.06, p = .14, η2p</t>
  </si>
  <si>
    <t>the Order × Stimulation interaction was not significant for the probe discrimination task, F(1,19) = .20, p = .66, η2p = .01. These results confirmed that the present findings did not mirror a stimulation-order effect.</t>
  </si>
  <si>
    <t>The model of need satisfaction as a predictor showed reasonably good fit to the data (v2 = 151.712, df = 92, CFI = .974, TLI = .966, RMSEA = .039 \[90% CI 0.027–0.049\], SRMR = .038). As expected,</t>
  </si>
  <si>
    <t>need satisfaction negatively predicted OP (b = .22 \[95% CI 0.33, 0.10\], p &lt; .001; R2 = .048), while</t>
  </si>
  <si>
    <t>HP was not related to it (b = .04 \[95% CI 0.10, 0.17\], p = .591; R2 = .001). Also</t>
  </si>
  <si>
    <t>HP positively predicted the adaptive outcomes of social interaction (b = .49 \[95% CI 0.33, 0.63\], p &lt; .001) and</t>
  </si>
  <si>
    <t>self-development (b = .49 \[95% CI 0.34, 0.63\], p &lt; .001), but it</t>
  </si>
  <si>
    <t>it was not related to overuse (b = .04 \[95% CI 0.18, 0.09\], p = .524). In the</t>
  </si>
  <si>
    <t>a complementary pattern was identified as it positively predicted only the maladaptive outcome of overuse (b = .75 \[95% CI 0.64, 0.86\], p &lt; .001), but neither</t>
  </si>
  <si>
    <t>social interaction (b = .09 \[95% CI 0.05, 0.23\], p = .218) nor</t>
  </si>
  <si>
    <t>(b = .06 \[95% CI 0.20, 0.07\], p = .346). The proportion of explained variance was .531 for overuse,</t>
  </si>
  <si>
    <t>ment. The fit of the second model with need frustration was satisfactory (v2 = 155.315, df = 92, CFI = .971, TLI = .963, RMSEA = .040 \[90% CI 0.029–0.051\], SRMR = .037). Need</t>
  </si>
  <si>
    <t>Need frustration was positively associated with OP (b = .38 \[95% CI 0.27, 0.48\], p &lt; .001; R2 = .144), but not</t>
  </si>
  <si>
    <t>but not with HP (b = .08 \[95% CI 0.06, 0.21\], p = .253; R2 = .006). The associations between passion and series watching out-</t>
  </si>
  <si>
    <t>condition, 62% directed their first look to the correct door, which is not different from chance (binomial test, n = 50, p = .119, OR = 1.63). In the</t>
  </si>
  <si>
    <t>only 24% correct; binomial test, n = 49, p&lt;.001, OR = 3.17). Comparing</t>
  </si>
  <si>
    <t>more often correct in the FB1 condition compared to the FB2 condition (McNemar, n = 44, p = .002, OR = 4.82). Order</t>
  </si>
  <si>
    <t>no influence on the FB1 condition (Fisher’s exact test, n = 50, p = .383, ɸ = 0.155). In</t>
  </si>
  <si>
    <t>performances differed between orders (Fisher’s exact test, n = 49, p = .022, ɸ = −0.345). When</t>
  </si>
  <si>
    <t>not different from chance (41% correct; binomial test, p = .523, OR = 1.44). The left</t>
  </si>
  <si>
    <t>When analyzing the DLS of all infants, in the FB1 condition, infants looked significantly longer to the correct door than expected by chance (M = 0.245, SD = 0.747; t(50) = 2.35, p = .023, dz = 0.34, CI: 0.035, 0.455); in the FB2</t>
  </si>
  <si>
    <t>infants looked significantly longer to the incorrect door than expected by chance (M = −0.373, SD = 0.669; t(50) = 3.98, p&lt;.001, dz = 0.56, CI: −0.561, −0.185). Conditions differed</t>
  </si>
  <si>
    <t>Conditions differed significantly (t(45) = 3.74, p = .001, dz = 0.55, CI: 0.275, 0.917). Order of</t>
  </si>
  <si>
    <t>condition presentation had no influence in the FB1 condition (t(49) = 1.58, p = .121, ds = 0.45, CI: −0.741, 0.089). In the</t>
  </si>
  <si>
    <t>FB2 condition, performances tended to differ between orders (t(49) = 1.74, p = .088, ds = 0.49, CI: −0.049, 0.690). When FB2</t>
  </si>
  <si>
    <t>When FB2 was second, the DLS was not different from chance (M = −0.203, SD = 0.707; t(23) = 1.41, p = .173, dz = 0.28, CI: −0.502, 0.095). When analyzing</t>
  </si>
  <si>
    <t>a 2 × 2 × 2 ANOVA on the mean looking time with congruency as within-subject factor (congruent outcome, incongruent outcome) and condition (FB, TB) and order (congruent first, incongruent first) as between-subject factors revealed a significant main effect of congruency (F(1, 48) = 5.52, p = .023, ηp</t>
  </si>
  <si>
    <t>interaction with order (F(1, 48) = 8.37, p = .006, ηp</t>
  </si>
  <si>
    <t>Only infants who first saw the incongruent outcome looked significantly longer at the incongruent than the congruent outcome (F(1, 48) = 11.89, p = .001, ηp</t>
  </si>
  <si>
    <t>infants who first saw the congruent outcome did not look significantly longer at the incongruent than the congruent outcome (F(1, 48) = 1.76, p = .677, ηp</t>
  </si>
  <si>
    <t>trial had been first (FB: F(1, 24) = 5.22, p = .031, ηp2 = 0.179, CI: −8387, −427;</t>
  </si>
  <si>
    <t>2 = 0.225, CI: −7084, −864), but not</t>
  </si>
  <si>
    <t>TB: F (1, 24) = 0.03, p = .856, ηp2 = 0.001, CI: −2623, 3135). Fig. 5 displays</t>
  </si>
  <si>
    <t>significant (binomial test, n = 22, p = .052, OR = 2.70). In contrast</t>
  </si>
  <si>
    <t>only 63% of infants who saw the congruent outcome first looked longer at the congruent outcome compared to the incongruent outcome (binomial test, n = 30, p = .20, OR = 1.70). 3.2.2. Pupil</t>
  </si>
  <si>
    <t>interacted with order (F(1, 46) = 4.87, p = .032, ηp</t>
  </si>
  <si>
    <t>Simple comparisons based on the variance of the overall ANOVA revealed that infants’ relative pupil increase was larger in the incongruent (M = 0.101, SD = 0.067) compared to the congruent outcome (M = 0.056, SD = 0.057) when the incongruent trial was presented first (F(1, 46) = 11.46, p = .001, ηp2 = 0.199, CI: −0.072, −0.018), but not</t>
  </si>
  <si>
    <t>not when the congruent trial was presented first (incongruent: M = 0.056, SD = 0.062; congruent: M = 0.050, SD = 0.046; F(1, 46) = 0.246, p = .622, ηp2 = 0.005, CI: −0.030, 0.018). To ensure</t>
  </si>
  <si>
    <t>outcome remained significant (F(1, 23) = 7.75, p = .011, ηp</t>
  </si>
  <si>
    <t>the TB condition, when the incongruent trial was presented first, we found a similar pattern (incongruent: M = 0.091, SD = 0.069; congruent: M = 0.061, SD = 0.055; F(1, 23) = 3.53, p = .074, ηp</t>
  </si>
  <si>
    <t>A univariate ANOVA with condition (FB, TB) and order (congruent first, incongruent first) as between subject factors revealed a main effect of condition (F(1, 46) = 18.81, p&lt;.001, ηp2 = 0.290, CI: 0.033, 0.091) with no effect of order and no interaction.</t>
  </si>
  <si>
    <t>Across the two test trials, first looks were not significantly different from chance in the FB condition (M = 0.587, SD = 0.389; t (22) = 1.07, p = .295, dz = 0.22, CI: −0.081, 0.255), or in</t>
  </si>
  <si>
    <t>the TB condition (M = 0.500, SD = 0.417; t(23) = 0.00, p = 1.00, dz = 0.00, CI: −0.176, 0.176). Conditions</t>
  </si>
  <si>
    <t>Conditions were not different from each other (t(45) = 0.74, p = .464, ds = 0.22, CI: −0.150, 0.324). This was</t>
  </si>
  <si>
    <t>Across the two test trials, in both conditions the DLS was not significantly different from chance level (FB: M = −0.013, SD = 0.484; t(22) = 0.13, p = .896, dz = 0.03, CI: −0.223, 0.196; TB</t>
  </si>
  <si>
    <t>TB: M = 0.090, SD = 0.454; t(24) = 0.99, p = .334, dz = 0.20, CI: −0.098, 0.277), with no</t>
  </si>
  <si>
    <t>with no difference between conditions (t(46) = 0.76, p = .451, ds = 0.22, CI: −0.375, 0.170). In the second</t>
  </si>
  <si>
    <t>expected by chance (M = 0.71, SD = 0.33; t(27) = 3.41, p = .002, dz = 0.66, CI: 0.085, 0.343). However</t>
  </si>
  <si>
    <t>in the FB condition, infants also chose the referred box significantly more often than expected by chance (M = 0.64, SD = 0.35; t(31) = 2.19, p = .036, dz = 0.39, CI: 0.009, 0.262). Across the test trials,</t>
  </si>
  <si>
    <t>there was no significant difference between the conditions in infants’ choice of the referred box (t(58) = 0.89, p = .377, ds = 0.23, CI: −0.256, 0.098). 3.4. Correlations between measure</t>
  </si>
  <si>
    <t>This correlation was only present in the TB condition (r(25) = 0.506, p = .010), and absent in the FB condition.</t>
  </si>
  <si>
    <t>the looking time difference between incongruent and congruent outcomes correlated with the mean pupil size during the incongruent outcome (r(52) = 0.382, p = .005). The correlation</t>
  </si>
  <si>
    <t>The correlation was also found when correlating the looking time difference with the pupil size in the fourth second (r(50) = 0.319, p = .024; see our additional analyses</t>
  </si>
  <si>
    <t>This yielded an even stronger correlation for the looking time difference and the mean pupil size in incongruent trials (r(22) = 0.711, p&lt;.001). This correlation</t>
  </si>
  <si>
    <t>was also significant for each condition separately (FB: r(10) = 0.749, p = .013; TB: r(12) = 0.700, p = .011) and with</t>
  </si>
  <si>
    <t>the pupil size in the fourth second of the reaching phase (r(22) = 0.504, p = .017). None of the</t>
  </si>
  <si>
    <t>In addition to the reported correlation with looking times, there was a correlation between the RCD in the incongruent trial and the mean number of correct interaction trials, but only in the TB condition (r(22) = 0.677, p = .001). This correlation</t>
  </si>
  <si>
    <t>The omnibus ANOVA was statistically significant (F\[2, 140\] = 6.74, p=.002, η2 = 0.09), suggesting that average mind wandering levels differed between task demand levels</t>
  </si>
  <si>
    <t>In support of Hypothesis 1, the predicted concave quadratic contrast comparing mind wandering during the low- and high-difficulty tasks to that of the moderate-difficulty task, was also significant (F\[2, 140\] = 6.60, p=.011, η2 = 0.05) in the expected direction (see Fig. 2).</t>
  </si>
  <si>
    <t>The overall regression model was not significant, R2 = 0.03, F(3, 139) = 2.56, p = .058. Working memory</t>
  </si>
  <si>
    <t>Working memory did not significantly predict mind wandering, B = −0.01, SE B = 0.01, t(139) = −1.05, p = .297, although</t>
  </si>
  <si>
    <t>task demand did, B = 0.20, SE B = 0.08, t(139) = 2.59, p = .011, suggesting individuals</t>
  </si>
  <si>
    <t>However, the interaction of these two predictors was not significant, B &lt; 0.01, SE B = 0.01, t(139) = 0.08, p = .935, indicating no support for our expectation that mind wandering could be predicted from the interaction between WMC and task demand. Hypothesis 2 was not supported</t>
  </si>
  <si>
    <t>The overall regression model was significant, R2 = 0.38, F(3, 139) = 30.36, p &lt; .001. Mind wandering</t>
  </si>
  <si>
    <t>Mind wandering did not significantly predict task performance, B = −0.03, SE B = 0.02, t(139) = −1.44, p = .151. However,</t>
  </si>
  <si>
    <t>task demand did predict performance such that performance was worse for participants in high-demand conditions, B = −0.17, SE B = 0.02, t (139) = −8.41, p &lt; .001. Additionally,</t>
  </si>
  <si>
    <t>the predicted interaction was negative and significant at the p &lt; .10 level, B = −0.04, SE B = 0.02, t(139) = −1.67, p = .096, providing some support</t>
  </si>
  <si>
    <t>When activated, creative personality significantly increased unethical behavior, B = .07, SE = .03, t =2.61,p b .01. However, when not activated, creative personality did not affect the inci-</t>
  </si>
  <si>
    <t>ever, when not activated, creative personality did not affect the incidence of unethical behavior, B =.00,SE =.02,t = .04, ns.</t>
  </si>
  <si>
    <t>The three-factor model (market competition, instrumentality, and standards for evaluating ethical transgressions) fitted the data quite well (χ2(41)/df =3.70,RMSEA = .07 (90% CI = .06–.08), CFI = .93), and all</t>
  </si>
  <si>
    <t>The fit of the one-factor model was clearly insufficient (χ2(44)/df = 12.74, RMSEA = .14 (90% CI = .13–.15), CFI = .65). The four-</t>
  </si>
  <si>
    <t>The four-factor model (adding a common-method factor to the three-factor model) had a slightly better fit to the data than the three-factor model (χ2(32)/df = 2.92, RMSEA = .06 (90% CI = .05–.07), CFI = .95). However,</t>
  </si>
  <si>
    <t>A logistic regression analysis on the question whether economic (coded 0) or moral grounds (coded 1) are considered more important as standards for evaluating wrongdoing revealed an effect of market competition (b = − .97, SE = .11, Wald's χ2 (1, N = 602) = 76.62, p b .001.) As predicted,</t>
  </si>
  <si>
    <t>To test whether the relationship between market competition and the standards for evaluating ethical transgressions is mediated by instrumentality, we added instrumentality as a predictor in the logistic regression. The analysis revealed a significant effect of instrumentality (b = −1.26, SE = .18, Wald's χ2 (1, N = 602) = 54.72, p b .001) and a reduced effect of market competition (b = −.86,</t>
  </si>
  <si>
    <t>reduced effect of market competition (b = −.86, SE = .12, Wald's χ2 (1, N =602)=48.86,p b .001.) We then</t>
  </si>
  <si>
    <t>considered more prevalent in the organizations' evaluation of wrongdoing. This regression revealed the predicted effect of competition (b = −.41, SE = .09, Wald's χ2 (1, N = 602) = 8.12, p = .01.) Thus, in competitive markets, leaders view the consequences of</t>
  </si>
  <si>
    <t>The analysis revealed that the effect of instrumentality was significant (b = − .98, SE =.16,Wald'sχ2 (1, N = 602) = 35.91, p b .001.) The effect</t>
  </si>
  <si>
    <t>The effect of market competition was reduced in this analysis (b = − .28, SE =.10,Wald'sχ2 (1, N = 602) = 7.85, p = .01.) We then</t>
  </si>
  <si>
    <t>The average age of respondents varied as a function of the day of the week. Participants on Wednesday (M = 32.4, SD = 10.78) and Thursday (M = 32.46 SD = 10.67; β = −1.04, Wald χ2 = 12.47, p &lt; .001, d = .07 and</t>
  </si>
  <si>
    <t>and β = −1.44, Wald χ2 = 32.14, p &lt; .0001, d = .11, respectively) were somewhat</t>
  </si>
  <si>
    <t>Respondents completing the survey on Saturday were somewhat older than average (M = 35.84, SD = 12.47; β = 1.88, Wald χ2 = 35.09, p &lt; .0001, d = .12).</t>
  </si>
  <si>
    <t>People completing HITs on Sundays were more likely to be employed full-time (52%) than the sample as a whole (48.5%; β = .21, Wald χ2 = 14.01 p = .0002, d = .08), with a corresponding decrease in the proportion of individuals without any formal employment</t>
  </si>
  <si>
    <t>Workers were less likely to find the survey outside of MTurk on Saturday (3.4%) or Sunday (6%) than the sample as a whole (9%; β = −.04, Wald χ2 = 35.87 p &lt; .0001, d = .12 and</t>
  </si>
  <si>
    <t>nd β = −.02, Wald χ2 = 12.12 p = .0005, d = .07, respectively). Workers who completed the survey on a Thursday</t>
  </si>
  <si>
    <t>Workers who completed the survey on a Thursday were much more likely to have found it on a source outside of MTurk (15.3%; β = .04, Wald χ2 = 35.52 p &lt; .0001, d = .12).</t>
  </si>
  <si>
    <t>People in earlier time zones were more likely than average to complete HITs posted at 10 a.m. (β = −.15, Wald χ2 = 71.92, p &lt; .0001, d = .17). Conversely,</t>
  </si>
  <si>
    <t>people in later time zones were more likely to complete HITs posted at 10 p.m. (β = .13, Wald χ2 = 68.11, p &lt; .0001, d = .17). As an</t>
  </si>
  <si>
    <t>The proportion of Asian Americans was significantly lower than average at 10 a.m. (β = −.016, Wald χ2 = 15.24, p &lt; .0001, d = .08)</t>
  </si>
  <si>
    <t>and significantly higher than average at 10 p.m. (β = .016, Wald χ2 = 15.49, ps &lt; .0001, d = .08). This effect</t>
  </si>
  <si>
    <t>The proportion of workers who are single was significantly lower than average at 10 a.m. (β = −.03, Wald χ2 = 16.91, p &lt; .0001, d = .08) and</t>
  </si>
  <si>
    <t>ignificantly higher than average at 10 p.m. (β = .03, Wald χ2 = 16.62, p &lt; .0001, d = .08). More workers</t>
  </si>
  <si>
    <t>More workers who completed the survey at 10 p.m. used smartphones (5.8%) than across the sample as a whole (3.7%; β = .014, Wald χ2 = 18.01, p &lt; .0001 d = .09). Workers</t>
  </si>
  <si>
    <t>Workers recruited at 10 p.m. also reported being less conscientious (M = 5.18, SD = 1.31) than the sample as a whole (M = 5.24, SD = 1.27; β = −.06, Wald χ2 = 11.53, p = .0007, d = .07). Workers who</t>
  </si>
  <si>
    <t>Workers who completed the HIT at 10 a.m. were less likely to report having found the HIT outside of the MTurk interface (8.5%) than the sample as a whole (9%; β = −.014, Wald χ2 = 16.01, p &lt; .0001, d = .08). Workers</t>
  </si>
  <si>
    <t>Workers who completed the HIT at 3 p.m. were more likely (9.7%) to have found the HIT outside of the MTurk interface (β = .013, Wald χ2 = 13.07, p = .0003, d = .07). Finally</t>
  </si>
  <si>
    <t>relative to the sample as a whole (M = 4.67, SD = 10.04), more experienced workers tended to participate in the morning (M = 5.02, SD = 10.57; β = .43, Wald χ2 = 27.77, p &lt; .0001, d = .11) and less</t>
  </si>
  <si>
    <t>likely to do so at night (M = 4.75, SD = 8.29; β = −.43, Wald χ2 = 43.67, p &lt; .0001, d = .13). Overall serial</t>
  </si>
  <si>
    <t>Controlling for other variables, workers in the high-pay condition reported higher emotional stability (M = 4.77 SD = 1.90) than workers paid less (M = 4.56, SD = 2.30; β = .32, Wald χ2 = 13.35, p = .0003, d = .07). Work</t>
  </si>
  <si>
    <t>2.30; β = .32, Wald χ2 = 13.35, p = .0003, d = .07). Workers were also more experienced when pay was higher (M = 4.77, SD = 1.90) than when pay was lower (M = 4.77, SD = 1.90; β = .47, Wald χ2 = 78.69, p &lt; .0001, d = .18). These</t>
  </si>
  <si>
    <t>The difference in search times between the study and test phases was highly significant \[F(1, 21) = 108.63, p &lt; .001, ηp</t>
  </si>
  <si>
    <t>The effect of memory level was also highly significant \[F(2, 49) = 41.48, p &lt;.001,ηp 2 =.627\]. The interaction</t>
  </si>
  <si>
    <t>interaction between phase and memory level was also significant \[F(2, 58) = 36.62, p &lt;.001,ηp 2 =.558\]. As we noted</t>
  </si>
  <si>
    <t>sided one sample t-test was conducted. This showed a significant difference from 0 in the expected (positive) direction, t(70) = 14.57, p &lt; .001, Cohen‘s D = 1.732, CI \[1.36,2.10\]. To ensure</t>
  </si>
  <si>
    <t>Participants responded faster in the gain than in the loss frame, b = 85.45, SD = 36.23, χ2(1) = 5.56, p = .018. They were</t>
  </si>
  <si>
    <t>They were also faster during non-switch than during switch trials, b = 218.28, SD = 35.66, χ2(1) = 37.5, p &lt; .001, and they</t>
  </si>
  <si>
    <t>they were faster in native than in foreign language, b = 73.15, SD = 35.48, χ2(1) = 4.25, p = .036 (see Table 2). Moreover</t>
  </si>
  <si>
    <t>Table 2). Moreover, the significant interaction of switching and language, b = −167.8, SD = 51.11, χ2(1) = 10.78, p = .001, indicated that</t>
  </si>
  <si>
    <t>EOL accuracy was reliably higher for the high (M =.74,SD = .13) than for the low variability list (M =.21, SD = .24), as shown by a main effect of list, F(1, 30) = 110.82, p &lt; .001, mean difference = .53, 95% CI = \[.43, .63\], d = 2.70. The very large effect size demonstrates the sensitivity of EOL judgments to salient characteristics in the material and item discriminability.</t>
  </si>
  <si>
    <t>The results also showed that, although the difference was small, EOL accuracy was reliably higher when EOL judgments were made in the TTL task (M =.50,SD =.15)thaninthe difficulty task (M =.45,SD =.16),F(1, 30) = 4.56, p = .041, mean difference = .06, 95% CI = \[.002, .11\], d = .36. Furthermore, the criterion</t>
  </si>
  <si>
    <t>gamma was reliably higher when EOL judgments were correlated with the binary criterion (M =.484,SD = .13) than to the TTL criterion (M =.465,SD =.14),F(1, 30) = 9.60, p = .004, mean difference = .019, 95% CI = \[.01, .03\]. The latter finding was unexpected as correlations in most cases benefit from scales that can take a larger range of values (TTL criterion) than if it is binary.</t>
  </si>
  <si>
    <t>there were no statistically reliable interactions between any of the three factors, with the exception of a reliable interaction between list and criterion, F(1, 30) = 6.73, p = .015, mean difference = .03, 95% CI = \[.01, .06\], d = .68. The difference</t>
  </si>
  <si>
    <t>Participants generally judged that they would need more study trials to learn each word pair than they actually did, and this effect was reliably more pronounced for the low(M = −.85, SD = .69) than for the high-variability list (M = −.58 SD =.29),t(30) = 2.20, p = .036, mean difference = .27, 95% CI \[.02, .52\], d = 0.51. Recall</t>
  </si>
  <si>
    <t>Table 1 shows that the two lists did not differ at the first recall test (t(35) = 0.84, p = .405, mean difference = .89, 95% CI = \[−1.25, 3.03\], d =.12),butthelow</t>
  </si>
  <si>
    <t>variability list was better learned at the second (t(35) = 3.91, p &lt; .001, mean difference = 3.31, 95% CI = \[1.59, 5.02\], d = .57) and at</t>
  </si>
  <si>
    <t>the third test (t(35) = 5.60, p &lt; .001, mean difference = 5.06, 95% CI = \[2.38, 5.57\], d = .86); a difference</t>
  </si>
  <si>
    <t>Word pairs in the low-variability list were learned faster than the word pairs in the high-variability list (t(35) = 3.45, p = .001, mean difference = .20, 95% CI = \[.08, .32\], d = .48). This likely explains</t>
  </si>
  <si>
    <t>As can be seen in Table 1, mean magnitude of the EOL judgments was similar for both lists, independent of EOL task (difficulty task: t(31) = 1.20, p = .239, mean difference =</t>
  </si>
  <si>
    <t>mean difference = .15, 95% CI = \[−.10, .39\], d = .22; TTL task: t(31) = .45, p =.657, mean difference</t>
  </si>
  <si>
    <t>The final CFA models for T1 (χ2 \[74\] = 142.68, p &lt; .001, CFI = 0.92, RMSEA = 0.068, 90% CI: \[0.051, 0.085\], SRMR = 0.066) and for</t>
  </si>
  <si>
    <t>for T3 (χ2 \[74\] = 124.95, p &lt; .001, CFI = 0.92, RMSEA = 0.052, 90% CI: \[0.035, 0.067\], SRMR = 0.054) demonstrated acceptable model fit.</t>
  </si>
  <si>
    <t>The CFA on the perceptions of constructivism scale supported a three-factor structure (χ2 \[32\] = 71.45.68, p &lt; .001, CFI = 0.92, RMSEA = 0.074, 90% CI: \[0.051, 0.097\], SRMR = 0.056). While there</t>
  </si>
  <si>
    <t>there were no significant differences between the two groups in their change in personal epistemology over time (Pillai's Trace = 0.01, F \[3, 190\] = 0.93, p = .430, η2 = 0.014). We used</t>
  </si>
  <si>
    <t>The multivariate test indicated significant differences in perceptions of constructivism by the two groups (Pillai's Trace = 0.33, F \[3, 219\] = 35.362, p &lt; .001, η2 = 0.33). The univariate tests</t>
  </si>
  <si>
    <t>differences between the groups on constructivism-peers (F \[1, 221\] = 58.71, p &lt; .001, η2 = 0.21) and</t>
  </si>
  <si>
    <t>constructivism-complex (F \[1, 221\] = 19.65, p &lt; .001, η2 = 0.08). The group</t>
  </si>
  <si>
    <t>Results indicated that the two groups did not perform differently on the final exam (t \[251\] = 0.16, p = .870, d = 0.02; see Table 4 for means)</t>
  </si>
  <si>
    <t>We hypothesized that constructivist perceptions would predict changes in personal epistemology (see path analysis results in Fig. 3). Indeed, perceiving a complex environment predicted decreases in simple/certain knowledge (b = −0.18, p = .018, β = −0.18) after controlling for initial epistemic beliefs.</t>
  </si>
  <si>
    <t>We also hypothesized that students' initial personal epistemology would predict their perceptions of the classroom environment. As expected, beliefs in simple/certain knowledge predicted lower perceptions of an authentic learning environment (b = −0.21, p = .002, β = −0.23). Therefore,</t>
  </si>
  <si>
    <t>Also in line with our hypotheses, personal justification predicted higher perceptions of complexity (b = 0.12, p = .038, β = 0.14). In other words</t>
  </si>
  <si>
    <t>Finally, when combining both classes, T1 personal justification predicted final grade (b = 15.33, p = .001, β = 0.24). However</t>
  </si>
  <si>
    <t>parsimonious (Δχ2 \[25\] = 35.74, p &gt; .05).2 The final m</t>
  </si>
  <si>
    <t>The final model, shown in Fig. 3, met the criteria for acceptable fit(χ2 \[43\] = 57.85, p = .06, CFI = 0.96, RMSEA = 0.051, 90% CI: \[0.000, 0.082\]; SRMR = 0.079; Hu &amp; Bentler, 1999). Table 6 presents</t>
  </si>
  <si>
    <t>In the lecture-based classroom, T3 beliefs in justification by authority (a less constructivist belief) positively predicted final exam score (b = 22.82, p = .005, β = 0.33). A</t>
  </si>
  <si>
    <t>The relation between T3 justification by authority and final exam score was not statistically significant in the interactive-learning classroom (b = 3.81, p = .684). However, in the interactive-learning class-</t>
  </si>
  <si>
    <t>room, higher scores on beliefs in personal justification (a more constructivist belief) at the beginning of the semester positively predicted final exam score (b = 22.96, p &lt; .001, β = 0.35). Specifically,</t>
  </si>
  <si>
    <t>There was no such relation in the lecture-based class between these two variables (b = 6.78, p = .26). These findings support the epistemic alignment hypothesis, which we elaborate on further in the discussion section</t>
  </si>
  <si>
    <t>the proportion of correct responses did not differ between color and scene features (t (27) = 1.09, p=0.29). Participants</t>
  </si>
  <si>
    <t>Participants varied in the precision with which they could remember these visual details, but were more precise when remembering the object’s spatial location compared to color (t (27) = 6.48, p&lt;0.001). The gist</t>
  </si>
  <si>
    <t>sion with which the other feature was recalled (ts(27) &lt; 1.85, ps&gt;0.07). Color and scene memory precision were also unrelated (t(27) = 0.32, p=0.75) (Figure 2B lower panel). Therefore, integration of</t>
  </si>
  <si>
    <t>modularity across our ROIs was significantly reduced during episodic retrieval (t(27) =</t>
  </si>
  <si>
    <t>Supporting our a priori network structure, ROIs within the same network had substantially stronger connectivity strength than ROIs between networks (F(1,27) = 132.83, p&lt;0.001). Episodic retrieval</t>
  </si>
  <si>
    <t>strength than ROIs between networks (F(1,27) = 132.83, p&lt;0.001). Episodic retrieval was accompanied by an overall increase in connectivity strength relative to encoding (F(1,27) = 14.84, p&lt;0.001), although the</t>
  </si>
  <si>
    <t>change in between-network connectivity was disproportionately greater than change in within-network connectivity (F(1,27) = 11.43, p=0.002). Of note</t>
  </si>
  <si>
    <t>between-network connectivity strength was robust to different thresholds used to define connections (modularity ts &gt;3.18, ps&lt;0.004; net</t>
  </si>
  <si>
    <t>work density interaction Fs &gt; 10.47, ps&lt;0.003; see Materials and methods). Therefore, episodic</t>
  </si>
  <si>
    <t>Averaging across all possible ROI pairs, as predicted, there was an overall increase in connectivity with event-specific increases in memory quality (mean beta = 0.36, SE = 0.16; t(27) = 2.17, p=0.019). Taking the</t>
  </si>
  <si>
    <t>1.96, ps&lt;0.05, FDR-corrected),</t>
  </si>
  <si>
    <t>d both the AT (t(27) = 3.10, p=0.007, FDR-corrected) and</t>
  </si>
  <si>
    <t>PM (t (27) = 3.29, p=0.007, FDR-corrected) networks increased their connectivity to hippocampus.</t>
  </si>
  <si>
    <t>In tests of the other direction, the hippocampus seed increased its connectivity to the PM system (t(27) = 2.39, p=0.027, FDR-corrected), but not</t>
  </si>
  <si>
    <t>not significantly so to the AT system (t(27) = 1.65, p=0.06).</t>
  </si>
  <si>
    <t>hippocampal activity with greater memory quality, but not vice versa. Turning to within-network connections, anterior and posterior hippocampus increased their connectivity with each other with better memory (t(27) = 3.12, p=0.007, FDR-corrected), but there was only a small change in within-PM</t>
  </si>
  <si>
    <t>was only a small change in within-PM connectivity (t(27) = 1.71, p=0.049, uncorrected) and no</t>
  </si>
  <si>
    <t>connectivity (t(27) = 1.71, p=0.049, uncorrected) and no significant change in within-AT communication (t(27) = 0.73, p=0.235). The individual ROI-to-ROI connections that showed a significant increase</t>
  </si>
  <si>
    <t>ity with memory quality appeared to be slightly stronger for negative-associated objects, most predominantly for within-PM connections (t(27) = 2.24, p=0.033 uncorrected), and AT-to-PM</t>
  </si>
  <si>
    <t>connections (t(27) = 2.74, p=0.011 uncorrected), although these emotion effects did not survive correction for multiple network comparisons.</t>
  </si>
  <si>
    <t>Looking at the average change in connectivity across every seed-to-target pair, we found that there was an overall positive change in connectivity with the precision of both item-color (mean beta = 0.24, SE = 0.11; t(27) = 2.11, p=0.022) and spatial</t>
  </si>
  <si>
    <t>spatial memory (mean beta = 0.25, SE = 0.13; t (27) = 1.94, p=0.032). Are these</t>
  </si>
  <si>
    <t>ingly, within-subject correlations between color and spatial ROIxROI gPPI matrices revealed no evidence for a similar pattern of connectivity changes with memory precision for these features (mean z = 0.02, SE = 0.04; t(27) = 0.50, p=0.312). At</t>
  </si>
  <si>
    <t>AT system to the hippocampus (t(27) = 2.24, p=0.017), between</t>
  </si>
  <si>
    <t>the hippocampus and PM system (ts(27) &gt; 1.82, ps&lt;0.04), as well as increased</t>
  </si>
  <si>
    <t>communication between the AT and PM systems (ts(27) &gt; 2.04, ps&lt;0.026). All other</t>
  </si>
  <si>
    <t>changes in connectivity were not significant (ts(27) &lt; 1.48, ps&gt;.074). Of note</t>
  </si>
  <si>
    <t>be partially explained by a significant modulatory effect of emotional valence: Objects with a negative association showed more pronounced changes in connectivity with increasing color precision than objects encoded with a neutral sound association (t(27) = 2.34, p=0.027). In contrast</t>
  </si>
  <si>
    <t>color precision results, higher spatial precision in memory was accompanied by increased communication strength within the PM system (t(27) = 2.88, p=0.018, FDR-corrected) as well as from the AT</t>
  </si>
  <si>
    <t>from the AT to the PM system (t(27) = 2.87, p=0.018, FDR-corrected). No other</t>
  </si>
  <si>
    <t>No other network-level connectivity changes were significant (ts(27) &lt; 1.65, ps&gt;0.06, uncorrected), and these</t>
  </si>
  <si>
    <t>effects were not modulated by the valence of the object’s emotion association (t(27) =</t>
  </si>
  <si>
    <t>For color precision, PRC showed the most widespread changes in connectivity to aHipp, PREC, and ANG (ts(27) &gt; 2.38, ps&lt; 0.045). Additionally,</t>
  </si>
  <si>
    <t>AMYG increased its connectivity with PREC (t(27) = 2.84, p=0.046) and</t>
  </si>
  <si>
    <t>PHC increased its communication with pHipp (t(27) = 2.85, p=0.046). In contrast</t>
  </si>
  <si>
    <t>the most pronounced increases in connectivity with spatial precision involved PM regions: RSC increased its connection with ANG, PREC, and PCC (ts(27) &gt; 2.91, ps&lt; 0.013), PHC</t>
  </si>
  <si>
    <t>with ANG and PCC (ts(27) &gt; 2.99, ps&lt; 0.016), and</t>
  </si>
  <si>
    <t>PRC increased its communication with ANG (t(27) = 2.91, p=0.040). Because both</t>
  </si>
  <si>
    <t>AMYG) connections to these common targets differed by feature (Figure 5C). The change in connectivity of PM seeds to ANG/PREC was significantly greater for spatial than color precision (t(27) = 2.67, p=0.013), but there</t>
  </si>
  <si>
    <t>was no difference between the features in connectivity of AT seeds (t(27) = 0.10, p=0.92). Therefore</t>
  </si>
  <si>
    <t>showed no main effect of relationship agreement, F &lt; 1, or gender, F &lt; 1, nor an interaction between the factors, F(1, 113)¼1.35, p¼.248, gp2¼.001.</t>
  </si>
  <si>
    <t>no main effect of relationship agreement, F &lt; 1,</t>
  </si>
  <si>
    <t>or gender, F &lt; 1,</t>
  </si>
  <si>
    <t>As expected, there was a main effect of relationship agreement on condom use frequency with the primary partner, F(1, 303)¼19.13, p&lt;.001, gp2¼.059, such that CNM individuals reported using condoms with their primary partner more often (M ¼ 3.63, SD ¼ 2.54) than NCNM individuals (M ¼ 2.37, SD ¼ 2.20).</t>
  </si>
  <si>
    <t>There was no main effect of gender, F(1, 303)¼1.32, p¼.251, gp2¼.004, nor a significant interaction between the factors, F(1, 303)¼1.68, p¼.196, gp2¼</t>
  </si>
  <si>
    <t>nor a significant interaction between the factors, F(1, 303)¼1.68, p¼.196, gp2¼.006. Main analyses</t>
  </si>
  <si>
    <t>A floodlight analysis only with CNM participants (n ¼ 104) revealed that the cut-off mean age for this non-significance was 48 years, b ¼ 0.43, SE¼.22, p¼.050</t>
  </si>
  <si>
    <t>participants factor subset. Participants judged samevalence Pokemon as more similar to one another (M = 5.95, SE = 0.27) than Pokemon of opposite valence (M = 6.60, SE = 0.20), F(1,38) = 7.29, p = .010, h2p = .16. Thus, participants were sensitive to valence and it influenced their similarity judgments. This effect did not interact with the Pokemon subset</t>
  </si>
  <si>
    <t>We then compared the simwin and simlose to test the PAM prediction. As it turned out, the winning Pokemon (M = 5.97, SE = 0.27) were not rated as more similar to one another than the losing Pokemon (M = 5.94, Se = 0.30), F(1,38) = 0.04, p = .852. However,</t>
  </si>
  <si>
    <t>there was a significant interaction between Pokemon valence and the subset factor, F(1,38) = 8.55, p = .006, h2p = .18. Although not intended, this likely indicates that the subsets systematically differed regarding their perceived similarity</t>
  </si>
  <si>
    <t>ANOVA with factors Group and Time on weighted score (max 90 points) revealed a main effect of Group (F(1,44) = 12.05, p = .001, ηp</t>
  </si>
  <si>
    <t>A main effect of Time (F (1,44) = 27.25, p &lt; .001, ηp2 = .38) showed that participants recalled more words on Day8 (M(SE) = 23.0 (1.7)) than on Day1 (M (SE) = 17.5(1.5)). There was no interaction effect (p = .762).</t>
  </si>
  <si>
    <t>ANOVA with Time (Day1, Day8) and Condition (Same, Similar) as within factors and Group (Young, Teen) as a between factor revealed main effects of Time (F(1,46) = 20.22, p &lt; .001, ηp2 = .31; Day1 M(SE) = 86.7 (1.4) %, Day8 M(SE) = 79.3 (2. 0)%), Condition</t>
  </si>
  <si>
    <t>2 = .25; Same M (SE) = 85.4(1.4)%, Similar M(SE) = 80.6(1.9)%), Group</t>
  </si>
  <si>
    <t>Group (F (1,46) = 40.37, p &lt; .001, ηp</t>
  </si>
  <si>
    <t>2-way interaction Condition × Group (F(1,46) = 4.70, p = .035, ηp</t>
  </si>
  <si>
    <t>mean difference Same - Similar: Young M(SE) = 7.4 (2.4) % and Teen M(SE) = 2.2 (0.8) %; t(28.2) = 2.10, p = .040), although</t>
  </si>
  <si>
    <t>A repeated measures ANOVA with Time (Day1, Day8) and Condition (Same, Similar) as within factors, and Group (Young, Teen) as between factors revealed main effects of Time (F(1,46) = 5.31, p = .026, ηp2 = .10; Day1 M(SE) = 2978 (91) ms, Day8 M(SE) = 2812 (83) ms), Condition</t>
  </si>
  <si>
    <t>2 = .66; Same M(SE) = 2717 (80) ms, Similar M(SE) = 3073 (84) ms), and</t>
  </si>
  <si>
    <t>Group (F(1,46) = 7.20, p = .010, ηp2 = .14; Young M(SE) = 3109 (112) ms, Teen M(SE) = 2682 (112) ms). No interaction</t>
  </si>
  <si>
    <t>A repeated measures ANOVA with factors Time (Day1, Day8), Language (Japanese, Dutch) and Group (Young, Teen) revealed main effects of Time (F(1,46) = 8.82, p = .005, ηp2 = .16; Day1 M(SE) = 71.8 (2.0) %, Day8 M(SE) = 78.7 (1.9) %), Language</t>
  </si>
  <si>
    <t>Language (F (1,46) = 47.78, p &lt; .001, ηp2 = .51; Japanese M(SE) = 69.1 (1.9) %, Dutch M(SE) = 81.4 (1.8) %), and</t>
  </si>
  <si>
    <t>Group (F(1,46) = 33.41, p &lt; .001, ηp2 = .42; Young M(SE) = 65.9 (2.3) %, Teen M(SE) = 84.6 (2.3) %), as well as</t>
  </si>
  <si>
    <t>a 3-way interaction Time x Language x Group (F (1,46) = 10.01, p = .003, ηp</t>
  </si>
  <si>
    <t>2-way interaction Time x Language (F(1,46) = 31.40, p &lt; .001, ηp</t>
  </si>
  <si>
    <t>For the Young group, a main effect of Language (F(1,23) = 15.25, p = .001, ηp2 = .40) and an</t>
  </si>
  <si>
    <t>2 = .58) were observed.</t>
  </si>
  <si>
    <t>Day1 compared to Dutch words (t(23) = 6.36, p &lt; .001), whereas</t>
  </si>
  <si>
    <t>on Day8 (t(23) = .47, p = .641), as</t>
  </si>
  <si>
    <t>Day1 (t(23) = 3.5, p = .002). For</t>
  </si>
  <si>
    <t>ηp2 = .43) and</t>
  </si>
  <si>
    <t>ηp2 = .60) were</t>
  </si>
  <si>
    <t>ηp2 = .143). Participants</t>
  </si>
  <si>
    <t>This revealed main effects of Time (F(1,46) = 10.20, p = .003, ηp2 = .18; Day1 M (SE) = 1890 (51) ms, Day8 M(SE) = 1753 (40) ms), Language</t>
  </si>
  <si>
    <t>Group (F(1,46) = 10.77, p = .002, ηp2 = .98; Young: M(SE) = 1890(51) ms, Teen: M (SE) = 1753(40) ms), a 3</t>
  </si>
  <si>
    <t>3-way interaction (F(1,46) = 4.05, p = .050, ηp</t>
  </si>
  <si>
    <t>2-way interactions (Language x Group F(1,46) = 6.55, p = .014, ηp2 = .13, Time</t>
  </si>
  <si>
    <t>2 = .39). To unpack</t>
  </si>
  <si>
    <t>conducted separately for the two groups. For each group, the main effect of Language showed that the RT was faster for Dutch than Japanese (Young: Dutch M(SE) = 1757(68) ms, Japanese M(SE) = 2154(68) ms, F(1,23) = 61.17, p &lt; .001, ηp</t>
  </si>
  <si>
    <t>2 = .84). For the</t>
  </si>
  <si>
    <t>Young group, main effects of Time (F(1,23) = 6.38, p = .019, ηp</t>
  </si>
  <si>
    <t>an interaction effect between Time and Language (F(1,23) = 24.81, p &lt; .001, ηp</t>
  </si>
  <si>
    <t>This interaction effect was driven mainly by the faster response on Day8 for Japanese words (Day1 M(SE) = 2345 (105) ms, Day8 M(SE) = 1963 (48) ms, t(23) = 4.21, p &lt; .001) which was</t>
  </si>
  <si>
    <t>not the case for Dutch words (Day1 M(SE) = 1756 (82) ms, Day8 M(SE) = 1758 (75) ms, t (23) = .03, p = .98). For the</t>
  </si>
  <si>
    <t>Teen group, the interaction between Time and Language (F(1,23) = 6.22, p = .020, ηp</t>
  </si>
  <si>
    <t>the main effect of Time just missed the significance threshold (F(1,23) = 4.20, p = .052, ηp</t>
  </si>
  <si>
    <t>interaction effect was also driven by faster RTs to Japanese words on Day8 than on Day 1 (Day1 M (SE) = 2065(76) ms, Day8 M(SE) = 1895(81) ms, t(23) = 2.51, p = .019) which was</t>
  </si>
  <si>
    <t>not the case for Dutch words (Day1 M(SE) = 1393(41) ms, Day8 M(SE) = 1397(48) ms, t(23) = .14, p = .894). Overall performance</t>
  </si>
  <si>
    <t>This revealed a main effect of Time (F (1,46) = 5.43, p = .024, ηp2 = .11; Day1 M(SE) = -27.6 (8.5) ms, Day8 M(SE) = .20 (8.1) ms, and a trend</t>
  </si>
  <si>
    <t>a trend in the 2-way interaction Time x Group (F(1,46) = 3.71, p = .06, ηp2 = .08). No</t>
  </si>
  <si>
    <t>The interaction effect Time x Group was driven by the trend for the Young group to have a larger difference in the priming effect between the two sessions compared to the Teen group (t(28.1) = 1.93, p = .064, Mdiff_Young = 51 (111) ms, Mdiff_Teen = 5 (37) ms). To see</t>
  </si>
  <si>
    <t>For the Young group, RT on Day 1 was larger for the related than unrelated (t(23) = 2.62, p = .015, difference RT M(SD) = -42(79) ms), but this</t>
  </si>
  <si>
    <t>difference was not observed on Day8 (t(23) = .56, p =0.58, M(SD) = 8(75) ms). For the</t>
  </si>
  <si>
    <t>Teen group, similar results were observed (Day 1 (t(23) = 2.31, p = .031, M(SD) = -13(27) ms; Day8 (t(23) = 1.51, p =0.145, M(SD) = -8(26) ms). 3.1.5. Effect of individual</t>
  </si>
  <si>
    <t>results (PPVT, Digit span, Ravens) as covariates. These analyses revealed that participants with higher PPVT scores (thus, bigger vocabulary size) were in general good at learning novel words (association test accuracy; F(1,43) = 4.48, p = .040, ηp</t>
  </si>
  <si>
    <t>trend for better free recall on Day8 compared to Day1 (F(1,41) = 3.16, p = .083, ηp</t>
  </si>
  <si>
    <t>interacted with change in lexical decision accuracy across the two sessions (F(1,43) = 9.12, p = .004, ηp</t>
  </si>
  <si>
    <t>change in reaction time for lexical decision across the two sessions (F(1,43) = 6.99, p = .011, ηp</t>
  </si>
  <si>
    <t>two sessions (F(1,43) = 6.99, p = .011, ηp2 = .140), as well as semantic priming effect (F(1,43) = 4.55, p = .039, ηp2 = .096). In general, participants with lower digit span improved more on their per-</t>
  </si>
  <si>
    <t>However, free recall performance overall was better for the children with longer digit span (F(1,41) = 5.19, p = .028, ηp2 = .112). Full reports of these analyses can be found in the Supplementary material 6.</t>
  </si>
  <si>
    <t>There was a significant main effect of thought type F(1.56, 71.59) 40.03, p .0001, p2 0.47, with the number of task-unrelated thoughts being significantly higher than task-related thoughts</t>
  </si>
  <si>
    <t>this main effect was qualified by a significant group by thought type interaction, F(1.56,71.59) 12.79, p .0001, p2 0.22. Tests of s</t>
  </si>
  <si>
    <t>while the HC group reported higher number of task-unrelated thoughts (M 8.64, SD 3.03) than aMCI participants (M 5.09, SD 2.83), F(1, 46) 17.59, p .001, p2 0.28, the pattern was reversed for the remaining two types of thoughts</t>
  </si>
  <si>
    <t>Thus, the mean number of task-related thoughts was significantly higher in aMCI participants (M 4.39, SD 2.33) than in the HC group (M 2.48, SD 2.52), F(1, 46) 7.41, p .009, p2 0.14. Similarly</t>
  </si>
  <si>
    <t>the aMCI group reported higher number of instances of ‘no thoughts’ (M 2.30, SD 2.14) than the HC group (M .76, SD 1.27), F(1, 46) 9.43, p .004, p2 0.17. Temporal Location</t>
  </si>
  <si>
    <t>HC reported spontaneous thoughts more often than aMCI participants, F(1, 43) 21.68, p .0001, p2 0.34. The</t>
  </si>
  <si>
    <t>main effect of temporal focus of thought was also significant, F(1.55,66.68) 41.95, p .00001 p2</t>
  </si>
  <si>
    <t>these effects were qualified by a significant group by temporal focus interaction, F(1.55,66.68) 10.82, p .0001, p2 .20 (see Figure 2). Tests of simple main</t>
  </si>
  <si>
    <t>effects showed that the HC group reported significantly more spontaneous thoughts about past memories (M 6.21, SD 2.77) than participants with aMCI (M 2.90, SD 1.97), F(1, 43) 20.71, p .0001, p2 .33, but there</t>
  </si>
  <si>
    <t>were no significant differences between the two groups in the frequency of either current thoughts (MHC 1.29, SDHC 1.16; MaMCI 1.00, SDaMCI .95) or future thoughts (MHC 1.50, SDHC 1.45; MaMCI 1.67, SDaMCI 1.62; Fs 1)</t>
  </si>
  <si>
    <t>As predicted, compared to avoidance, inducing approach made participants see the bowl of candies as farther, t(84) = 4.003, p &lt; .001, d = 0.864, and</t>
  </si>
  <si>
    <t>eat more candies, t(84) = 3.111, p &lt; .003, d =0.671 (Fig. 1, Panels A &amp; B). A correlation</t>
  </si>
  <si>
    <t>orrelation analysis further showed that perceived distance regarding candies was positively related to their consumption, r=0.486, p&lt;.001 (Fig. 1, Panel C). Therefore, in line with predictions, the farther participants saw the candies, the more they ate.</t>
  </si>
  <si>
    <t>Both the effect of approach versus avoidance on perceived distance, F(1, 78) = 19.053, p &lt; .001, ηp</t>
  </si>
  <si>
    <t>on candy consumption, F(1, 78) = 12.746, p = .001, ηp2 = 0.140, remained significant. To further demonstrate the robustness of the relationship be-</t>
  </si>
  <si>
    <t>we performed a partial correlation while simultaneously controlling for all the potential confounds. Distance estimates and candy consumption remained strongly correlated, r=0.470, p&lt;.001, thus showing no confounding effects.</t>
  </si>
  <si>
    <t>Euro Canadians (-13.02%, p</t>
  </si>
  <si>
    <t>East Asian Canadians (-13.62%, p</t>
  </si>
  <si>
    <t>Hong Kong Chinese (-8.80%, p</t>
  </si>
  <si>
    <t>Euro Canadians (4.36%, p</t>
  </si>
  <si>
    <t>the Hong Kong (4.72%, p</t>
  </si>
  <si>
    <t>Euro Canadians and East Asian Canadians appear to go from 1.78%, p = .497 t</t>
  </si>
  <si>
    <t>to -5.00%, p</t>
  </si>
  <si>
    <t>decrease; -6.78%, p &lt; .001) and</t>
  </si>
  <si>
    <t>6.29%, p = .047 to 1.78%, p</t>
  </si>
  <si>
    <t>well; -4.04%, p = .022) respectively.</t>
  </si>
  <si>
    <t>from 8.26, p</t>
  </si>
  <si>
    <t>3.98%, p</t>
  </si>
  <si>
    <t>decrease, -4.28%, p = .007). The</t>
  </si>
  <si>
    <t>significant: 3.75%, p</t>
  </si>
  <si>
    <t>to 1.78%, p</t>
  </si>
  <si>
    <t>decrease is -1.98%, p = .198). However</t>
  </si>
  <si>
    <t>from 2.81%, p</t>
  </si>
  <si>
    <t>to -3.98%, p</t>
  </si>
  <si>
    <t>decrease is -6.78%, p</t>
  </si>
  <si>
    <t>from 6.74%, p</t>
  </si>
  <si>
    <t>to -1.34%, p</t>
  </si>
  <si>
    <t>is -8.07%, p</t>
  </si>
  <si>
    <t>from 5.72%, p</t>
  </si>
  <si>
    <t>to 1.44%, p</t>
  </si>
  <si>
    <t>is -4.28%, p</t>
  </si>
  <si>
    <t>from -0.88%, p</t>
  </si>
  <si>
    <t>to 2.86%, p</t>
  </si>
  <si>
    <t>is -1.98%, p</t>
  </si>
  <si>
    <t>Canadians at 13.66%, p</t>
  </si>
  <si>
    <t>Canadians at 10.91%, p</t>
  </si>
  <si>
    <t>Chinese at 10.09%, p</t>
  </si>
  <si>
    <t>at 8.90%, p</t>
  </si>
  <si>
    <t>from 5.94% to 13.25%, p &lt; .01. After</t>
  </si>
  <si>
    <t>estimates (-6.78%, p</t>
  </si>
  <si>
    <t>-8.07%, p</t>
  </si>
  <si>
    <t>-4.28%, p</t>
  </si>
  <si>
    <t>and 1.98%, p = .435, respectively),</t>
  </si>
  <si>
    <t>Hong Kong Chinese (5.80%, p</t>
  </si>
  <si>
    <t>Japanese (6.93%, p</t>
  </si>
  <si>
    <t>European Canadians (6.88%, p</t>
  </si>
  <si>
    <t>accurate (2.83%, p = .496). Note</t>
  </si>
  <si>
    <t>Euro Canadians go from 5.97%, p</t>
  </si>
  <si>
    <t>to -0.81%, p</t>
  </si>
  <si>
    <t>decrease of -6.78%, p</t>
  </si>
  <si>
    <t>empathy of 7.69%, p</t>
  </si>
  <si>
    <t>from 6.55%, p</t>
  </si>
  <si>
    <t>to -1.52%, p</t>
  </si>
  <si>
    <t>of -8.07%, p = .002, difference</t>
  </si>
  <si>
    <t>empathy of 4.36%, p</t>
  </si>
  <si>
    <t>from 9.53%, p = .001 t</t>
  </si>
  <si>
    <t>to 5.24%, p</t>
  </si>
  <si>
    <t>of -4.28%, p</t>
  </si>
  <si>
    <t>of 0.56%, p = .779; Japanes</t>
  </si>
  <si>
    <t>from 10.54%, p</t>
  </si>
  <si>
    <t>to 8.57%, p</t>
  </si>
  <si>
    <t>f -1.98%, p = .435, difference</t>
  </si>
  <si>
    <t>empathy of 1.64%, p</t>
  </si>
  <si>
    <t>overconfident, (11.42%, p</t>
  </si>
  <si>
    <t>overprecise by -0.35, p</t>
  </si>
  <si>
    <t>overprecise by -0.50, p</t>
  </si>
  <si>
    <t>overprecise by -0.62, p</t>
  </si>
  <si>
    <t>Chinese (0.54, p</t>
  </si>
  <si>
    <t>Japanese (0.33, p</t>
  </si>
  <si>
    <t>East Asian Canadians (-0.17, p</t>
  </si>
  <si>
    <t>Chinese (-0.35, p</t>
  </si>
  <si>
    <t>Japanese (-0.24, p</t>
  </si>
  <si>
    <t>Euro Canadians (-0.05, p</t>
  </si>
  <si>
    <t>individuals (-0.10, p = .028) and</t>
  </si>
  <si>
    <t>males (-.30, p &lt; .001) showing</t>
  </si>
  <si>
    <t>payoffs (27 cents, p</t>
  </si>
  <si>
    <t>variance (ΔSD = .38, p</t>
  </si>
  <si>
    <t>logical injury. Although lost enjoyment of life ratings were significantly higher for moderate loss injuries (M 5.37, SD 1.29) than for mild loss injuries (M 3.86, SD 1.41), F(1, 128) 40.21, p .001, d 1.12, 95%, CI \[0.75, 1.49\], they did</t>
  </si>
  <si>
    <t>The interaction was not statistically significant, F(1, 128) 1.24, p .27, 2 .01. Hypothesis 2</t>
  </si>
  <si>
    <t>ries of comparable severity. This hypothesis was supported. Participants gave significantly higher scores for lost opportunities following physical injuries (M 5.51, SD 1.31) than psychological injuries (M 4.03, SD 1.58), F(1, 129) 35.28, p .001, d 1.02, 95% CI \[0.65, 1.38\]. They rated</t>
  </si>
  <si>
    <t>, F(1, 129) 35.28, p .001, d 1.02, 95% CI \[0.65, 1.38\]. They rated loss of future opportunities as greater after moderate loss injuries (M 5.45, SD 1.22) than mild loss injuries (M 4.14, SD 1.72), F(1, 129) 27.21, p .001, d 0.88, 95% CI \[0.52, 1.24\]. The interaction</t>
  </si>
  <si>
    <t>interaction was not statistically significant, F(1, 129) 3.86, p .05, 2 .03. Responses to the</t>
  </si>
  <si>
    <t>never). Consistent with Hypothesis 3, mean estimates were significantly greater for the physical injury (M 2.70, SD 1.29) than for the psychological injury (M 2.14, SD 1.08), F(1, 128) 6.59, p .01, d 0.46, 95% CI \[0.12, 0.81\]. There</t>
  </si>
  <si>
    <t>There was no statistically significant main effect of Extent of Long-Term Hedonic Loss, F(1, 128) 0.42, p .52, d 0.16, 95% CI \[.51, 0.18\], or an</t>
  </si>
  <si>
    <t>an interaction, F(1, 128) 0.12, p .73, 2 .01. Discussion</t>
  </si>
  <si>
    <t>We found a significant positive association between the social context and risky decisions in the high family conflict group (B = .449, SE = .097, p &lt; .001),</t>
  </si>
  <si>
    <t>a significant negative association between the social context and risky decisions in the low family conflict group (B = −.297, SE = .084, p = .003).</t>
  </si>
  <si>
    <t>Donating behavior was positively correlated to the IRI-EC subscale \[r(31) = .54, p &lt; .001\], negatively</t>
  </si>
  <si>
    <t>negatively correlated to how much participants enjoyed gaining for the self \[r(31) = – .41, p = .021\], and</t>
  </si>
  <si>
    <t>positively correlated to the self-reported ratings of the subjective importance of the charity \[r(31) = .61, p &lt; .001\]. No other</t>
  </si>
  <si>
    <t>That is, the higher were empathic concern (β =.54,p = .002),</t>
  </si>
  <si>
    <t>charity importance (β = .61, p &gt; .001), and</t>
  </si>
  <si>
    <t>.001), and daily-life donating (β = .43, p =.015),themoreparticipants donated to charity in the one-shot donation Dictator Game</t>
  </si>
  <si>
    <t>In addition, self-enjoyment negatively predicted donation behavior, with higher self-enjoyment (β = – .41, p = .021) being related to less donations (see also Table 1).</t>
  </si>
  <si>
    <t>The results yielded a main effect of beneficiary \[F(1.58, 47.53) = 8.15, p &lt; .001, ηp</t>
  </si>
  <si>
    <t>main effect of outcome size and the interaction between beneficiary and outcome size were not significant \[F(1, 30) = 2.44, p =.13,ηp</t>
  </si>
  <si>
    <t>and F(1.87, 56.21) = 0.91, p =.41,ηp</t>
  </si>
  <si>
    <t>Higher enjoyment ratings for charity gains (averaged across €1, €2, and €4) were significantly correlated with higher ventral striatum activation for charity-gain \[r(31) =.377,p = .037\]. These results are shown in Fig. 4.</t>
  </si>
  <si>
    <t>Here, higher enjoyment ratings for self gains were significantly correlated with higher ventral striatum activation for self-gain \[r(31) = .45, p =.01\]. Interestingly</t>
  </si>
  <si>
    <t>activation when gaining for both oneself and charity relative to baseline (BothHigh – BothNoGain) was positively correlated with enjoyment ratings of gaining for oneself \[r(31) = .36, p = .046\], but was</t>
  </si>
  <si>
    <t>We found a significant correlation between empathic concern and charity-gain \[r(31) = .44, p = .014\], but not between empathic concern and self-gain (p &gt;.4)</t>
  </si>
  <si>
    <t>Participants expressed a significantly greater preference to rescue suffering strangers (M = 4.56) than suffering friends (M = 3.95) from a life-threatening accident, t(201) = 2.04, p &lt; .042, d = 0.29, 95% CI \[0.02, 1.19\] (Fig 1A). Empathy</t>
  </si>
  <si>
    <t>significantly more empathic emotion (M = 5.10) than participants in the stranger condition (M = 4.74), t(199) = 3.59, p = .0004, d = 0.51, 95% CI \[1.13, 3.90\]. The relationship</t>
  </si>
  <si>
    <t>articipants who thought about a suffering friend (coded as 1) reported more empathic emotion than those who thought about a suffering stranger (coded as 0), β = .492, p &lt; .001, and g</t>
  </si>
  <si>
    <t>greater empathic emotion was associated with lower desire for the victim to be rescued, β = -.184, p &lt; .01.</t>
  </si>
  <si>
    <t>However, multiple mediation analysis \[53\] showed that Self-oriented emotion was associated with greater preference for rescue (b path: coeff = .11, t = 2.66, p &lt; .01). In contrast</t>
  </si>
  <si>
    <t>Other-oriented emotion was associated with greater preference to let the victim die (b path: coeff = -.31, t = 6.02, p &lt; .0001). To the</t>
  </si>
  <si>
    <t>Specifically, the more strongly participants favored letting the victim die, the more likely they were to mention the victim’s current suffering, r(203) = .48, p &lt; .001, the victim’s anticipated future suffering, r(203) = .50, p &lt; .001, and</t>
  </si>
  <si>
    <t>the victim’s anticipated future suffering, r(203) = .50, p &lt; .001, and the</t>
  </si>
  <si>
    <t>participant’s own empathic feelings, r(203) = .30, p &lt; .001 when explaining the decision</t>
  </si>
  <si>
    <t>Conversely, the more participants favored saving the victim’s life, the more likely they were to mention religious beliefs r(203) = .30, p &lt; .001. Although correlational,</t>
  </si>
  <si>
    <t>Across the four dilemmas, participants reported having considered more solutions in the could mindset (M 5 5.11, SD 5 1.68) than in the should mindset (M 5 4.41, SD 5 1.07), F(1, 194) 5 10.70, p , .001, hp</t>
  </si>
  <si>
    <t>The interaction between the dilemma type and mindset was also significant, F(3, 582) 5 6.53, p , .001, hp2 5 .03.6 We conducted</t>
  </si>
  <si>
    <t>We conducted a similar analysis using the coders’ ratings of how participants’ solutions spanned boundaries across the four dilemmas and found that having a could mindset increased divergent thinking (M 5 3.19, SD 5 1.22) relative to having a should mindset (M 5 2.42, SD 5 1.01), F(1, 202) 5 22.99, p , .001, hp</t>
  </si>
  <si>
    <t>.001, hp2 5 .10. We did not find a significant interaction between the dilemma type and mindset, F(3, 606) 5 2.08, p 5 .11, hp2 5 .01. 6 Pairwise comparisons</t>
  </si>
  <si>
    <t>Using our concrete measure of moral insight, we found that a could mindset (M 5 1.59, SD 5 1.12) generated more moral insight across the four ethical dilemmas relative to a should mindset (M 5 1.17, SD 5 .96), F(1, 196) 5 8.99, p 5 .003, hp</t>
  </si>
  <si>
    <t>.003, hp2 5 .04. We did not find a significant interaction between the dilemma type and mindset, F(3, 588) 5 .89, p 5 .45, hp2 5 .005. Using our</t>
  </si>
  <si>
    <t>abstract measure of moral insight, we found that a could mindset (M 5 .97, SD 5 .89) generated more moral insight across the four ethical dilemmas relative to a should mindset (M 5 .68, SD 5 .75), F(1, 196) 5 7.05, p 5 .009, hp</t>
  </si>
  <si>
    <t>We did not find a significant interaction between the dilemma type and mindset, F(3, 588) 5 1.02, p 5 .38, hp2 5 .005. Mediation analysis.</t>
  </si>
  <si>
    <t>A could mindset was positively associated with divergent thinking (b 5 .32, t 5 4.80, p 5 .001; see Table 3). When</t>
  </si>
  <si>
    <t>controlling for divergent thinking, the effect of adopting a could mindset was reduced to non-significance (from b 5 .20, t 5 2.86, p 5 .005</t>
  </si>
  <si>
    <t>to b 5 .001, t 5 .005, p . .99), and divergent</t>
  </si>
  <si>
    <t>and divergent thinking predicted participants’ ability to generate moral insight solutions (b 5 .61, t 5 10.46, p , .001). A</t>
  </si>
  <si>
    <t>̄ rdiff = 0.11 betwee</t>
  </si>
  <si>
    <t>̄ rdiff = 0.14 between the</t>
  </si>
  <si>
    <t>̄ rdiff = 0.12 between</t>
  </si>
  <si>
    <t>discrepancies, ranging from ̄ rdiff = 0.17 between the</t>
  </si>
  <si>
    <t>̄ rdiff = 0.23 between</t>
  </si>
  <si>
    <t>̄ r= 0.57), followed</t>
  </si>
  <si>
    <t>̄ r = 0.54) an</t>
  </si>
  <si>
    <t>̄ r= 0.45). Given</t>
  </si>
  <si>
    <t>This yielded profile correlations between the NEO‐FFI and the BFI of rICC = 0.92, 0.93, 0.79, 0.95, and 0.83 (for Neuroticism, Extraversion, Openness, Agreeableness, and Conscientiousness, respectively);</t>
  </si>
  <si>
    <t>between the NEO‐FFI and the IPIP‐50 of rICC = 0.94, 0.63, 0.75, 0.79, and 0.84; and</t>
  </si>
  <si>
    <t>between the BFI and the IPIP‐50 of rICC</t>
  </si>
  <si>
    <t>p = 0.034, for NEO‐FFI versus</t>
  </si>
  <si>
    <t>p &lt; 0.001, for NEO‐FFI versus IPIP‐50</t>
  </si>
  <si>
    <t>p = 0.001, for BFI versus IPIP‐50</t>
  </si>
  <si>
    <t>Participants made more errors in the difficult (M = 95.76, SE = 5.17) than in the easy (M = 94.44, SE = 5.35) condition, t(79)=1.76, p =.041, r =.19. Moreover</t>
  </si>
  <si>
    <t>participants were slightly slower in the difficult (M = 594.65, SE = 12.24)than in the easy (M = 591.44, SE = 10.95) condition, but this difference was not significant (p &gt;.42).</t>
  </si>
  <si>
    <t>The a priori contrast on response times in the d2 task was significant, F(77)=5.95, p =.009, r =.27.Aspresented</t>
  </si>
  <si>
    <t>The a priori contrast on perceived capacity was significant, F(77)=4.01, p =.024, r =.22. As presented</t>
  </si>
  <si>
    <t>A 2 (first-task) 2 (cue) 2 (time) ANOVA on mood scores only revealed a main effect of time, F(77)=7.55, p =.007, r =.30, in absence of other effects</t>
  </si>
  <si>
    <t>The SEM of the basic stage model (Fig. 2) showed a good fit (χ2(77) = 185.907, p &lt; .000; CFI = .979, TLI = .971, RMSEA = .053, SRMR = .039), which</t>
  </si>
  <si>
    <t>model. The CFA with mindfulness revealed a broadly acceptable fit (χ2(160) = 444.654, p &lt; .000; CFI = .935, TLI = .922, RMSEA = .060, SRMR = .053). To maintain</t>
  </si>
  <si>
    <t>The model 2, which included intentions and behaviors as dependent variables and the five mindfulness dimensions as predictors, revealed significant relationships between observing and goal intention (β = .317, p &lt; .000),</t>
  </si>
  <si>
    <t>between describing and goal intention (β = −.119, p = .024) and</t>
  </si>
  <si>
    <t>between nonreactivity and implementation intention (β = .102, p = .049). The</t>
  </si>
  <si>
    <t>model showed overall an acceptable fit (χ2 (292) = 668.218, p &lt; .000; CFI = .948, TLI = .938, RMSEA = .051, SRMR = .046)</t>
  </si>
  <si>
    <t>The overall fit of model 3 was broadly acceptable (χ2 (502) = 969.028, p &lt; .000; CFI = .952, TLI = .944, RMSEA = .043, SRMR = .051). The</t>
  </si>
  <si>
    <t>It revealed positive relations between observing and social norms (β = .157, p = .046), personal</t>
  </si>
  <si>
    <t>personal norms (β = .301, p &lt; .000), and</t>
  </si>
  <si>
    <t>ttitude (β =.283,p &lt; .000). Furthe</t>
  </si>
  <si>
    <t>a weak relationship between the non-judging facet and attitude (β =.165,p = .024) was found.</t>
  </si>
  <si>
    <t>The model fit remained overall acceptable (χ2 (517) = 963.833, p &lt; .000; CFI = .954, TLI = .948, RMSEA = .041, SRMR = .046). On the basis</t>
  </si>
  <si>
    <t>The comparison of the different stage groups in terms of the mindfulness dimensions yielded an overall significant difference in the dimension observing (F (3, 556) = 4.61, p =.003), with a small main effect for stage membership (η2 =.02,95% CI \[.004; .053\], f = .16). The</t>
  </si>
  <si>
    <t>hoc test revealed a significant medium-sized mean difference (p =.002,dcohen =.43)of observing between the stage of predecision (M = 3.29) and postaction (M = 3.64).</t>
  </si>
  <si>
    <t>the post hoc tests, nonjudging was significantly different (p =.034, dcohen =.32) in the preaction (M =3.31)andpostaction(M = 3.51) stages (see</t>
  </si>
  <si>
    <t>In line with the standard action effect, participants judged actions (M = 6.25, SD = 1.23, n = 398) to be more causal than inactions (M = 5.75, SD = 1.78, n = 408) (b = 0.50, SE = 0.10, t = -4.70, p &lt; .001, CI \[-0.71, -0.29\]) (Fig. 1). Mean agreement with the causal statement for each vignette is reported in Table 3 (Supplement D)</t>
  </si>
  <si>
    <t>however, the simple effect of synchrony on rapport was marginally significant in the affective event condition, b ¼ .45, SE ¼ .25, t(26) ¼ 1.82, p ¼ .08, 95% CI \[0.06, 0.96\], but not in the</t>
  </si>
  <si>
    <t>but not in the neutral condition, b ¼ .08, SE ¼ .22, t(26)¼ 0.35, p ¼ .73, 95% CI \[0.37, 0.52\]. Given that</t>
  </si>
  <si>
    <t>As can be seen in Table 2, the first analysis revealed a significant interaction between synchrony and event type for empathy, R2change ¼ .21, F(1, 26) ¼ 7.60, p ¼ .01, such that</t>
  </si>
  <si>
    <t>synchrony predicted higher levels of empathy in the affective event condition, b ¼ .72, SE ¼ .25, t(26) ¼ 2.86, p ¼ .008, 95% CI \[0.21, 1.23\], but not</t>
  </si>
  <si>
    <t>condition, b ¼.21, SE ¼ .22, t(26) ¼0.92, p ¼ .36, 95% CI \[0.66, 0.24\] (see Figure 1). The second analysis r</t>
  </si>
  <si>
    <t>interaction between synchrony and event type was not significant for perceived partner responsiveness, R2 change ¼ .04, F(1, 26) ¼ 1.21, p ¼ .28. However, the simple</t>
  </si>
  <si>
    <t>effect of synchrony on perceived responsiveness approached significance in the affective event condition, b ¼ .53, SE ¼ .28, t(26) ¼ 1.90, p ¼ .069, 95% CI \[0.04, 1.10\], but</t>
  </si>
  <si>
    <t>not in the neutral condition, b ¼ .12, SE ¼ .25, t(26) ¼ 0.49, p ¼ .63, 95% CI \[0.39, 0.63\]. Overall, the</t>
  </si>
  <si>
    <t>As shown in Figure 1, money-primed participants did not report significantly higher right-wing orientations than participants not reminded of money, N = 564, r = -.07, 95% CI = \[-0.17, 0.02\], Z = -1.57, p = .117, Q(6) = 7.00, p = .32, I2 = 17.83%.iv Cochran's Q</t>
  </si>
  <si>
    <t>marginally significant interaction effect in the expected direction, N = 327, r = 0.14, 95% CI = \[-0.01, 0.28\], Z = 1.83, p = .068, Q(3) = 5.42, p = .14, I2 = 42.97%.v Heterogeneity analysis indicated moderate but not dispropor-</t>
  </si>
  <si>
    <t>vi Second, our</t>
  </si>
  <si>
    <t>did not show statistically significant differences in the effect sizes across studies, QM (df = 1) = 0.47, p = .493. Even t</t>
  </si>
  <si>
    <t>only exploitation in the dictator game was significantly related to Honesty-Humility (r = 0.27, p &lt; .001), whereas</t>
  </si>
  <si>
    <t>exploitation in the ultimatum game was not significantly related to Honesty-Humility (r = 0.13, p = .063). To investigate th</t>
  </si>
  <si>
    <t>a significant main effect of power revealed that people were more exploitative in the dictator game (M = 54.89; SD = 14.57, 95% CI \[52.91, 56.87\]) than in the ultimatum game (M = 51.65; SD = 9.97, 95% CI \[50.30, 53.00\]), F(1, 207) = 10.08, p = .002, gp2 = 0.05. People with power offered about 6% fewer resources t</t>
  </si>
  <si>
    <t>may add up. Furthermore, a main effect of standardized HonestyHumility was obtained, F(1, 207) = 15.35, b = 2.62, 95% CI \[3.94, 1.30\], p &lt; .001, gp2 = 0.07. Finally, the predicted interaction between standardized Hon</t>
  </si>
  <si>
    <t>As predicted, standardized Honesty-Humility significantly predicted exploitation in the dictator game (b = 3.95, 95% CI \[5.87, 2.03\], p &lt; .001), specifically,</t>
  </si>
  <si>
    <t>icantly predict exploitation in the ultimatum game, (b = 1.28, 95% CI \[2.64, 0.07\], p = .063)</t>
  </si>
  <si>
    <t>In omnibus tests of moderation, we found a significant interaction between the occurrence of FtF socializing and the occurrence of CMC socializing on mood, b ¼0.26, SE ¼ .08, p ¼ .002, and</t>
  </si>
  <si>
    <t>social connectedness, b ¼0.40, SE ¼ .09, p &lt; .001.</t>
  </si>
  <si>
    <t>We found only a marginal interaction for tense arousal, b ¼ 0.14, SE ¼ .09, p ¼ .096;2 we thus conservatively focus only on mood and connectedness when exploring the simple effects reported next.</t>
  </si>
  <si>
    <t>Simple effects analyses in this omnibus model indicated that in the absence of remote socializing, the presence of FtF socializing was associated with both better mood, b ¼ 0.62, SE ¼ .06, p &lt; .001, r ¼ .67, and</t>
  </si>
  <si>
    <t>higher social connectedness, b ¼ 1.38, SE ¼ .08, p &lt; .001, r ¼ .78. In other words, people felt better when solely interacting FtF (FtF-only episodes) than when not socializing at all (no-socializingepisodes)</t>
  </si>
  <si>
    <t>when not socializing at all (no-socializingepisodes).Incontrast, in the absence of FtF socializing, CMC did not predict significantly better mood, b ¼ 0.08, SE ¼ .06, p ¼ .225, r ¼ .10, though</t>
  </si>
  <si>
    <t>.10, though CMC did predict somewhat greater social connectedness, b ¼ 0.16, SE ¼ .07, p ¼ .025, r ¼ .17. Thus, people felt</t>
  </si>
  <si>
    <t>Compared to mixed episodes, participants felt better, b ¼ 0.18, SE ¼ .05, p &lt; .001, r ¼ .29, and</t>
  </si>
  <si>
    <t>¼ 0.18, SE ¼ .05, p &lt; .001, r ¼ .29, and more socially connected, b ¼ 0.23, SE ¼ .05, p &lt; .001, r ¼ .39, during FtFonly episodes (Table 2). Consistent with the interference</t>
  </si>
  <si>
    <t>solely socializing remotely or even not socializing at all? During mixed episodes, people felt better, b ¼0.36, SE ¼ .05, p &lt; .001, r ¼.49, and more</t>
  </si>
  <si>
    <t>more socially connected, b ¼0.98, SE ¼ .07, p &lt; .001, r ¼.75, than during CMC-only episode</t>
  </si>
  <si>
    <t>During mixed episodes, people also reported better mood, b ¼ 0.43, SE ¼ 06, p &lt; .001, r ¼.53, and</t>
  </si>
  <si>
    <t>0.43, SE ¼ 06, p &lt; .001, r ¼.53, and higher social connectedness, b ¼1.14, SE ¼ .08, p &lt; .001, r ¼.75, than during episodes when they did not socialize at all (Table 2).</t>
  </si>
  <si>
    <t>People felt happier, b ¼ 0.18, SE ¼ .04, p &lt; .001, and more connected</t>
  </si>
  <si>
    <t>¼ 0.27, SE ¼ .05, p &lt; .001 on weekends than on weekdays;</t>
  </si>
  <si>
    <t>more socially connected, b ¼ 0.04, SE ¼ .01, p &lt; .001, later in the day</t>
  </si>
  <si>
    <t>Controlling for time of day and day of the week, however, did not substantively change the key observed difference between mixed and FtF-only episodes: mood (b ¼ 0.17, SE ¼ .05, p ¼ .002)</t>
  </si>
  <si>
    <t>and social connectedness (b ¼ 0.21, SE ¼ .05, p &lt; .001</t>
  </si>
  <si>
    <t>Even though in those models previous mood predicted current mood, b ¼ 0.23, SE ¼ .01, p &lt; .001, and</t>
  </si>
  <si>
    <t>b ¼ 0.23, SE ¼ .01, p &lt; .001, and previous connectedness predicted current connectedness, b ¼ 0.17, SE ¼ .01, p &lt; .001, we</t>
  </si>
  <si>
    <t>little change in the observed differences between mixed and FtF-only episodes on current mood, b ¼ 0.19, SE ¼ .05, p &lt; .001, or</t>
  </si>
  <si>
    <t>current connectedness, b ¼0.21, SE ¼ .06, p &lt; .001.</t>
  </si>
  <si>
    <t>we found negligible differences in our main outcome measures: mood, b ¼0.03, SE ¼ .11, p ¼ .771; connectedness,</t>
  </si>
  <si>
    <t>connectedness, b ¼ 0.08, SE ¼ .13, p ¼ .521. Indeed</t>
  </si>
  <si>
    <t>Indeed, the sizes of the effects were almost negligible (e.g., mood: r ¼.04), and the signs of the effects were inconsistent.</t>
  </si>
  <si>
    <t>From pre- to posttreatment (S1), NA decreased significantly for both CBT (b = –0.5, 95% CI \[–0.8, –0.3\], p b. 001) and</t>
  </si>
  <si>
    <t>ACT (b = –0.7, 95% CI \[–0.9, 0.3\], p b. 001), but</t>
  </si>
  <si>
    <t>not WL (b = –0.2, 95% CI \[–0.5, –0.1\], p = .18). For</t>
  </si>
  <si>
    <t>pairwise slope comparisons, ACT demonstrated larger reductions in NA than WL (b = –0.5, 95% CI \[–0.9, –0.1\], p =.01).CBT</t>
  </si>
  <si>
    <t>CBT, however, did not outperform WL in reducing NA, although the observed effect approached significance (b =0.3,95%CI\[–0.04, 0.7\], p = .08).</t>
  </si>
  <si>
    <t>Inconsistent with our hypothesis, CBT and ACT S1 slopes did not significantly differ from each other (b = –0.2, 95% CI \[–0.5, 0.2\], p = .39). S2</t>
  </si>
  <si>
    <t>From pre- to posttreatment (S1), PA increased significantly for CBT (b = 0.3, 95% CI \[0.1, 0.6\], p =.009)and</t>
  </si>
  <si>
    <t>ACT(b = 0.3, 95% CI \[0.01, 0.5\], p = .05), but</t>
  </si>
  <si>
    <t>not WL (b = 0.1, 95% CI \[–0.1, 0.4\], p = .37).</t>
  </si>
  <si>
    <t>For S1 pairwise slope comparisons, neither ACT nor CBT demonstrated larger increases in PA than WL (ACT b = 0.1, 95% CI \[–0.2, 0.5\], p =.48; CBT</t>
  </si>
  <si>
    <t>ACT and CBT S1 slopes did not significantly differ from each other (b = –0.01, 95% CI \[–0.4, 0.3\], p = .70). S2</t>
  </si>
  <si>
    <t>NA was not found to differentially moderate social anxiety symptoms for CBT or ACT for S1 (b = 0.4, 95% CI \[–0.1, 0.8\], p = .09) or</t>
  </si>
  <si>
    <t>S2 (b = 0.1, 95% CI \[–0.2, 0.2\], p = .85). Nor</t>
  </si>
  <si>
    <t>Nor did PA moderate social anxiety symptoms for CBT or ACT for S1 (b = 0.04, 95% CI \[–0.4, 0.5\], p = .88) or</t>
  </si>
  <si>
    <t>S2 (b = 0.2, 95% CI \[–0.1, 0.4\], p = .30). Further</t>
  </si>
  <si>
    <t>regardless of treatment condition neither NA nor PA significantly predicted outcome for S1 (NA b = 0.1, 95% CI \[–0.1, 0.3\], p = .50; PA b = –0.1, 95% CI \[–0.4, 0.1\], p = .28) or</t>
  </si>
  <si>
    <t>S2 (NA b = 0.01, 95% CI \[–0.1, 0.1\], p = .88; PA b = –0.01, 95% CI \[–0.1, 0.4\], p = .27). Quality of Life</t>
  </si>
  <si>
    <t>NA was not found to differentially moderate QOL for CBT or ACT for S1 (b = 0.1, 95% CI \[–0.7, 0.8\], p = .81) or S2</t>
  </si>
  <si>
    <t>or S2 (b = –0.01, 95% CI \[–0.5, 0.4\], p = .96). Nor did</t>
  </si>
  <si>
    <t>Nor did PA moderate QOL for CBT or ACT for S1 (b = –0.2, 95% CI \[–1.0, 0.5\], p = .54) or</t>
  </si>
  <si>
    <t>or S2 (b = 0.2, 95% CI \[–0.2, 0.7\], p = .28). Regardless</t>
  </si>
  <si>
    <t>NA did not significantly predict outcome for S1 (b = –0.01, 95% CI \[–0.4, 0.4\], p = .97) or</t>
  </si>
  <si>
    <t>S2 (b = –0.1, 95% CI \[–0.3, 0.1\], p =.48).In</t>
  </si>
  <si>
    <t>PA predicted outcome for S1 (b = –0.6, 95% CI \[–1.0, –0.2\], p =.002),but</t>
  </si>
  <si>
    <t>not for S2 (b = 0.1, 95% CI \[–0.2, 0.2\], p = .99). Tests</t>
  </si>
  <si>
    <t>simple effects revealed that among participants with low (1 SD below the mean) and average (mean) PA, the slope change in QOL was significant (low PA slope = 1.1, 95% CI \[0.6, 1.6\], p b .001; average</t>
  </si>
  <si>
    <t>average PA slope = 0.5, 95% CI \[0.3, 0.9\], p b .001). Slope</t>
  </si>
  <si>
    <t>Slope change was not found to be significant for individuals with high PA (1 SD above the mean; slope = 0.05, 95% CI \[–0.4, 0.5\], p = .82). However, high PA individuals already demonstrated high QOL at pretreatment</t>
  </si>
  <si>
    <t>We observed a main effect of temperature (b .28), t(82) 2.72, p .01, partial r (pr) .29, such that those in the warmth condition reported lower NTB than did those in the cold condition</t>
  </si>
  <si>
    <t>We also observed a main effect of FNE (b .54), t(82) 7.78, p .001, pr .65, such that those lower in FNE reported lower NTB than did those higher in FNE. T</t>
  </si>
  <si>
    <t>There was no interaction between temperature and FNE (b .11), t(82) .81, p .42, pr .09. Although</t>
  </si>
  <si>
    <t>At high levels of FNE, temperature did not exert a significant effect on NTB scores (b .20), t(82) 1.34, p .18, pr .15. However,</t>
  </si>
  <si>
    <t>as predicted, for participants low in FNE, warmth reduced NTB scores relative to the cold condition (b .37), t(82) 2.49, p .02, pr .27. We also</t>
  </si>
  <si>
    <t>We repeated the analyses just described and included trait anxiety and neuroticism as covariates. Neither trait anxiety (b .02), t(80) .18, p .86, pr .02, nor</t>
  </si>
  <si>
    <t>neuroticism (b .02), t(80) .63, p .53, pr .07, exerted a significant effect on NTB scores.</t>
  </si>
  <si>
    <t>Moreover, when controlling for these variables, the main effects of temperature (b .26), t(80) 2.45, p .02, pr .26, and FNE</t>
  </si>
  <si>
    <t>FNE (b .58), t(80) 7.39, p .001, pr .64, and the</t>
  </si>
  <si>
    <t>simple effect of temperature at low FNE (b .35), t(80) 2.33, p .02, pr .25, remained significant.</t>
  </si>
  <si>
    <t>In a regression, DEQ shows a robust relation with CSI (with B = .014, t = 5.05, p &lt; .001, 95% CI \[0.0083, 0.0188\]).6 This means that for each degree increase in distance from the equator, the number of high-contact roles increases by .014</t>
  </si>
  <si>
    <t>CSI is a positive predictor of CBT (in a regression; B = .066, t = 8.40, p &lt; .001, 95% CI \[0.051, 0.082\]), meaning that for each point increase in high-contact roles there is a .066 degrees Celsius increase in core body temperature</t>
  </si>
  <si>
    <t>DEQ on the other hand is a negative predictor of CBT (B = –.0053, t = –6.56, p &lt; .001, 95% CI \[–0.069, –0.0037\]), meaning that each degree increase in distance from the equator lowers core body temperature by .0053 degree Celsius.</t>
  </si>
  <si>
    <t>n our full dataset, having a romantic relationship moderated the link between DEQ and CSI (B = –.034, t = –6.85, p &lt; .001, 95% CI \[–0.044, –0.025\]), as was predicted by our conditional random forests.</t>
  </si>
  <si>
    <t>CSI correlates considerably with the size of people’s social network (r = .495, p &lt; .001). Yet, if it is indeed CSI rather than the sheer size of the network, then network size should not mediate the relationship between DEQ and CBT.</t>
  </si>
  <si>
    <t>the mediation did not even survive our first exploratory analyses, as network size was not predicted by DEQ (B = .03, t = 0.92, p = .36, 95% CI \[–0.030, 0.084\]) nor</t>
  </si>
  <si>
    <t>did network size predict CBT (B = .0005, t = .36, p = .72, 95% CI \[–.0024, .0035\]). It is thus quality of the network, and not size, that matters.</t>
  </si>
  <si>
    <t>A paired sample t-test showed that participants anticipated feeling greater regret from following advice (M = 2.72, SD = 2.46) than from ignoring advice (M = 1.29, SD = 2.71), t(66) = 3.70, p &lt; 0.001. Accordingly</t>
  </si>
  <si>
    <t>Willingness was negatively correlated with net regret (r = 0.48, p &lt; 0.01). Because</t>
  </si>
  <si>
    <t>the two types of regret were significantly correlated (r = 0.26, p &lt; 0.05), we conducted a regression analysis to find unique effects from each type of regret.</t>
  </si>
  <si>
    <t>was significantly and positively related to ignore regret (β = 0.37, t(64) = 3.25, p &lt; 0.01). These results lend support for hypothesis 2</t>
  </si>
  <si>
    <t>Tests of between-subjects main effects showed that condition significantly affected perceived moral relevance, F(1, 195) 55. 48, p .001, partial 2 .22, but</t>
  </si>
  <si>
    <t>country had no significant effect on ratings of moral relevance, F(1, 195) 1. 13, p .29, 2 .01. As expected,</t>
  </si>
  <si>
    <t xml:space="preserve"> 2.59, SE 0.26), Cohen’s d 1.06 (95% CI \[1.43, 2.27\]). The results also yielded a significant within-subjects main effect of domain, F(1, 195) 58.46, p .001, partial 2 .23, indicating that harmful acts (M 4.30, SD 3.28, SE 0.23) were generally rated more morally relevant than impure acts (M 2.75, SD 3.17, SE 0.22), Cohen’s d 0.48 (95% CI \[0.18, 0.78\]).</t>
  </si>
  <si>
    <t>Interactions. As hypothesized, the Condition Domain interaction was significant, F(1, 195) 39. 71, p .001, partial 2 .17. Additionally,</t>
  </si>
  <si>
    <t>the Condition Country, F(1, 195) 4. 13, p .04, partial 2 .02, and</t>
  </si>
  <si>
    <t>statistically significant. However, the three-way interaction between Condition Country Domain was not statistically significant, F(1, 195) 2. 22, p .14, partial 2 .01. Condition Domain.</t>
  </si>
  <si>
    <t>Condition Domain. Pairwise comparisons revealed no significant difference in the ratings of moral relevance between the two domains (impurity and harmfulness) in the nonrelational condition (p .34, Cohen’s d 0.11; 95% CI \[0.31, 0.52\]), but</t>
  </si>
  <si>
    <t>The moral relevance scores of the two countries did not differ in the nonrelational condition (TR: M 2.13, SD 2.30, SE 0.33; U.S.: M 2.46, SD 2.14, SE 0.33, p .49, Cohen’s d 0.15; 95% CI \[0.57, 0.27\]); however</t>
  </si>
  <si>
    <t>they differed in the relational condition. The Turkish respondents (M 5.34, SD 2.86, SE 0.34) perceived relational acts more morally relevant than American respondents did (M 4.29, SD 2.21, SE 0.35), p .03, Cohen’s d 0.41 (95% CI \[0.01, 0.83\]).</t>
  </si>
  <si>
    <t>Turkish participants (M 3.60, SD 3.53, SE 0.30) rated impure acts as more morally relevant than American participants (M 1.90, SD 2.50, SE 0.30), p .001, Cohen’s d 0.56 (95% CI \[0.13, 0.98\]), whereas</t>
  </si>
  <si>
    <t>the American participants (M 4.79, SD 3.17, SE 0.26) perceived harmful acts as more morally relevant than did the Turkish participants (M 3.81, SD 3.32, SE 0.30), p .01, Cohen’s d 0.30 (95% CI \[0.12, 0.72\]). However</t>
  </si>
  <si>
    <t>, p .01, Cohen’s d 0.30 (95% CI \[0.12, 0.72\]). However, it should be noted that, in the Turkish sample, moral relevance scores for impure versus harmful acts did not differ significantly (p .42, Cohen’s d 0.06; 95% CI \[0.36, 0.48\]), whereas</t>
  </si>
  <si>
    <t>in the U.S. sample, harmful acts were rated more morally relevant than impure acts, p .001, Cohen’s d 1.01 (95% CI \[0.59, 1.43\]).</t>
  </si>
  <si>
    <t>When the H-reflex data from the three single-task conditions were compared, statistical analyses revealed a balance task difficulty effect (F2,14 = 9.34, p = 0.003) (Fig. 2e), with post hoc</t>
  </si>
  <si>
    <t>The M-wave amplitude was not different between the three balance task difficulty conditions (F2,14 = 1.59, p = 0.238).</t>
  </si>
  <si>
    <t>pecifically, both the RMS amplitudes of the stabilometer platform position and velocity were influenced by a main effect of balance task difficulty level (F1,21 = 265.01, p &lt; 0.001 and</t>
  </si>
  <si>
    <t>and F1,21 = 276.31, p &lt; 0.001, respectively). There</t>
  </si>
  <si>
    <t>els (3.1° ± 0.2°; 14.2 ± 0.6° s−1) (Fig. 3). However, balance task performance was not affected by a main effect of visuo-motor task difficulty (F2,42 = 0.88, p = 0.422 for position</t>
  </si>
  <si>
    <t>for position; F2,42 = 0.27, p = 0.764 for velocity) or</t>
  </si>
  <si>
    <t>or by a visuo-motor × balance task difficulty interaction effect (F2,42 = 0.93, p = 0.401 for position</t>
  </si>
  <si>
    <t>for position; F2,42 = 0.49, p = 0.614 for velocity).</t>
  </si>
  <si>
    <t>Performance on the visuo-motor task, determined as the percentage of targets correctly hit during each trial, was influenced by a main effect of visuo-motor task difficulty (F2,42 = 15.07, p &lt; 0.001) (Fig. 3). Performance</t>
  </si>
  <si>
    <t>els. There was also a trend for visuo-motor task performance to be influenced by a main effect of balance task difficulty (F2,42 = 2.90, p = 0.066), with performance generally worsening with increasing balance task difficulty (from 82.6 ± 2.3 to 80.3 ± 2.6%). However, post</t>
  </si>
  <si>
    <t>Finally, visuo-motor task performance was not influenced by a visuo-motor × balance task difficulty interaction effect (F4,84 = 0.43, p = 0.786). Attention focus</t>
  </si>
  <si>
    <t>Attention focus, rated by participants on a 0–100 scale, was influenced by a main effect of balance task difficulty level (F2,22 = 38.26, p &lt; 0.001), where there was a lesser amount of attention focused on the visuo-motor task with increasing balance task difficulty level.</t>
  </si>
  <si>
    <t>Across all participants, the peak-to-peak M-wave amplitudes were not different between balance task difficulty levels (F2,42 = 1.54, p = 0.226), visuo-motor</t>
  </si>
  <si>
    <t>visuo-motor task difficulty levels (F2,24 = 0.68, p = 0.513), and did not</t>
  </si>
  <si>
    <t>(F2,24 = 0.68, p = 0.513), and did not interact between balance and visuo-motor task difficulty levels (F4,84 = 1.44, p = 0.228). The average</t>
  </si>
  <si>
    <t>Peak-to-peak H-reflex amplitudes, expressed as a percentage of Mmax, were not influenced by main effects of balance task (F2,42 = 0.95, p = 0.394) or</t>
  </si>
  <si>
    <t>visuo-motor task difficulty levels (F2,42 = 0.69, p = 0.507), or</t>
  </si>
  <si>
    <t>difficulty levels (F2,42 = 0.69, p = 0.507), or by an interaction effect between balance and visuo-motor task difficulty levels (F4,84 = 0.68, p = 0.611) (Fig. 2e). The</t>
  </si>
  <si>
    <t>The amount of change in the SOL H-reflex from the easiest (i.e., easy balance/ easy visuo-motor task) to the most difficult (i.e. hard balance/hard visuo-motor task) dual-task conditions was not significantly correlated with changes in the RMS of platform position (i.e., balance task performance) (r = 0.13; Fig. 4c), visuo-motor task accuracy (i.e., visuo-motor task performance) (r = −0.09; Fig. 4d) or</t>
  </si>
  <si>
    <t>or attention focus (r = −0.36). The SOL</t>
  </si>
  <si>
    <t>Although this measure was influenced by a balance task difficulty main effect (F2,42 = 3.60, p = 0.036), post hoc</t>
  </si>
  <si>
    <t>The TA background EMG activity was also affected by a balance task difficulty main effect (F2,42 = 10.50, p &lt; 0.001). Post hoc</t>
  </si>
  <si>
    <t>For example, the average position at the time of the electrical stimulus was influenced by a balance task main effect (F2,42 = 9.32, p &lt; 0.001), with</t>
  </si>
  <si>
    <t>Similarly, the SD of the platform position within each condition was also affected by a main effect of balance task difficulty (F2,42 = 170.95, p &lt; 0.001). Post hoc</t>
  </si>
  <si>
    <t>Although data from six subjects could not be adequately matched between all conditions, data from the remaining 16 subjects resulted in a nonsignificant effect in the average platform position between conditions (for main effect of balance task difficulty: F2,30 = 0.75, p = 0.480). The average</t>
  </si>
  <si>
    <t>The SD of the platform position was influenced by a main effect of balance task difficulty (F2,30 = 37.75, p &lt; 0.001). However, post hoc</t>
  </si>
  <si>
    <t>Based on this matching of platform position data, it was found that SOL H-reflex amplitudes were still not influenced by main effects of balance task (F2,30 = 0.61, p = 0.550) or visuo</t>
  </si>
  <si>
    <t>visuo-motor task difficulty levels (F2,30 = 1.80, p = 0.183), or by</t>
  </si>
  <si>
    <t>an interaction effect between balance and visuo-motor task difficulty levels (F4,60 = 1.44, p = 0.233). Discussion</t>
  </si>
  <si>
    <t>p .001, but no effect of age group or interaction (p .25). Consistent with this</t>
  </si>
  <si>
    <t>we fit a logistic regression model with age as a continuous variable separately for each condition. Age predicted children’s toymaker choice in the common-ground condition, 2(1, 90) 4.28, p .04, but</t>
  </si>
  <si>
    <t>condition, 2(1, 90) 4.28, p .04, but not in the no-commonground condition, 2(1, 90) 0.003, p .96. Exploratory anal-</t>
  </si>
  <si>
    <t>Within the older group, we did not find an effect of age in either condition: common-ground, 2(1, 70) 0.82, p .37; no-common</t>
  </si>
  <si>
    <t>no-common-ground, 2(1, 69) 0.0003, p .99. Discussion The results f</t>
  </si>
  <si>
    <t>As expected, subjects performed better in the DMTS task on trials of lower difficulty (mean ± SE for difficulty levels 1–5: 86.7 ± 3.3 81.4 ± 2.2 75.0 ± 3.0 67.8 ± 2.4 49.7 ± 2.7%; F4,64 = 51.439, p &lt; 0.0001). There was</t>
  </si>
  <si>
    <t>There was no difference in average DMTS performance between PreDW and PDW trial types (F1,16 = 2.104, p = 0.17) and</t>
  </si>
  <si>
    <t>no interaction effect (F4,64 = 0.970, p = 0.43), showing that subjects performed similarly</t>
  </si>
  <si>
    <t>did not differ from PDW slopes (F1,16 = 0.007, p = 0.93) but</t>
  </si>
  <si>
    <t>did not differ from PDW slopes (F1,16 = 0.007, p = 0.93) but slopecorrect differed from slope-incorrect (F1,16 = 64.039, p &lt; 0.0001). The interaction</t>
  </si>
  <si>
    <t>interaction effect revealed that slope-correct and slope-incorrect were different depending on the trial type (F1,16 = 42.493, p &lt; 0.0001). Importantly</t>
  </si>
  <si>
    <t>the post hoc test showed that this difference occurred during PDW trials (t16 =</t>
  </si>
  <si>
    <t>PreDW trials (t16 = 2.204, p &gt; 0.05, Fig. 4A), suggesting that PreDW is a reliable baseline. After verifying that we have</t>
  </si>
  <si>
    <t>PreDW and PDW slopes separately for correct and incorrect decisions. PDW slope-correct was significantly higher than PreDW slope-correct (t16 = 3.6115, p &lt; 0.01), indicating that on average subjects read out certainty of being correct and used this information to wager more adaptively after the decisions.</t>
  </si>
  <si>
    <t>adaptively after the decisions. Similarly, PDW slope-incorrect was significantly more negative than PreDW slope-incorrect (t16 = −3.7327, p &lt; 0.01). These slope-based</t>
  </si>
  <si>
    <t>Meta-d′ was not different from d′ across the entire sample (F1,15 = 1.118, p = 0.31), and there</t>
  </si>
  <si>
    <t>there was no group difference averaging the two measurements (F1,15 = 4.256, p = 0.06). However,</t>
  </si>
  <si>
    <t>the interaction effect was significant (F1,15 = 24.995, p &lt; 0.001). Post</t>
  </si>
  <si>
    <t>had the same d′ (t15 = 0.051, p = 0.96), but the group</t>
  </si>
  <si>
    <t>low metacognitive efficiency (t15 =</t>
  </si>
  <si>
    <t>The first ANOVA revealed that slope-correct was higher for PDW compared to PreDW trials (F1,15 = 10.218, p &lt; 0.01) without</t>
  </si>
  <si>
    <t>without group difference (F1,15 = 0.017, p = 0.90; meta-d′ &gt;d′:t10</t>
  </si>
  <si>
    <t>t10 = 2.791, p &lt; 0.02; meta-d′ &lt;d′:t4 = 2.892, p &lt; 0.05) or interaction</t>
  </si>
  <si>
    <t>nteraction between the factors (F1,15 = 0.433, p = 0.52; Fig. 6A), indicating that group differences in metacognitive efficiency were not driven by the readouts about the certainty of being correct. T</t>
  </si>
  <si>
    <t>second ANOVA revealed that slope-incorrect was also different between PDW and PreDW (F1,15 = 11.070, p &lt; 0.01) without</t>
  </si>
  <si>
    <t>without group difference (F1,15 = 1.825, p = 0.20). However</t>
  </si>
  <si>
    <t>he interaction effect was significant (F1,15 = 4.888, P &lt; 0.05) and the post hoc test</t>
  </si>
  <si>
    <t>incorrect only for the high metacognitive efficiency group (t10 = −4.742; p &lt; 0.01; Fig. 6A). Fig. 6B and</t>
  </si>
  <si>
    <t>non-paired t-test, t15 = 2.748, p &lt; 0.05), was due to the ability of subjects with high metacognitive efficiency to read out certainty of being incorrect</t>
  </si>
  <si>
    <t>As expected, subjects performed better on trials in which they selected higher wagers (F4,60 = 23.837, p &lt; 0.0001). Importantly, the</t>
  </si>
  <si>
    <t>higher wagers (F4,60 = 23.837, p &lt; 0.0001). Importantly, the interaction effect showed that while the groups had the same general perceptual performance (F1,15 = 0.107, p = 0.75), wager-specific percep-</t>
  </si>
  <si>
    <t>ceptual performance (F1,15 = 0.107, p = 0.75), wager-specific perceptual performances were different between them (F4,60 = 7.077, p &lt; 0.0001; Fig. 7A). While</t>
  </si>
  <si>
    <t>The perceptual performance in the wager category 1 for the meta-d′ &gt;d′ group was significantly below the chance level (t10 = −2.569, p &lt; 0.05). To further investigate this result</t>
  </si>
  <si>
    <t>We found a strong negative correlation (R = −0.8, p &lt; 0.0001) between these two factors.</t>
  </si>
  <si>
    <t>A strong positive correlation between the slope-based metacognitive ability and meta-d′ (R = 0.88, p &lt; 0.0001) indicates that the slopebased approach can be considered a valid measure of metacognitive ability, with the advantage of allowing independent quantification of certainty of being correct and certainty of being incorrect readouts</t>
  </si>
  <si>
    <t>The separate correlation between the slope-based readout of being correct and the meta-d′ was not significant (R = 0.42, p = 0.089), while</t>
  </si>
  <si>
    <t>while the correlation between the slope-based readout of being incorrect and the meta-d′ was significant (R = 0.57, p = 0.016). In line</t>
  </si>
  <si>
    <t>a stronger influence of certainty of being incorrect on the meta-d′ (β = 0.260, t14 = 6.495, p &lt; 0.001), as compared</t>
  </si>
  <si>
    <t>as compared to certainty of being correct (β = 0.211, t14 = 5.657, p &lt; 0.001). 3.6. Wager-specific</t>
  </si>
  <si>
    <t>between-subjects factor 2: metacognitive efficiency group) showed that RT1s were associated with the subsequent selection of the wager (F5,75 = 21.140, p &lt; 0.0001). The association</t>
  </si>
  <si>
    <t>tional, with RT1s decreasing when followed by high wagers. The interaction effect showed that subjects from the high metacognitive efficiency group responded faster during perceptual decisions preceding some of the wagers (F5,75 = 4.004, p &lt; 0.01; Fig. 9A). There</t>
  </si>
  <si>
    <t>wager-specific RT2s also differed among wagers (F5,75 = 10.087, p &lt; 0.0001). Across all subjects,</t>
  </si>
  <si>
    <t>RT2s were shorter in the wager categories 1 and 6 than in the middle wagers 3 and 4 (pair 1 and 3: t16 = −3.514, p &lt; 0.05; pair</t>
  </si>
  <si>
    <t>pair 4 and 6: t16 = 2.546, p &lt; 0.05; Bonferroni-corrected), generating an inverted U-shape function of wager-specific RT2 (Fig. 9B)</t>
  </si>
  <si>
    <t>comparison with mixed-effect ANOVA showed no significant differences between the groups (F1,15 = 0.397, p = 0.54) or interaction be-</t>
  </si>
  <si>
    <t>ences between the groups (F1,15 = 0.397, p = 0.54) or interaction between the factors (F5,75 = 1.487, p = 0.20; Fig. 9B). The group-specific</t>
  </si>
  <si>
    <t>revealed a significant RT2 difference only in the high metacognitive efficiency group (metad′ &gt;d′ group: t10 = −4.495, p &lt; 0.01; meta-d′ &lt;d′ group:</t>
  </si>
  <si>
    <t>meta-d′ &lt;d′ group: t5 = −1.000, p &gt; 0.05) while the</t>
  </si>
  <si>
    <t>difference between RT2 for wagers 6 and 4 was significant in both groups (meta-d′ &gt;d′ group: t10 = 7.625, p &lt; 0.001; meta-d</t>
  </si>
  <si>
    <t>meta-d′ &lt;d′ group: t5 = 2.685, p &lt; 0.05). This result supports our interpretation of a link between bi-directional certainty and metacognitive reaction times</t>
  </si>
  <si>
    <t>The first ANOVA showed that readouts of certainty of being correct decreased with difficulty level (F4,64 = 11.715, p &lt; 0.0001). The pair-wise</t>
  </si>
  <si>
    <t>The second ANOVA showed that readouts of certainty of being incorrect also decreased with increased trial difficulty (F4,64 = 4.529, p &lt; 0.01). The post hoc test</t>
  </si>
  <si>
    <t>Finally, we used two linear regressions to understand how subjects’ PDW earnings were determined by their metacognitive abilities. The first linear regression showed that subjects’ earnings can be explained by their general metacognitive ability quantified by slope-based measurements (β = 0.817, t15 = 3.686, p &lt; 0.005). A second multiple</t>
  </si>
  <si>
    <t>although the ability to read out certainty of being correct partially explained subjects’ earnings (β = 0.622, t14 = 2.646, p &lt; 0.05), their</t>
  </si>
  <si>
    <t>readouts of certainty of being incorrect influenced more how much they earned during PDW (β = 1.060, t14 = 4.201, p &lt; 0.001).</t>
  </si>
  <si>
    <t>we found a clear linear relationship between participants’ average level of happiness and their overall social engagement, r(30790) = .22, p &lt; .0001. The happiest participants spend on average about twice as much</t>
  </si>
  <si>
    <t>we found that participants’ average happiness level was related to how much time they spent—in order of importance—with their romantic partners, r(30790) = .19, p &lt; .0001; friends</t>
  </si>
  <si>
    <t>friends, r(30790) = .08, p &lt; .0001; best friends</t>
  </si>
  <si>
    <t>best friends, r(30790) = .06, p &lt; .0001; children</t>
  </si>
  <si>
    <t>children, r(30790) = .06, p &lt; .0001; other</t>
  </si>
  <si>
    <t>other family members, r(30790) = .04, p &lt; .0001; siblings</t>
  </si>
  <si>
    <t>p &lt; .0001; siblings, r(30790) = .03, p &lt; .0001; acquaintances, r(30790) = .02, p &lt; .0001; coworkers or clients,</t>
  </si>
  <si>
    <t>coworkers or clients, r(30790) = .02, p &lt; .0001; and parents,</t>
  </si>
  <si>
    <t>parents, r(30790) = .01, p &lt; .05. The time</t>
  </si>
  <si>
    <t>The time they spent in the company of strangers was unrelated to happiness, r(30790) = .00, p = .35. These findings suggest that social contacts—especially with people who are close—play a role in people’s happiness. But do lag-lead temporal analyses support the idea that happiness leads to social behavior and vice versa?</t>
  </si>
  <si>
    <t>he adjusted OR of subsequently reporting being in the presence of other people was 0.94, 95% confidence interval (CI) = \[0.92, 0.95\], p &lt; .0001. Breaking down</t>
  </si>
  <si>
    <t>For instance, if participants’ current happiness was 1 standard deviation below the sample mean, they were more likely to later interact with their friends, adjusted OR = 1.21, 95% CI = \[1.18, 1. 25\], p &lt; .001; best</t>
  </si>
  <si>
    <t>best friend, adjusted OR = 1.10, 95% CI = \[1.07, 1.12\], p &lt; .001; other</t>
  </si>
  <si>
    <t>amily members, adjusted OR = 1.09, 95% CI = \[1.06, 1.13\], p &lt; .001; kids</t>
  </si>
  <si>
    <t>kids, adjusted OR = 1.08, 95% CI = \[1.05, 1.11\], p &lt; .001; and siblings</t>
  </si>
  <si>
    <t>siblings, adjusted OR = 1.05, 95% CI = \[1.02, 1.08\], p &lt; .01, and all of these social interactions were in turn associated with a significant increase in happiness</t>
  </si>
  <si>
    <t>when participants were feeling happy (i.e., 1 SD above the sample mean), they were more likely to subsequently interact with strangers, adjusted OR = 1.06, 95% CI = \[1.02, 1.10\], p &lt; .01 (Fig. 3a, dark gray bar), which, in turn, was associated with a significant decrease in happiness</t>
  </si>
  <si>
    <t>current happiness was largely unrelated to subsequent interactions with people who had little hedonic impact, namely, acquaintances, adjusted OR = 1.03, 95% CI = \[1.00, 1.05\], p = .045; parents</t>
  </si>
  <si>
    <t>parents, adjusted OR = 1.01, 95% CI = \[0.99, 1.04\], p = .27; and</t>
  </si>
  <si>
    <t>and coworkers or clients, adjusted OR = 0.99, 95% CI = \[0.96, 1.01\], p = .31. One</t>
  </si>
  <si>
    <t>with one’s romantic partner, which despite being positive in terms of happiness impact, were not reliably predicted by participants’ previous happiness levels, adjusted OR = 1.02, 95% CI = \[1.00, 1.04\], p = .14. For a concrete</t>
  </si>
  <si>
    <t>if participants’ current happiness was 1 standard deviation above the sample mean, the adjusted OR of subsequently reporting being in the presence of other people was 0.95, 95% CI = \[0.93, 0.96\], p &lt; .0001. Breaking</t>
  </si>
  <si>
    <t>they were more likely to later interact with their friends, adjusted OR = 1.19, 95% CI = \[1.15, 1. 22\], p &lt; .001; best</t>
  </si>
  <si>
    <t>best friend, adjusted OR = 1.09, 95% CI = \[1.06, 1.11\], p &lt; .001; other</t>
  </si>
  <si>
    <t>family members, adjusted OR = 1.12, 95% CI = \[1.08, 1.12\], p &lt; .001; kids</t>
  </si>
  <si>
    <t>kids, adjusted OR = 1.06, 95% CI = \[1.03, 1.10\], p &lt; .001; and siblings,</t>
  </si>
  <si>
    <t>siblings, adjusted OR = 1.04, 95% CI = \[1.00, 1.08\], p = .03. In contrast</t>
  </si>
  <si>
    <t>when participants’ current happiness was 1 standard deviation above the sample mean, they were more likely to later interact with strangers, adjusted OR = 1.05, 95% CI = \[1.00, 1.10\], p = .03. Finally</t>
  </si>
  <si>
    <t>current happiness was largely unrelated to subsequent interactions with people who had little hedonic impact, namely, acquaintances, adjusted OR = 1.02, 95% CI = \[0.99, 1.05\], p = .22; parents,</t>
  </si>
  <si>
    <t>parents, adjusted OR = 1.02, 95% CI = \[0.99, 1.04\], p = .32; and</t>
  </si>
  <si>
    <t>coworkers or clients, adjusted OR = 0.99, 95% CI = \[0.95, 1.03\], p = .49. Again</t>
  </si>
  <si>
    <t>p = .49. Again, an exception to this pattern were interactions with one’s romantic partner, which despite being positive in terms of happiness impact, were not reliably predicted by participants’ previous happiness levels, adjusted OR = 1.00, 95% CI = \[0.98, 1.03\], p = .80.</t>
  </si>
  <si>
    <t>In line with what one would theoretically expect for the hedonic-flexibility principle, if participants’ current happiness was 1 standard deviation below the sample mean, the likelihood of subsequently reporting being in the presence of other people was smaller if participants were engaged in any of the 10 pleasant activities, adjusted OR = 0.93, 95% CI = \[0.91, 0.95\], p &lt; .001, than</t>
  </si>
  <si>
    <t>if participants were engaged in any of the 5 unpleasant activities, adjusted OR = 0.95, 95% CI = \[0.93, 0.98\], p &lt; .0001. One i</t>
  </si>
  <si>
    <t>VAs were conducted on the two types of emotions.3 As predicted in Hypothesis 1a, high-morality targets were attributed secondary emotions to a greater extent (M = 4.29, SD = 0.76) compared to low-morality targets (M = 3.36, SD = 1.09), F(1, 233)=62.31, p =.001, η2 =.211. No other</t>
  </si>
  <si>
    <t>No other effects were significant, Fs&lt;2.20, ps&gt;.139. The analysis</t>
  </si>
  <si>
    <t>ps&gt;.139. The analysis also yielded a Sociability Competence interaction, F(1, 233)=7.27, p =.007, η2 = .030.Pairwise comparisons (based on Bonferroni tests) showed that</t>
  </si>
  <si>
    <t>High-morality targets were attributed primary emotions to a lower extent (M = 4.30, SD = 0.72) compared to lowmorality targets (M = 4.51, SD = 0.76), F(1, 233)=5.09, p =.025, η2 =.021, whereas</t>
  </si>
  <si>
    <t>high-sociability targets were attributed primary emotions to a greater extent (M = 4.76, SD = 0.57) compared to low-sociability targets (M = 4.05, SD = 0.72), F(1, 233)=70.88, p =.001, η2 =.233 (see Table 1). The effect</t>
  </si>
  <si>
    <t>As expected, high-morality targets were associated to a higher number of human words (M = 4.37, SD = 1.60) compared to low-morality targets (M = 3.50, SD = 1.54), F(1, 234)=18.23, p &lt;.001, η2 =.073. High-sociability</t>
  </si>
  <si>
    <t>p &lt;.001, η2 =.073. High-sociability targets were also associated to a higher number of human words (M = 4.16, SD = 1.48) compared to low-sociability targets (M = 3.72, SD = 1.74), F(1, 234)=5.03, p =.026, η2 =.021. The effect</t>
  </si>
  <si>
    <t>No main effect of competence was found, F(1, 234)=1.31, p =.253. The analysis</t>
  </si>
  <si>
    <t>yielded a two-way interaction between morality and competence, F(1, 234)=4.48, p =.035, η2 = .019 (see Figure 1). Highmorality and low-competence targets were associated to a</t>
  </si>
  <si>
    <t>With respect to nonhuman words, high-morality targets were associated to a lower number of nonhuman words (M = 1.78, SD = 0.88) compared to low-morality targets (M = 2.69, SD = 1.15), F (1, 234)=48.41, p =.001, η2 =.171. No other</t>
  </si>
  <si>
    <t>No other effects were significant, Fs&lt;3.33, ps&gt;.079.</t>
  </si>
  <si>
    <t>No other effects were significant, Fs&lt;3.57, ps&gt;.060. Thus, Hypothesis 2 was supported</t>
  </si>
  <si>
    <t>played in Figure 1, the effect of diversity philosophy condition on race essentialism was significant, F(2, 162) ¼ 4.47, p ¼ .01, Z2p ¼ .05. Post hoc</t>
  </si>
  <si>
    <t>Essentialism scores did not significantly differ either in the MC and control (M ¼ 4.28, SD ¼ 0.77, n ¼ 55) conditions, p ¼ .54, Cohen’s d ¼ .22, 95% CI \[0.19, 0.51\], or in t</t>
  </si>
  <si>
    <t>p ¼ .54, Cohen’s d ¼ .22, 95% CI \[0.19, 0.51\], or in the control and CB conditions, p ¼ .15, Cohen’s d ¼ .33, 95% CI \[0.07, 0.63\]. These</t>
  </si>
  <si>
    <t>Response accuracies for comparison of match stimuli were overall high and not significantly different across tasks (86% for the number task and 85% for the average size task, t(19) = 0.46, p = 0.65), suggesting that subjects attended to the correct stimulus dimension and the difficulty was on average successfully matched across tasks</t>
  </si>
  <si>
    <t>The task-driven modulation of decoding accuracies across the three major ROIs is confirmed by a significant interaction between ROI and task (F(1.69,32.11) = 9.81, p = 0.0008). For the number task,</t>
  </si>
  <si>
    <t>The change in classification accuracy across tasks was highly significant both for the intermediate and higher areas, (p = 0.001, Cohen’s d = 0.88 and</t>
  </si>
  <si>
    <t>p = 0.00001, Cohen’s d = 0.98). On the other hand</t>
  </si>
  <si>
    <t>The significant interaction between ROI and task was confirmed when testing the seven individual regions (F(4.10,77.97) = 7.17, p = 0.00005). Although</t>
  </si>
  <si>
    <t>The significant triple interaction between ROI, task and dimension confirmed that the beta weights estimated for the different dimensions were differently affected by task across ROIs (for the three large regions: F(4.23, 80.40) = 3.32, p = 0.01; for the individual regions: F(6.18,117.38) = 3.06, p = 0.007). To identify which</t>
  </si>
  <si>
    <t>Beta values for number were the only ones showing a significant interaction between ROI and task, when comparing the three large subdivisions across the visual stream (F(1.35,25.62) = 5.97, p = 0.015). During</t>
  </si>
  <si>
    <t>betas for number were higher in intermediate and higher-level areas with respect to early visual areas (although only the former comparison was significant, p = 0.04, Cohen’s d = 0.70). During</t>
  </si>
  <si>
    <t>(significant difference across tasks in early: p = 0.007, Cohen’s d = 0.78; intermediate:</t>
  </si>
  <si>
    <t>intermediate: p = 0.000001, Cohen’s d = 1.96; higher</t>
  </si>
  <si>
    <t>higher areas: p = 0.00001, Cohen’s d = 1.43) and</t>
  </si>
  <si>
    <t>When focusing on the seven individual ROIs, the interaction between ROI and task was significant (F(2.04,38.83) = 5.29, p = 0.009). Although</t>
  </si>
  <si>
    <t>linear regression showed that the increase in beta weights for number across the dorsal visual stream was significant during the number task only (F(1,5) = 14.23, p = 0.01, R2 = 0.74), while</t>
  </si>
  <si>
    <t>during the size task betas for number were much more homogenous across ROIs (F(1,5)=2.37, p = 0.18, R2 = 0.32). Indeed the</t>
  </si>
  <si>
    <t>difference in beta weights between the number and size task was only minor or not significant in V1 and V2, more pronounced in V3, and highly significant from V3AB on (difference across tasks: V1: p = 0.025, Cohen’s d = 0.64; V2</t>
  </si>
  <si>
    <t>V2: p = 0.13, Cohen’s d = 0.37; V3</t>
  </si>
  <si>
    <t>V3: p = 0.001, Cohen’s d = 0.91; V3AB</t>
  </si>
  <si>
    <t>V3AB p = 0.000001, Cohen’s d = 1.44; V7</t>
  </si>
  <si>
    <t>V7: p = 0.000008, Cohen’s d = 1.54; IPS12</t>
  </si>
  <si>
    <t>; IPS12: p = 0.000001, Cohen’s d = 1.56; IPS345:</t>
  </si>
  <si>
    <t>IPS345: p = 0.000112, Cohen’s d = 1.28).</t>
  </si>
  <si>
    <t>Independent of the task, total field area best explained activity patterns in early visual areas, while its contribution was reduced when proceeding through intermediate to higher-level areas (significant main effect of ROIs: F(1.23, 23.29)=35.24, p = 0.000002; significant differences in beta weights between primary and intermediate</t>
  </si>
  <si>
    <t>higher-level ROIs: p = 0.000155, Cohen’s d = 1.24</t>
  </si>
  <si>
    <t>p = 0.000008, Cohen’s d = 1.80, respectively). Beta</t>
  </si>
  <si>
    <t>Beta values were highly significantly modulated also across the different individual ROIs (main effect of ROIs: F(2.11,40.12) = 32.27, p &lt; 10</t>
  </si>
  <si>
    <t>Total surface area also most strongly modulated pattern dissimilarity in early visual areas. The significant main effect of ROI (F(1.45,27.63) = 16.61, p = 0.000078) and the following post-hoc tests</t>
  </si>
  <si>
    <t>Beta weights for total surface area were comparable in V1, V2 and V3 (no significant difference across these ROIs) and significantly higher than those of the others ROIs starting from V3AB/V7 on (significant main effect of ROI: F (3.13,59.42) = 13.27, p = 0.000001, comparisons across regions: all p &lt; 0.01 at least).</t>
  </si>
  <si>
    <t>The main effect of ROI was significant (F(1.41,26.72) = 4.05, p = 0.04), but additional post-hoc tests did not reveal any significant difference across the three large ROIs.</t>
  </si>
  <si>
    <t>Also at the level of individual regions the main effect of ROI was significant (F(2.55,48.55) = 4.15, p = 0.01) and the</t>
  </si>
  <si>
    <t>trongest difference across ROIs emerged when comparing the lowest beta weights estimated in V3AB with those obtained in V1 (p = 0.003, Cohen’s d = 1.13) and</t>
  </si>
  <si>
    <t>V7, IPS12 and IPS345 (p = 0.03, Cohen’s d = 0.20,</t>
  </si>
  <si>
    <t>p = 0.01, Cohen’s d = 0.53,</t>
  </si>
  <si>
    <t>p = 0.002, Cohen’s d = 0.64)</t>
  </si>
  <si>
    <t>The overall behavioral results confirmed that in comparison to congruent trials, incongruent trials led to slower RTs (447 vs 365 ms), F (1,45) = 569.84, p &lt; .001, MSE = 278.4, eta2p = 0.927. Compared</t>
  </si>
  <si>
    <t>incongruent trials also lowered accuracy (89.6% vs 95%), F(1,45) = 85.33, p &lt; .001, MSE = 0.001, eta2p = 0.655. Feedback</t>
  </si>
  <si>
    <t>The task produced the expected post-error slowing effect, such that RTs after error trials were slower than before error trials, F(1,45) = 33.55, p &lt; .001, MSE = 2741.7, eta2p = 0.427. In addition</t>
  </si>
  <si>
    <t>ANOVAs on the corrugator muscle revealed effects of Time, F(10,450) = 6.41, p &lt; .001, MSE = 0.3, eta2p = 0.125, Trial</t>
  </si>
  <si>
    <t>Trial Type, F(1,45) = 3.28, p = .077, MSE = 3.0, eta2p = 0.068, and</t>
  </si>
  <si>
    <t>their interaction, F(10,450) = 10.28, p &lt; .001, MSE = 0.2, eta2p = 0.186. Feedback</t>
  </si>
  <si>
    <t>Feedback did not have an effect (all ps &gt; 0.126). Likewise</t>
  </si>
  <si>
    <t>ANOVAs on the zygomaticus muscle revealed effects of Time, F(10,450) = 3.88, p = .044, MSE = 0.7, eta2p = 0.079, Trial Type</t>
  </si>
  <si>
    <t>Trial Type, F(1,45) = 6.84, p = .012, MSE = 4.7, eta2p = 0.132, and</t>
  </si>
  <si>
    <t>their interaction, F (10,450) = 4.16, p = .035, MSE = 0.6, eta2p = 0.085. Again</t>
  </si>
  <si>
    <t>As illustrated in Fig. 2, error-related decrease in the corrugator muscle predicted increased post-error slowing (r = −0.289, p = .049; Spearman's rho = −0.320, p = .029). A linear</t>
  </si>
  <si>
    <t>slowing predicted by the factors EMG response, Feedback and the interaction between Feedback and EMG response revealed similar effects of EMG response (t = −1.99, p = .052) and</t>
  </si>
  <si>
    <t>adifferent distribution of pre-error versus post-error congruency. Correlations are reported in Table 2, right column. Although both measures of PES correlated substantially (r = 0.835), the</t>
  </si>
  <si>
    <t>only significant Pearson correlation observed using the traditional method was a positive correlation between the late zygomaticus response and PES (r = 0.343, p = .018) which was no longer significant when using a robust regression method (Spearman's rho = 0.267, p = .070).</t>
  </si>
  <si>
    <t>Consistent with the extensive behavioral literature on the FCE, consensus bias scores were significantly greater than zero both overall and for each information condition individually (Mall = 12.174, t(27) = 15.265, p &lt; .001; M</t>
  </si>
  <si>
    <t>MCon = 19.071, t(27) = 18.604, p &lt; .001; M</t>
  </si>
  <si>
    <t>MNoI = 10.320, t(27) = 9.950, p &lt; .001; M</t>
  </si>
  <si>
    <t>MDis = 8.272, t(27) = 10.445, p &lt; .001). Mean</t>
  </si>
  <si>
    <t>Mean consensus bias scores were not related either to mean estimate confidence ratings (r =.17,ns) or to</t>
  </si>
  <si>
    <t>mean attitude importance scores (r = −.185, ns). Overall</t>
  </si>
  <si>
    <t>marginally significant inverse correlation betweenmeanconsensusbiasand mean RT, averaging across all conditions (r = −.344, p = .073). Mean bias</t>
  </si>
  <si>
    <t>Mean bias in the Confirmation condition was inversely correlated with mean RT to Confirmation trials (r = −.399, p = .035), but this relationship did not hold for the Disconfirmation or No Information conditions</t>
  </si>
  <si>
    <t>Repeated-measures ANOVA revealed a substantial effect of Information condition (Confirmation, Disconfirmation, or No Information) on participants’ exhibited bias (F(2, 54) = 80.580, p &lt; .001). Participants</t>
  </si>
  <si>
    <t>Participants showed greater bias in the Confirmation condition than in the No Information condition (MCon = 19.071 vs. MNoI = 10.320, t(27) = 9.095, p &lt; .001). Participants</t>
  </si>
  <si>
    <t>Participants also showed significantly less bias in the Disconfirmation condition than in either the No Information condition (MDis = 8.272 vs. MNoI =10.315, t(27) = −2.279, p = .031) or</t>
  </si>
  <si>
    <t>the Confirmation condition (MDis = 8.272 vs. MCon = 19.071, t(27) = −11.509, p &lt; .001). 712 Journal</t>
  </si>
  <si>
    <t>The presentation of sample information also affected participants’ RTs (F(2, 54) = 5.137, p = .007). Predictably, both the Confirmation and Disconfirmation condi-</t>
  </si>
  <si>
    <t>ably, both the Confirmation and Disconfirmation conditions resulted in longer RTs than the No Information condition (MCon = 4.541 vs. MNoI = 4.323, t(27) = 3.077, p = .005; M</t>
  </si>
  <si>
    <t>MDis = 4.522 vs. MNoI = 4.323, t(27) = 2.367, p = .025). However</t>
  </si>
  <si>
    <t>2.367, p = .025). However, the Confirmation and Disconfirmation conditions did not differ in RT (MCon = 4.541 vs. MDis = 4.522, t(27) = 0.274, p = .786). Participants’</t>
  </si>
  <si>
    <t>confidence in their consensus estimates was also affected by the presentation of sample information on-screen (F(2, 54) = 4.673, p = .011). The Confirmation condition increased participants’ confidence in</t>
  </si>
  <si>
    <t>condition increased participants’ confidence in their consensus estimates relative to the No Information (MCon = 68.761 vs. MNoI = 66.064, t = 2.662, p = .013) and</t>
  </si>
  <si>
    <t>Disconfirmation (MCon = 68.671 vs. MDis = 65.676, t = 2.568, p = .016) conditions</t>
  </si>
  <si>
    <t>but the Disconfirmation condition did not decrease participants’ confidence in their estimates relative to No Information (MDis = 65.676 vs. MNoI =66.064,t(27) = −0.361, p = .720). Perceived</t>
  </si>
  <si>
    <t>MNoI =66.064,t(27) = −0.361, p = .720). Perceived attitude importance was not influenced by information condition (F(2, 54) = 1.068, p = .351). On average</t>
  </si>
  <si>
    <t>On average, participant response in the color judgment control trials was not biased in favor of either color (red or blue) along the continuum presented (mean signed error: MErr = −0.048, t = −0.057, p = .955). Participants</t>
  </si>
  <si>
    <t>Participants were not terribly inaccurate in their color judgments (mean absolute error: MAbsErr = 9.818 of a 100-point scale), but this error was significantly different from zero (t = 24.594, p &lt; .001). RTs</t>
  </si>
  <si>
    <t>were shorter for the Control trials than for the Consensus Estimation trials (MConsensusRT = 4.460 vs. MColorRT = 3.206, paired-sample t = −8.388, p &lt; .001), suggesting that the color judgment task was slightly easier to perform.</t>
  </si>
  <si>
    <t>In this model, activity in VMPFC, bilateral NAcc, RVLPFC, and LVLPFC together significantly predicted about half of the variance in participants’ mean consensus bias (model: F(5, 22) = 4.455, p =.006,R2 = .503). In addition</t>
  </si>
  <si>
    <t>the neural predictors independently accounted for a significant proportion of variance in consensus bias scores: Bias was positively associated with activity in NAcc (t = 2.303, p = .031, partial correlation r = .441) and</t>
  </si>
  <si>
    <t>VMPFC (t =2.164,p =.042, partial correlation r = .419) but</t>
  </si>
  <si>
    <t>negatively associated with activity in RVLPFC (t = −2.192, p = .039, partial correlation r = −.423). Activity</t>
  </si>
  <si>
    <t>Activity in the LVLPFC was not significantly associated with consensus bias (t =0.287,p = .777, partial correlation r = .061). These</t>
  </si>
  <si>
    <t>during that condition. For No Information trials, the overall model (including NAcc, VMPFC, RVLPFC, LVLPFC, and RT as predictors) remained significant (model: F(5, 22) = 5.636, p = .002, R2 = .562). Consensus</t>
  </si>
  <si>
    <t>Consensus bias scores during the No Information condition were positively associated with activity in NAcc (t = 2.734, p = .012, partial correlation r = .504) and VMPFC (t = 2.122, p = .045, partial</t>
  </si>
  <si>
    <t>VMPFC (t = 2.122, p = .045, partial correlation r = .412) during</t>
  </si>
  <si>
    <t>correlation r = .412) during this condition and negatively associated with activity in RVLPFC during this condition (t = −3.204, p = .004, partial correlation r = −.564). Again,</t>
  </si>
  <si>
    <t>the association between activity in the LVLPFC and consensus bias was not significant for the No Information condition (t =0.905,p = .375, partial correlation r =.189).</t>
  </si>
  <si>
    <t>A comparable model also significantly predicted between-participant variation in bias observed during the Disconfirmation condition (model: F(5, 22) = 4.060, p = .012, R2 = .414). Consensus</t>
  </si>
  <si>
    <t>.012, R2 = .414). Consensus bias scores during the Disconfirmation condition were positively associated with activity in the VMPFC (t = 2.684, p = .013, partial correlation r = .488) and marginally associated with activity in</t>
  </si>
  <si>
    <t>marginally associated with activity in the NAcc (t =2.019,p = .055, partial correlation r = .388) but</t>
  </si>
  <si>
    <t>negatively associated with activity in the RVLPFC (t = −2.572, p = .017, partial correlation r = −.473). Parameter e</t>
  </si>
  <si>
    <t>Parameter estimates from LVLPFC did not significantly predict bias in the Disconfirmation condition (t = 0.951, p = .351, partial correlation r = .195). In the</t>
  </si>
  <si>
    <t>Confirmation condition, a multiple regression model including RT and ROI parameter estimates from the ROIs did not significantly predict mean bias (model: F(5, 22) = 1.399, p = .263). Taken</t>
  </si>
  <si>
    <t>variation in consensus bias. Interestingly, this analysis revealed a cluster in the left precuneus that was positively associated with observed bias during the No Information condition (peak MNI: −3, −58, 16; t = 4.155, k = 117). Given</t>
  </si>
  <si>
    <t>phase did not influence PTJs. The ANOVA showed an overall significant effect for statement type, F(2, 194) = 52.82, p &lt; 0.001. The poly-</t>
  </si>
  <si>
    <t>cant effect for statement type, F(2, 194) = 52.82, p &lt; 0.001. The polynomial contrasts show that this effect was due to the predicted linear trend from old to old-contradicting statements, F(1, 97) = 73.27, p &lt; 0.001, d = 1.17, 95%CI \[0.82, 1.52\], and to a</t>
  </si>
  <si>
    <t>a lesser degree to a quadratic trend, F(1, 97) = 18.75, p &lt; 0.001, d = 0.59, 95%CI \[0.30, 0.88\]. Comparing</t>
  </si>
  <si>
    <t>we found a standard truth effect for old and new statements, F(1, 97) = 59.86, p &lt; 0.001, d = 1.06, 95%CI \[0.72, 1.39\], and</t>
  </si>
  <si>
    <t>a non-significant difference between new and old-contradicting statements, F(1, 97) = 3.51, p = 0.064, d = 0.26, 95%CI \[0.02, 0.53\], resulting in the overall linear trend. Experiments 2 and 3 will show that the strength of the</t>
  </si>
  <si>
    <t>it showed a significant effect for statement type, F(2, 194) = 75.65, p &lt; 0.001. This effect</t>
  </si>
  <si>
    <t>p &lt; 0.001. This effect is due to a linear trend from old to oldcontradicting statements, F(1, 97) = 43.97, p &lt; 0.001, d = 0.33, 95% CI \[0.23, 0.44\], and to a</t>
  </si>
  <si>
    <t>stronger quadratic trend, F(1, 97) = 104.29, p &lt; 0.001, d = 0.51, 95%CI \[0.41, 0.62\]. In the corresponding</t>
  </si>
  <si>
    <t>found relatively faster responses for old compared to new statements, F(1, 97) = 133.21, p &lt; 0.001, d = 0.58, 95%CI \[0.48, 0.69\], and the</t>
  </si>
  <si>
    <t>faster responses to old-contradicting compared to new statements, F(1, 97) = 37.16, p &lt; 0.001, d = 0.31, 95%CI \[0.21, 0.41\], resulting in the overall quadratic trend</t>
  </si>
  <si>
    <t>The mean latency to respond ‘‘true” did not differ from the mean latency to respond ‘‘false</t>
  </si>
  <si>
    <t>However, for error rates the interaction between cross-lingual N density and word frequency approached significance (0.13, SE 0.07, t 1.93, p .053; see Figure D1 in Appendix D). Post hoc</t>
  </si>
  <si>
    <t>inhibition of a more frequent neighbor for low-frequent words (3.29 log word frequency, 2 3.84, df 1, p .05) and a trend toward a</t>
  </si>
  <si>
    <t>trend toward a facilitatory effect for high-frequent words ( 3.87 log word frequency, 2 2.71, df 1, p .1). The contrasts of the marginally</t>
  </si>
  <si>
    <t>facilitatory effect for high-frequent words ( 3.87 log word frequency, 2 2.71, df 1, p .1). The contrasts of the marginally significant interactions between English N density and word frequency (0.0044, SE 0.0025, t 1.75, p .86) and English</t>
  </si>
  <si>
    <t>For error rates, the main effect of cross-lingual N density was significant (0.10, SE 0.040, t 2.32, p .05; see Figure D2 in Appendix D). More errors</t>
  </si>
  <si>
    <t>but only for low bigram frequency words ( 3.1055 log average bigram frequency, 2 3.84, df 1, p .05). Contrasts</t>
  </si>
  <si>
    <t>but only for low-frequent words (3.665 log frequency, 2 3.84, df 1, p .05). 1 In an a</t>
  </si>
  <si>
    <t>We found that the main effect of the factor offer type was significant, F(1,25) = 62.37, p &lt; 0.001. Participants sent money to partner in generous offer trials (M = 0.65, SD = 0.05) at a significantly higher rate than the selfish offer trials (M = 0.16, SD = 0.03).</t>
  </si>
  <si>
    <t>Also, the main effect of the factor social influence was significant, F(2,24) = 6.247, p &lt; 0.01. Subjects</t>
  </si>
  <si>
    <t>The interaction effect between offer type and social influence was significant, F(2,24) = 9.811, p &lt; 0.001. The post hoc</t>
  </si>
  <si>
    <t>h. Figure 4B illustrates the significant positive correlation between the neural response in the dmPFC and the rate of conformity behavior when the offer is generous and the influence is selfish (r = 0.49, n = 26, p = 0.01). PPI</t>
  </si>
  <si>
    <t>negative correlation between the neural response in the insula and the rate of conformity when the offer is selfish and the influence is generous (r = −0.4, n = 26, p = 0.04). The</t>
  </si>
  <si>
    <t>other negative correlation was found between the neural response in the RCZ and the rate of conformity when the offer is selfish and the influence is generous (r = −0.54, n = 26, p = 0.004) (Figure 6C). By</t>
  </si>
  <si>
    <t>As expected (Lewandowsky et al., 2010; Redick et al., 2012), participants who scored high in the operation span task also scored high in the sentence span task, r = 0.60, p &lt; 0.001, suggesting that both tasks measure the same underlying construct. The</t>
  </si>
  <si>
    <t>tion in which they had been presented. Repeated-measures MANOVAs confirmed that serial recall was disrupted by changing-state distractor sequences compared to the steady-state distractor sequences in the changing-state block, F(1, 137) = 144.76, p &lt; 0.001, gp2 = 0.51, and by the deviation distractor sequences compared to</t>
  </si>
  <si>
    <t>the deviation distractor sequences compared to the steady-state distractor sequences in the deviation block, F(1, 137) = 13.18, p &lt; 0.001, gp2 = 0.09 (see Fig. 1). Following the usual procedure (e.g. Hughes et</t>
  </si>
  <si>
    <t>g the changing-state effect (M = 0.09, SD = 0.09) and the deviation effect (M = 0.02, SD = 0.07) correlated significantly with each other, r = 0.28, p &lt; 0.01. This could arguably point to the fact that both measures may reflect, in part, the same construct.</t>
  </si>
  <si>
    <t>tion), only one-sided tests are reported. As expected, the correlation between the composite WMC score and the changing-state effect was not significant, r = 0.04, p = 0.67 (see upper panel of Fig. 2), but</t>
  </si>
  <si>
    <t>WMC did not correlate significantly with the deviation effect either, r = 0.01, p = 0.45 (see lower panel of Fig. 2)</t>
  </si>
  <si>
    <t>The analysis showed that the correlation between WMC and the changing-state effect did not differ significantly from the correlation between WMC and the deviation effect, Williams’ t(135) = 0.48, p = 0.32. To further</t>
  </si>
  <si>
    <t>The Bayes factor was BF01 = 12.96 for the correlation of WMC with the changing-state effect</t>
  </si>
  <si>
    <t>nd BF01 = 8.50 for the correlation of WMC with the deviation effect,</t>
  </si>
  <si>
    <t>mentary regression analyses of the data. The first regression analysis showed that a significant part of the variance in the changingstate performance was explained by the corresponding steadystate performance (R2 = 0.65, F\[1, 136\] = 253.74, p &lt; 0.001). However, entering the WMC score in the second step did not lead to</t>
  </si>
  <si>
    <t>entering the WMC score in the second step did not lead to a significant increase in the amount of explained variance (DR2 &lt; 0.01, DF\[1, 135\] = 0.20, p = 0.65). In other words, the WMC score was not significantly related to the</t>
  </si>
  <si>
    <t>A significant part of the variance in the deviation performance was explained by the corresponding steady-state performance (R2 = 0.78, F\[1, 136\] = 485.02, p &lt; 0.001). Entering the WMC</t>
  </si>
  <si>
    <t>Entering the WMC score in the second step did not lead to a significant increase in the amount of explained variance (DR2 &lt; 0.01, DF \[1, 135\] = 1.88, p = 0.17), showing that the WMC score was not significantly related to the variance in the deviation performance that was not already explained by the steady-state performance.</t>
  </si>
  <si>
    <t>Following a backward selection approach for fixed effects, we removed the condition-by-stage interaction effect from the model, which significantly reduced the goodness of fit as indicated by likelihood ratio test (χ2(4) = 35.73, p &lt; 0.001). Following</t>
  </si>
  <si>
    <t>we found a significant main effect of experiment stage (χ2(1) = 30.79, p &lt; 0.001) but not</t>
  </si>
  <si>
    <t>not HW condition (χ2(4) = 6.02, p = 0.2). These</t>
  </si>
  <si>
    <t>Significant differences in primed DSC were observed in the textnegative group (β = 11.08, SE = 4.42, p &lt; 0.05; estimated 5.54% increase), the graphic-positive group (β = 10.83, SE = 4.21, p &lt; 0.05;</t>
  </si>
  <si>
    <t>the graphic-positive group (β = 10.83, SE = 4.21, p &lt; 0.05; estimated 5.42% increase), and the</t>
  </si>
  <si>
    <t>graphic-negative group (β = 23.35, SE = 4.35, p &lt; 0.001; estimated 11.68% increase), relative to the unprimed DSC displayed by the control group</t>
  </si>
  <si>
    <t>The graphic-negative group displayed a significantly greater change in dietary self-control relative to the graphic-positive group (χ2(1) = 6.5, p = 0.033) and also</t>
  </si>
  <si>
    <t>relative to the text-negative group (χ2(1) = 5.82, p = 0.047). The graphic</t>
  </si>
  <si>
    <t>graphic-positive group and text-negative group did not differ significantly (χ2(1) = 0.003, p = 1). Additionally</t>
  </si>
  <si>
    <t>there was a notable difference between the estimate of DSC for the text-positive group in the unprimed condition relative to the unprimed control group (β = 16.94, SE = 9.23, p = 0.07) indicating a slightly (but not-significantly) higher baseline DSC for participants in this group compared to other groups. See Fig. 3 for a plot of</t>
  </si>
  <si>
    <t>AUDIT-C was positively correlated with DMQSocial (r ¼ .63, p &lt; .001), DMQ-Coping (r ¼ .36, p</t>
  </si>
  <si>
    <t>DMQ-Coping (r ¼ .36, p ¼ .0017), DMQ</t>
  </si>
  <si>
    <t>DMQ-Enhancement (r ¼ .67, p &lt; .001), ACQ-Expectancy</t>
  </si>
  <si>
    <t>ACQ-Expectancy (r ¼ .38, p &lt; .0001), and</t>
  </si>
  <si>
    <t>ACQ-Expectancy (r ¼ .38, p &lt; .0001), and ACQPurposefulness (r ¼ .46, p &lt; .001). We briefly note</t>
  </si>
  <si>
    <t>RALD-Loss of Control (r ¼ .19, p ¼ .11) and RALD</t>
  </si>
  <si>
    <t>RALD-Convictions (r ¼ -.19, p ¼ .098) were numerically negative as would be expected but non-significant</t>
  </si>
  <si>
    <t>STIAT-ambivalence on accuracy was positively correlated with ABV at 800 ms (uncorrected: r ¼ .46, p &lt; .001; corrected: r ¼ .41, p &lt; .001) and</t>
  </si>
  <si>
    <t>1000 ms CSI (uncorrected: r ¼ 0.31, p ¼ .0040; corrected: r ¼ 0.30, p ¼ .0048). The hypothesis was thus confirmed for the 800 ms CSI. The effect at 1000 ms CSI was only a trend given the correction for multiple testing.</t>
  </si>
  <si>
    <t>A within-subject effect of CSI was found using repeated measures ANOVA with Greenhouse-Geisser correction (F(4, 292) ¼ 6.0, p ¼ .00018, eta_p^2 ¼ 0.076), due to decreasing ABV over longer CSIs.</t>
  </si>
  <si>
    <t>No correlations with AUDIT-C, drinking motives or craving were found. Concerning positive and negative alcohol associations, a positive correlation was found between ABV at the 200 ms CSI and the Block Type effect on RT on the Alcohol-Negative STIAT (r ¼ 0.24, p ¼ .041). The split</t>
  </si>
  <si>
    <t>There were no effects on RT. On accuracy, Positive-on-Alcohol blocks had lower accuracy than Positive-on-Soft drink blocks (t(73) ¼ -3.41, p ¼ .00011\*). A correlation</t>
  </si>
  <si>
    <t>0.0070). Negative</t>
  </si>
  <si>
    <t>Negative-on-Alcohol blocks were more accurate than Negative-on-Soft drink blocks (t(73) ¼ 3.038, p ¼ 0.0033\*). Negative</t>
  </si>
  <si>
    <t>Negative-on-Alcohol blocks became less accurate relative to Negative-on-Soft drink blocks with increasing DMQ-Social scores (r ¼ -0.30, p ¼ 0.0099) and</t>
  </si>
  <si>
    <t>DMQ-Enhancement scores (r ¼ -0.31, p ¼ 0.0065). Negative-</t>
  </si>
  <si>
    <t>Negative-on-Alcohol blocks became more accurate relative to Negative-onSoft drink blocks with increasing RALD-Loss of Control scores (r ¼ 0.26, p ¼ 0.026). cVPT</t>
  </si>
  <si>
    <t>For risky drinking, a negative correlation between Probe Location effect and AUDIT-C scores was found at the 400 ms CSI only (r ¼ -0.33, p ¼ 0.0046\*), reflecting faster responses to probes at the Alcohol cue versus Non-alcohol cue location with increasing AUDIT-C scores</t>
  </si>
  <si>
    <t>No correlations with DMQ subscales were found. For craving, ACQ-Compulsivity was negatively correlated with bias at the 400 ms (r ¼ -0.32, p ¼ 0.0049\*) and</t>
  </si>
  <si>
    <t>1000 ms (r ¼ -0.25, p ¼ 0.029) CSI.</t>
  </si>
  <si>
    <t>ACQ-Expectancies was negatively correlated with bias at the 400 ms (r ¼ -0.23, p ¼ 0.047), 600</t>
  </si>
  <si>
    <t>600 ms (r ¼ -0.24, p ¼ 0.039), and</t>
  </si>
  <si>
    <t>1000 ms (r ¼ -0.34, p ¼ 0.0031\*) CSI.</t>
  </si>
  <si>
    <t>0.0031\*) CSI. ACS-Emotionality was negatively correlated with bias at the 600 ms CSI (r ¼ -0.24, p ¼ 0.041). RALD</t>
  </si>
  <si>
    <t>RALD-Adverse Consequences was positively correlated with bias at the 600 ms CSI (r ¼ 0.24, p ¼ 0.042), reflecting slower responses to probes at the Alcohol cue versus Non-alcohol cue location with increasing RALD-Adverse Consequences scores</t>
  </si>
  <si>
    <t>RALD-Convictions was negatively correlated with bias at the 400 ms CSI (r ¼ -0.23, p ¼ 0.046). For positive</t>
  </si>
  <si>
    <t>For positive and negative alcohol associations, a positive correlation was found between bias and the Block Type effect on accuracy on the AlcoholNegative STIAT at the 1000 ms (r ¼ 0.27, p ¼ 0.021) CSI. That is</t>
  </si>
  <si>
    <t>ABV, for all 25 combinations of CSI. The two measures were only correlated at the same CSI for the 600 ms CSI (r ¼ .28, p ¼ .016). Further,</t>
  </si>
  <si>
    <t>static bias at the 200 ms CSI was correlated with ABV at the 400 ms CSI (r ¼ .26, p ¼ .027) and static</t>
  </si>
  <si>
    <t>static bias at the 600 ms CSI was negatively correlated with ABV at the 200 ms CSI (r ¼ -.29, p ¼ .013). It did not therefore seem to be the case that static attentional bias and ABV are strongly related.</t>
  </si>
  <si>
    <t>though it was not significantly different from their mothers, paired-t (22) = 1.586, p = 0.127. Correlation</t>
  </si>
  <si>
    <t>Mothers’ percentage of safe decisions was not related to their children’s percentage of safe decisions, r(23) = 0.158, p = 0.417. Moreover</t>
  </si>
  <si>
    <t>mothers’ parental monitoring was not associated with their own safe decisions, r(23) = −0.057, p = 0.795, their</t>
  </si>
  <si>
    <t>children’s safe decisions, r(23) = 0.163, p = 0.458, or</t>
  </si>
  <si>
    <t>r(23) = 0.163, p = 0.458, or their children’s self-reported risktaking behavior, r(23) = −0.088, p = 0.689. Link Between</t>
  </si>
  <si>
    <t>we found that there was a significant positive correlation between parental monitoring and Anticipation-Safe Outcome similarity, r(22) = 0.436, p = 0.043, whereas there</t>
  </si>
  <si>
    <t>whereas there was no such association for AnticipationRisky Outcome similarity, r(20) = 0.062, p = 0.796. In</t>
  </si>
  <si>
    <t>Follow-up analysis comparing the two correlation coefficients for dependent samples indicated that the association between parental monitoring and Anticipation-Safe Outcome similarity is marginally larger than the association between parental monitoring and Anticipation-Risky Outcome similarity, z = 1.34, p = 0.09. Neural Representation</t>
  </si>
  <si>
    <t>As shown in Figure 4, greater neural pattern similarity between mothers’ anticipation and their own safe outcomes was associated with lower risk-taking propensity in adolescents, r(22) = −0.448, p = 0.037, suggesting that the neural pattern similarity between mothers’ anticipation of their adolescent’s decision and their own safe outcomes serves as a meaningful index of parental monitoring and relates to adolescents’ risk-taking propensity.</t>
  </si>
  <si>
    <t>There was no association between Anticipation-Risky Outcome neural pattern similarity and adolescent risk taking, r(20) = −0.012, p = 0.960. Follow-up</t>
  </si>
  <si>
    <t>association between mothers’ Anticipation-Risky Outcome similarity and adolescent risk-taking propensity, z = 1.55, p = 0.06. To further</t>
  </si>
  <si>
    <t>Sequential “Type I” ANOVA (n permutations = 10 000) confirmed that only the effect of affiliation was significant: affiliation: F1,171 = 2.272, p = 0.0188; gender</t>
  </si>
  <si>
    <t>gender: F1,171 = 1.728, p = 0.0724; and</t>
  </si>
  <si>
    <t>age: F1,171 = 1.461, p = 0.1315). A reduced model</t>
  </si>
  <si>
    <t>which included only the affiliation, explained 1.29% of the full variability (ANOVA: F1,173 = 2.257, p = 0.0214). Simila</t>
  </si>
  <si>
    <t>Similar results were found in case of the disgust ranks, although the full model explained more variability (7.57%): affiliation: F1,163 = 10.715, p &lt; 0.0001; gender</t>
  </si>
  <si>
    <t>gender: F1,163 = 1.2665, p = 0.2091; age</t>
  </si>
  <si>
    <t>age: F1,163 = 1.3744, p = 0.1553. Reduced</t>
  </si>
  <si>
    <t>Reduced model explained 6.08% variability; ANOVA affiliation: F1,165 = 10.673, p &lt; 0.0001. Since there was no significant effect of age nor gender, the data from both genders were pooled for all further analysis</t>
  </si>
  <si>
    <t>Both methods agreed on inclusion of the following variables into the reduced model, which were confirmed as significant by the sequential "Type I" test (n permutations = 10 000): head size (F1,39 = 12.095, p &lt; 0.0001), red</t>
  </si>
  <si>
    <t>red color (F1,39 = 4.778, p = 0.0029), pattern</t>
  </si>
  <si>
    <t>pattern (F1,39 = 3.952, p = 0.0070), body</t>
  </si>
  <si>
    <t>body size (F1,39 = 4.096, p = 0.0038), and</t>
  </si>
  <si>
    <t>blue color (F1,39 = 2.615, p = 0.0306). The RDA model has generated five constrained axes, which explained 41.39% of the full variability (Figure 2A).</t>
  </si>
  <si>
    <t>The final model included the body size (F1,38 = 6.871, p = 0.0002), green color</t>
  </si>
  <si>
    <t>green color (F1,38 = 6.353, p = 0.0002), eyes</t>
  </si>
  <si>
    <t>eyes size (F1,38 = 5.316, p = 0.0009), red</t>
  </si>
  <si>
    <t>red color (F1,38 = 4.570, p = 0.0015), pattern</t>
  </si>
  <si>
    <t>pattern (F1,38 = 4.549, p = 0.0019), and</t>
  </si>
  <si>
    <t>(F1,38 = 3.148, p = 0.0150). The six constrained axes explained 44.77% of the full variability</t>
  </si>
  <si>
    <t>Truth tellers (M = 6.46, SD = .73, 95% CI \[6.23, 6.69\]) reported to be more motivated than liars (M = 5.98, SD = 1.02, 95% CI \[5.76, 6.21\]) to convince the interviewer of their truthfulness, F(1, 117) = 8.55, p = .004, d = .54, 95% CI \[.17, .90\]. However, the average mean score shows that also liars reported to be very motivated.</t>
  </si>
  <si>
    <t>Truth tellers reported to have been overwhelmingly truthful (M = 96.78, SD = 13.44) whereas liars were not (M = 15.17, SD = 22.06). This difference was of course significant, F(1, 117) = 591.96, p &lt; .001, d = 4.46, 95% CI \[3.73,5.06\]. That liars were to some extent truthful (15.17%) is not surprising and fits well with the notion that liars, where possible, try to embed their lies in truthful stories (</t>
  </si>
  <si>
    <t>At a multivariate level the analysis revealed significant main effects for Veracity, F(4, 112) = 4.47, p = .002, η2p = .14, and</t>
  </si>
  <si>
    <t>Model Statement, F(4, 112) = 10.91, p &lt; .001, η2p = .28. The</t>
  </si>
  <si>
    <t>Veracity × Model Statement interaction effect was not significant, F(4, 112) = 2.28, p = .065, η2p = .08. At a</t>
  </si>
  <si>
    <t>We predicted significant Veracity × Model Statement interaction effects for all four dependent variables. At a univariate level, for the second recall, a significant interaction effect emerged for new peripheral details, F(1, 115) = 4.82, p = .030, η2p = .04, but</t>
  </si>
  <si>
    <t>the interaction effect for new core details was not significant, F(1, 115) = 2.61, p = .109, η2p = .02. The</t>
  </si>
  <si>
    <t>interaction effects for reverse order recall were not significant for new core details, F(1, 115) = 1.18, p = .280, η2p = .01, or</t>
  </si>
  <si>
    <t>new peripheral details, F(1, 115) = 0.12, p = .735, η2p = .001. Follow-up</t>
  </si>
  <si>
    <t>The interaction effects for the new total details in the second recall, F(1, 115) = 0.54, p = .466, η2p = .005, and</t>
  </si>
  <si>
    <t>reverse order recall, F(1, 115) = 1.16, p = .284, η2p = .010, were not significant, but for the reason described above, since we obtained significant Veracity main effects for these variables we examined the Veracity effects for the two model statement conditions separately (see Table 3).</t>
  </si>
  <si>
    <t>ollowing the ego-depletion manipulation, a significant multivariate effect of ego-depletion condition was found (Wilk’s L = 0.814, F(6, 63) = 2.40, p = 0.037, hp2 = 0.19), indicating that reported cognitive load differed between conditions</t>
  </si>
  <si>
    <t>No statistically significant differences were found (performance, F(1, 68) = 4.75, p = 0.033; menta</t>
  </si>
  <si>
    <t>mental demand, F(1, 68) = 2.51, p = 0.118; physical</t>
  </si>
  <si>
    <t>physical demand, F(1, 68) = 1.39, p = 0.242; all other Fs &lt; 1). Following the</t>
  </si>
  <si>
    <t>There were no significant differences between conditions on any individual items (see Table 1; performance, F(1, 68) = 3.24, p = 0.076, hp2 = 0.05; frustration</t>
  </si>
  <si>
    <t>2 = 0.05; all other Fs &lt; 1). These findings suggest that the impact of the ego-depletion manipulation did not persist beyond the problem-solving task.</t>
  </si>
  <si>
    <t>As expected, we found no evidence that the different emotions altered the rate at which punishment changed as splits became fairer, Finteraction (2.99, 138.85) = 1.31, p = .34, partial h2p = 0.03, 95% CI .000–.088. Rather,</t>
  </si>
  <si>
    <t>, the significant main effect for the dictator’ssplits,F (1.49, 138.85) = 105.88, p &lt; .001, h2 p = 0.53, 95% CI .415–.615, showed that TPP followed a similar linear decline for all emotion groups as</t>
  </si>
  <si>
    <t>decisions became less selfish, Flinear trend (1, 93) = 131.59, p &lt; .001, h2 p = .59, 95% CI .477–.661 (See Figure 1). Our primary prediction c</t>
  </si>
  <si>
    <t>third-party punishment than would others. A contrast on the emotion factor that allowed for heterogeneity of variance and compared punishment expenditures of grateful participants to those of happy and neutral participants confirmed this prediction, Welch’s t(42.02) = 2.32, p = .025, h2 p = 0.08, 95% CI .012–.171. The residual</t>
  </si>
  <si>
    <t>As one might expect, a mixed ANOVA on the full set of splits between the dictator and player (100/0 to 0/100) as a function of emotion produced a significant Emotion Condition X Split interaction, F(4.54, 210.98) = 2.47, p = .039, h2p = .05, 95% CI .013–.054. Figure 1. Points spent to punish the transgressor as a function of emotional state and the dictator’s split is Study 1. Shaded areas represent 95% confiden</t>
  </si>
  <si>
    <t>Results showed a main effect of emotion type (F(1, 110) 17.95, p .001, ŋ2 .14), with primary emotions being more attributed (M 3.66, SD 1.09) than secondary ones (M 2.98, SD 1.06).</t>
  </si>
  <si>
    <t>The main effect of the target was marginally significant (F(1, 110) 3.43, p .07, ŋ2 .04), participants tended to attribute more emotions to young (M 6.89, SD 1.44) than to older targets (M 6.42, SD 1.21), regardless of emotion’s type or valence.</t>
  </si>
  <si>
    <t>The main effect of valence was not significant (F(1, 110) .28, p .60, ŋ2 .002). Two-way</t>
  </si>
  <si>
    <t>interactions emerged between the target type and the valence (F(1, 110) 4.70, p .03, ŋ2 .05), the</t>
  </si>
  <si>
    <t>emotion type and the valence (F(1, 110) 26.43, p .001, ŋ2 .19), and</t>
  </si>
  <si>
    <t>the expected interaction between the target type and the emotion type, (F(1, 110) 5.84, p .02, ŋ2 .05). However</t>
  </si>
  <si>
    <t>emotion type, (F(1, 110) 5.84, p .02, ŋ2 .05). However, this latter interaction was moderated by valence (F(1, 110) 22.89, p .01, ŋ2 .17). Indeed, pairwise Bonferroni-corrected comparisons (.0125) showed that the pattern consistent with the infrahumanization hypothesis emerged only on positive secondary emotions:</t>
  </si>
  <si>
    <t>hypothesis emerged only on positive secondary emotions: Participants attributed more positive secondary emotions to younger than to older targets, t(110) 5.89, p .001, d 1.19, but attributed</t>
  </si>
  <si>
    <t>the same level of positive primary emotion to both targets, t(110) 1.01, p .32, d 0.19. However</t>
  </si>
  <si>
    <t>Participants attributed similar levels of negative primary and secondary emotions to both targets, t(110) 0.21, p .84, d 0.04 and</t>
  </si>
  <si>
    <t>t(110) 1.66, p .10, d 0.25, respectively. These means are displayed in Table 1</t>
  </si>
  <si>
    <t>confirmed the effect of experimental condition, F(1, 80) = 22.00, p &lt; .001, partial ɳ2 = .21, but no</t>
  </si>
  <si>
    <t>Two individual t-tests confirmed that the mean number of times children endorsed the single informant significantly exceeded chance, t = 6.35 (44); p &lt; .001, for the more accurate informant (M = 3.58; SD = 1.13), but not for the less accurate informant (M = 2.05; SD = 1.78).</t>
  </si>
  <si>
    <t>The difference between the two conditions in the percentage of participants displaying these three patterns was significant, v2 (2, N = 45) = 25.86, p &lt; .001. Discussion</t>
  </si>
  <si>
    <t>First, 6-, 8-, and 11-year-olds were less likely than adults to think that the target character would feel worse (p &lt; .001, Cramer’s V = 0.60,</t>
  </si>
  <si>
    <t>p &lt; .001, Cramer’s V = 0.43, and</t>
  </si>
  <si>
    <t>p = .01, Cramer’s V = 0.27, respectively)</t>
  </si>
  <si>
    <t>Second, 6-year-olds were less likely than 11year-olds to conclude that the target character would feel worse (p = .01, Cramer’s V = 0.43). Results from the remaining comparisons were not significant</t>
  </si>
  <si>
    <t>he judgments of others’ blame revealed a similar pattern of responses. There was a significant age difference, v2(3, N = 129) = 37.90, p &lt; .001, Cramer’s V = 0.54, and paired comparisons with sequential Bonferroni correction yielded the following results.</t>
  </si>
  <si>
    <t>First, 6-, 8-, and 11-year-olds were less likely than adults to think that the target character would be blamed more (p &lt; .001, Cramer’s V = 0.56,</t>
  </si>
  <si>
    <t>p &lt; .001, Cramer’s V = 0.46, and</t>
  </si>
  <si>
    <t>and p = .009, Cramer’s V = 0.27, respectively</t>
  </si>
  <si>
    <t>Second, 6-year-olds were less likely than 11-year-olds to conclude that the target character would be blamed more (p = .01, Cramer’s V = 0.43).</t>
  </si>
  <si>
    <t>a chi-square analysis for the judgments of self-rated blame did not reveal any significant age differences in patterns of responding, v2(3, N = 129) = 2.49, p = .48. To detect</t>
  </si>
  <si>
    <t>We found a significant age difference for judgments of regret, v2</t>
  </si>
  <si>
    <t>adults to judge that the target character would feel worse (p &lt; .001, Cramer’s V = 0.35). Results from the remaining comparisons were not significant.</t>
  </si>
  <si>
    <t>he pattern of others’ blame judgments resembled the judgments of regret. There was an overall significant age difference, v2</t>
  </si>
  <si>
    <t>comparisons with sequential Bonferroni correction yielded that 6-year-olds were less likely than adults to conclude that the target character would be blamed more (p &lt; .001, Cramer’s V = 0.37).</t>
  </si>
  <si>
    <t>As was found with responses to the action/inaction story, there were no significant age differences in patterns of response for the judgments of self-rated blame, v2(3, N = 129) = 6.11, p = .11. To detect</t>
  </si>
  <si>
    <t>4 (Age) 4 (Explanation) chi-square test revealed that there was a significant age difference for the explanations of equal self-rated blame, v2</t>
  </si>
  <si>
    <t>comparisons with sequential Bonferroni correction revealed that 6-year-olds differed from adults (p &lt; .001, Cramer’s V = 0.57) and</t>
  </si>
  <si>
    <t>(p &lt; .001, Cramer’s V = 0.57) and 11-year-olds (p = .001, Cramer’s V = 0.57) and that 8-year-olds differed from adults (p &lt; .001, Cramer’s V = 0.42). Discussion</t>
  </si>
  <si>
    <t>and 11-year-olds (p = .001, Cramer’s V = 0.57) and</t>
  </si>
  <si>
    <t>The structural regression model fit the data very well as indicated by a nonsignificant chi-square, χ2(9) = 4.59, p = 0.87 (χ2/df = 0.51), as well as other fit indices, IFI = 1, CFI = 1, RMSEA = 0.000. As expected,</t>
  </si>
  <si>
    <t>he feeling of shame was significantly predicted by the public view that people with overweight and obesity are incompetent (β = 0.29, p &lt; 0.001), but</t>
  </si>
  <si>
    <t>it was not predicted by the view that people with overweight and obesity are immoral (β = 0.04, p = 0.61). In contrast</t>
  </si>
  <si>
    <t>the concern for one’s social image was mostly predicted by the public view that people with overweight and obesity are incompetent (β = 0.23, p &lt; 0.001), and to</t>
  </si>
  <si>
    <t>a lesser degree; the view that people with overweight and obesity are immoral (β = 0.15, p = 0.029). In</t>
  </si>
  <si>
    <t>he feeling of shame was a positive, significant predictor of the desire to change one’s body weight (β = 0.26, p = 0.020), and it</t>
  </si>
  <si>
    <t>was a negative, non-significant predictor of the desire for a healthy lifestyle (β = −0.15, p = 0.22). Also,</t>
  </si>
  <si>
    <t>a negative, non-significant predictor of a desire to change one’s body (β = −0.09, p = 0.43). Discussion</t>
  </si>
  <si>
    <t>There are no differences between the control and time conditions in the occurrence of the sunk cost effect (z = 0.021, p &gt; .05), whereas</t>
  </si>
  <si>
    <t>for the money condition compared with the control condition there are differences in the occurrence of the sunk cost effect (z = 2.138, p &lt; .05). Finally</t>
  </si>
  <si>
    <t>sunk cost effect (z = 2.138, p &lt; .05). Finally, there are differences between the effort and control conditions in the occurrence of the sunk cost effect (z = −2.754, p &lt;.01). Table 2</t>
  </si>
  <si>
    <t>Results show that there is a significant association between gender and committing the sunk cost effect, only for the money condition, X2(1) = 11.299, p = .001. Specifically</t>
  </si>
  <si>
    <t>the sunk cost effect. Importantly, there was a significant association between being in a relationship and committing the sunk cost effect, i.e. for the control (X2(1) = 6.059, p=.014), money</t>
  </si>
  <si>
    <t>money (Fisher’s Exact Test = .020), and</t>
  </si>
  <si>
    <t>, and effort conditions (Fisher’s Exact Test =.046). For the remaining demographic variables, and in all conditions, there were no statistically significant associations (see Table 2).</t>
  </si>
  <si>
    <t>The ratings of personal importance showed the expected differences (Kleinberg &amp; Verschuere, 2015): Both countries of origin (rating = 5.19 ± 1.05) and birthdays (rating = 4.99 ± 1.29) were reported as more personally relevant than favorite animals (rating = 4.72 ± 1.23), t(263) = 5.52, p &lt; .001, dbetween = 0.34;</t>
  </si>
  <si>
    <t>t (263) = 2.88, p = .004, dbetween = 0.18. In addition</t>
  </si>
  <si>
    <t>The ANOVA revealed a significant interaction for both RT medians, F(2, 288) = 5.94, p = .003, ηp</t>
  </si>
  <si>
    <t>accuracy rates, F(2, 288) = 17.48, p &lt; .001, ηp2 = 0.108. We then</t>
  </si>
  <si>
    <t>one-way ANOVA, for guilty conditions only, with the between-subjects variable Version (Side-label, Central-label, Color-based) on probe-irrelevant median RT differences, which revealed a significant main effect, F(2, 143) = 5.35, p = .006, ηp</t>
  </si>
  <si>
    <t>compared to the Side-label version, guilty participants have larger probe-irrelevant RT differences both in the Color-based version, t(93) = 3.25, p = .002, dbetween = 0.67, and</t>
  </si>
  <si>
    <t>in the Central-label version, t(99) = 2.01, p = .047, dbetween = 0.40. However</t>
  </si>
  <si>
    <t>p = .047, dbetween = 0.40. However, there is also no significant difference for this measure between the Central-label version and the Colorbased version, t(94) = 1.42, p = .159, dbetween = 0.29. To examine</t>
  </si>
  <si>
    <t>Neither the main effect of Item Category nor the interaction of Item Category × Version proved significant for median RT probe-irrelevant differences, F(2, 286) = 2.96, p = .054, ηp2 = 0.020; F(4,</t>
  </si>
  <si>
    <t>Item Category × Version proved significant for median RT probe-irrelevant differences, F(2, 286) = 2.96, p = .054, ηp2 = 0.020; F(4, 286) = 1.52, p = .195, ηp2 = 0.021. Paired sample t-tests,</t>
  </si>
  <si>
    <t>he median RT probe-irrelevant differences, overall in the three groups, were larger for the country items than for the animal items – but with a very small effect, t(145) = 2.17, p = .031, dbetween = 0.18. The dates-animals</t>
  </si>
  <si>
    <t>show no significant differences between the (significant) RT probe-irrelevant differences, t(145) = 0.96, p = .338, dbetween = 0.08; t</t>
  </si>
  <si>
    <t>t (145) = 1.40, p = .163, dbetween = 0.12. Similarly</t>
  </si>
  <si>
    <t>ducted a one-way ANOVA, for guilty conditions only, with the betweensubjects factor Version (Side-label, Central-label, Color-based), which revealed a significant main effect, F(2, 143) = 18.36, p &lt; .001, ηp</t>
  </si>
  <si>
    <t>follow-up t-tests show that guilty participants have larger probe- irrelevant accuracy rate differences in the Colorbased version than either in the Side-label version, t(93) = 5.15, p &lt; .001, dbetween = 1.06, or in</t>
  </si>
  <si>
    <t>the Central-label version, t(94) = 4.39, p = .001, dbetween = 0.90. There</t>
  </si>
  <si>
    <t>no significant difference for this measure between the Central-label version and the Side-label version, t (99) = 0.74, p = .463, dbetween = 0.15. Same as for RTs</t>
  </si>
  <si>
    <t>he mixed-design ANOVA on accuracies, with Item Category (countries, dates, or animals) as within-subject factor and Version (Side-label, Central-label, Color-based) as between-subjects factor, showed no significant differences for the main effect of Item Category or for the interaction of Item Category × Version, F(2, 286) = 1.14, p = .321, ηp2 = 0.008;</t>
  </si>
  <si>
    <t>F(4, 286) = 0.76, p = .542, ηp2 = 0.011. Paired sample t-tests also did not give significant differences between any two of the three item categories (p &gt; .09).</t>
  </si>
  <si>
    <t>we did have a positive finding for median RTs: F(2, 145) = 3.31, p = .044, ηp</t>
  </si>
  <si>
    <t>Follow-up t-tests revealed only one significant difference; larger RT median probe-irrelevant differences for the Central-label than for the Color-based version: t(98) = 2.35, p = .021, dbetween = 0.47. This is clearly</t>
  </si>
  <si>
    <t>the three versions (p &gt; .7). There were no significant differences between the probe-irrelevant accuracy rate differences across the versions, F(2, 145) = 1.32, p = .271, ηp2 = 0.018; with p &gt; .1 for the t-</t>
  </si>
  <si>
    <t>sions, F(2, 145) = 1.32, p = .271, ηp2 = 0.018; with p &gt; .1 for the ttests for differences between any two of the three versions. We report Spearman–Brown odd-even split-half reliability f</t>
  </si>
  <si>
    <t>(again following Lukács, Gula, et al., 2017). Assessment of goodness-offit revealed a significant improvement relative to a constant-only model for all versions, Side-label: χ2(2, N = 97) = 11.4, p = .003, Nagelkerke's R2 = 0.192; Central-label: χ2(2, N = 103) = 14.8, p = .001,</t>
  </si>
  <si>
    <t>(2, N = 103) = 14.8, p = .001, Nagelkerke's R2 = 0.255; Color-based</t>
  </si>
  <si>
    <t>(2, N = 91) = 24.0, p &lt; .001, Nagelkerke's R2 = 0.587. In all three</t>
  </si>
  <si>
    <t>the probability of guilt was significantly associated with probe-irrelevant median RT differences as individually contributing predictors (Sidelabel: B = −16.05, Wald χ2 \[1\] = 5.3, p = .021; Central-label:</t>
  </si>
  <si>
    <t>Central-label: B = −11.45, Wald χ2 \[1\] = 5.0, p = .025; Color-based</t>
  </si>
  <si>
    <t>Color-based: B = −17.91, Wald χ2 \[1\] = 9.9, p = .002; median RTs in seconds for coefficient readability).</t>
  </si>
  <si>
    <t>Accuracy rates were also significant contributors in all versions (Side-label: B = 10.05, Wald χ2 \[1\] = 5.0, p = .025; Central-</t>
  </si>
  <si>
    <t>versions (Side-label: B = 10.05, Wald χ2 \[1\] = 5.0, p = .025; Centrallabel: B = 12.77, Wald χ2 \[1\] = 10.0, p = .002; Color-based:</t>
  </si>
  <si>
    <t>Color-based: B = 12.74, Wald χ2 \[1\] = 16.4, p &lt; .001). The AUC</t>
  </si>
  <si>
    <t>model ANOVA revealed a main effect of human dimension, F(1, 180) = 50.49, p &lt; .001, η2 = .219, such that participants attributed significantly higher levels of human uniqueness to themselves (M = 5.20, SD = 0.81) than human nature (M = 4.70, SD = 1.11), and</t>
  </si>
  <si>
    <t>a main effect of condition, F(1, 180) = 4.56, p = .034, η2 = .025, such that participants in the low money-prioritization condition self-attributed more humanness in general (M = 5.08, SD = 0.80) than did those in the high money-prioritization condition (M = 4.82, SD = .88)</t>
  </si>
  <si>
    <t>More important for our hypothesis, a significant condition × human dimension interaction emerged, F(1, 180) = 5.29, p = .023, η2 = .029 (see Fig. 1). In support of Hypothesis 1</t>
  </si>
  <si>
    <t>participants in the high money-prioritization condition self-attributed less human nature (M = 4.49, SD = 1.12) than did participants in the low moneyprioritization condition (M = 4.92, SD = 1.07), t(1 8 0) = −2.63, p = .009, 95% CIMdiff \[−.75, −.11\], d = .47. Self-attributions</t>
  </si>
  <si>
    <t>human uniqueness did not significantly differ between the high and low money-prioritization conditions (Ms = 5.14 and 5.25, SDs = 0.88 and 0.74, respectively), t(1 8 0) = −0.88, p = .378, 95% CIMdiff \[−.34, .13\], d = 0.13. Next, we</t>
  </si>
  <si>
    <t>high and low monetary-pursuit conditions (Ms = 1.99 and 1.90, SDs = 0.71 and 0.60, respectively), t(1 8 0) = 0.92, p = .356, 95% CIMdiff \[−.10, .28\], d = 0.14. Additionally,</t>
  </si>
  <si>
    <t>CIMdiff \[−.10, .28\], d = 0.14. Additionally, the effect of money-prioritization condition on human nature remained significant when controlling for state self-esteem, F(1, 179) = 5.99, p = .015, ɳ2 = .032. Study 1 therefore supported</t>
  </si>
  <si>
    <t>The model explaining intention for the following week was statistically significant, F(9,249) = 15.58, p &lt; .001. Adding</t>
  </si>
  <si>
    <t>Adding habit strength to the model with just motivation caused significant changes in adjusted R2 (F change = 25.59, p &lt; .001), adding to the overall variance explained</t>
  </si>
  <si>
    <t>The model explaining intention in the next month was significant, F(9,249) = 14.79, p &lt; .001. Habit</t>
  </si>
  <si>
    <t>Habit also added significant explanatory value to the model on top of motivation, F change = 19.88, p &lt; .001. Salien</t>
  </si>
  <si>
    <t>The model explaining intention for the next three months was significant, F(9,249) = 11.27, p &lt; .001. Habit</t>
  </si>
  <si>
    <t>Habit added significant variance in addition to motivation (F change = 16.91, p &lt; .001). Again</t>
  </si>
  <si>
    <t>Participants' overall levels of identification with their teams before (M = 6.36, SD = 0.68) and after the experiment (M = 6.39, SD = 0.66) were equally high, t(114) = −0.83, p = .409, d = −0.04. Before</t>
  </si>
  <si>
    <t>In line with the hypothesis of moral outrage, participants reported significantly more anger when the perpetrator pushed the victim intentionally (M = 4.63, SD = 1.42) as opposed to accidentally (M = 2.22, SD = 1.11), F(1,111) = 102.83, p &lt; .001, η2 = 0.48. Anger</t>
  </si>
  <si>
    <t>Anger did not differ significantly as a function of harm done (harm: M = 3.49, SD = 1.89; no harm: M = 3.39; SD = 1.62), F (1,111) = 0.73, p = .396, η2 &lt; 0.01. Moreover,</t>
  </si>
  <si>
    <t>(1,111) = 0.73, p = .396, η2 &lt; 0.01. Moreover, there was no significant interaction effect on anger, F(1,111) ≤ 1.11, p = .294, η2 &lt; 0.01, indicating that the actual harm does not contribute to eliciting anger (see Table 1).</t>
  </si>
  <si>
    <t>Participants were significantly more willing to punish the perpetrator when they pushed intentionally (M = 3.18, SD = 1.70) than when it was an accident (M = 1.13, SD = 0.52), F(1,111) = 78.96, p &lt; .001, η2 = 0.40. In contrast</t>
  </si>
  <si>
    <t>more willingness to punish was reported when the victim was injured (M = 2.35, SD = 1.98) than when they were not injured (M = 1.98, SD = 1.48), F(1,111) = 3.96, p = .049, η2 = 0.02. There was</t>
  </si>
  <si>
    <t>no interaction effect on willingness to punish, F(1,111) = 0.98, p = .325, η2 &lt; 0.01. Anger</t>
  </si>
  <si>
    <t>Anger and punishment were positively correlated (r = 0.67, p &lt; .001). Both</t>
  </si>
  <si>
    <t>The perpetrator's intention decreased perceived fairness (M = 1.77, SD = 0.99) compared to when there was no intention (M = 5.83, SD = 1.25), F(1,111) = 371.88, p &lt; .001, η2 = 0.77. Perceived</t>
  </si>
  <si>
    <t>SD = 1.25), F(1,111) = 371.88, p &lt; .001, η2 = 0.77. Perceived fairness was not influenced by the actual harm the perpetrator caused (harm: M = 3.56, SD = 2.40; no harm: M = 3.37; SD = 2.51), F (1,111) = 0.28, p = .599, η2 &lt; 0.01. There</t>
  </si>
  <si>
    <t>The perpetrator's intention to harm increased the perceived damage to the team (M = 5.93, SD = 1.53) compared to no intention (M = 2.58; SD = 1.67), F(1,111) = 129.39, p &lt; .001, η2 = 0.12. However</t>
  </si>
  <si>
    <t>the actual harm did not significantly influence the perceived damage (harm: M = 4.45, SD = 2.26; no harm: M = 4.09; SD = 2.38), F(1,111) = 2.95, p = .089, η2 &lt; 0.01. There</t>
  </si>
  <si>
    <t>no interaction effect on perceived damage, F(1,111) = 0.65, p = .424, η2 &lt; 0.01. Thus</t>
  </si>
  <si>
    <t>In the two-food and food-risk tasks, subjects’ choices were highly consistent with their prior ratings (two-food: mixed-effects logistic regression of choose left on rating difference (left—right) ( 0.44, p 1016,</t>
  </si>
  <si>
    <t>with nonsignificant intercept 0.02, p .46); food-risk</t>
  </si>
  <si>
    <t>mixed-effects logistic regression of choose left on mean rating difference ( 0.53, p 1016, with nonsignificant intercept 0.01, p .88).</t>
  </si>
  <si>
    <t>In the other two tasks, there is no objective measure of correctness (which is why we need individual utility functions), but we do find a marginal effect of subjects choosing in line with expected value in the money-risk task (mixed-effects logistic regression of choose left on mean value difference, 0.02, p .15, with nonsignificant</t>
  </si>
  <si>
    <t>ntercept 0.06, p .26). The</t>
  </si>
  <si>
    <t>selfish subjects’ choices fall in line with their own values in the social task, while the prosocial subjects’ choices are correlated with both their own payoffs and the other’s payoffs (mixed-effects logistic regression of choose left on own value difference, selfish: 0.21, p 108; prosocial</t>
  </si>
  <si>
    <t>rosocial: 0.03, p 107; and</t>
  </si>
  <si>
    <t>other value difference, selfish: 0.002, p .31; prosocial:</t>
  </si>
  <si>
    <t>prosocial: 0.01, p .001; with nonsignificant</t>
  </si>
  <si>
    <t>ntercept, selfish: 0.07, p .70; prosocial: 0.01, p .90). By definition</t>
  </si>
  <si>
    <t>In our study, all four tasks indeed demonstrated an inverse relationship between absolute utility difference and RT (Figure 4a– d; mixed-effects regression of log(RT)onabsolute utility difference, two-food: 0.04, p 109; food-risk: 0.04,</t>
  </si>
  <si>
    <t>food-risk: 0.04, p 109; money-risk</t>
  </si>
  <si>
    <t>money-risk: 0.17, p .003; social,</t>
  </si>
  <si>
    <t>prosocial: 0.41, p 107; social</t>
  </si>
  <si>
    <t>social, selfish: 0.68, p 106). The model-fitted simulations demonstrate a similar negative correlation between subjective value difference and RT.</t>
  </si>
  <si>
    <t>These results make sense; the more outcomes that need to be evaluated, the longer the decision should take. For selfish subjects, the choice was a simple perceptual size comparison, so they made their choices significantly faster, on average, than the prosocial subjects, t(27.23) 4.58, p 105. Group-Level Eye-Tracking Comparisons</t>
  </si>
  <si>
    <t>This relationship was remarkably consistent across the tasks in our experiment (Figure 5e; mixed-effects logistic regression of choose left on dwell-time difference (in seconds), two-food: 1.68, p 1016; food-risk</t>
  </si>
  <si>
    <t>food-risk: 1.48, p 1016; money-risk</t>
  </si>
  <si>
    <t>money-risk: 2.00, p 109; social,</t>
  </si>
  <si>
    <t>social, prosocial: 1.30, p 1010; social, selfish: 0.97, p 1016; utility difference was also included as an independent variable in each regression).</t>
  </si>
  <si>
    <t>showed a positive relationship between dwell time and the likelihood of choosing that option (mixed-effects logistic regression of choose left as a function of dwell time left for the lowest 20% of outcomes: two-food: 0.90, p 1010;</t>
  </si>
  <si>
    <t>food-risk: 0.52, p .001; money-risk</t>
  </si>
  <si>
    <t>money-risk: 0.56, p .04; social,</t>
  </si>
  <si>
    <t>social, prosocial: 1.14, p .003; social,</t>
  </si>
  <si>
    <t>; social, selfish: 1.44, p .50). The only exception to this significant trend is the selfish subjects in the social task, which aligns with the idea that these subjects are not using an aDDM process</t>
  </si>
  <si>
    <t>self amounts, 0.02, p .002). This</t>
  </si>
  <si>
    <t>.029, 0.44, ter</t>
  </si>
  <si>
    <t>.017, 0.13, ter</t>
  </si>
  <si>
    <t>.019, 0.65, ter 209 ms; social:</t>
  </si>
  <si>
    <t>s the standard devi</t>
  </si>
  <si>
    <t>A narrower scope (i.e., a greater decline in task performance for far vs. close targets) corresponded to a higher percentage of trials in which subjects chose the more attended option (based on total dwell time), Pearson’s r(30) 0.37, p .04. In other words, subjects with narrower scopes were more likely to choose the more-looked-at alternative</t>
  </si>
  <si>
    <t>However, the correlation between attentional scope and attentional influence on choices was still marginally significant if these subjects were excluded, Pearson’s r(26) 0.31, p .10. Breaking</t>
  </si>
  <si>
    <t>find significant correlations for three out of four of the dwell-time-effect correlations with sharpness gradient: two-food: r(30) 0.41, p .02; food-risk</t>
  </si>
  <si>
    <t>food-risk: r(30) 0.04, p .85; money-risk</t>
  </si>
  <si>
    <t>money-risk: r(25) 0.56, p .0006; social</t>
  </si>
  <si>
    <t>social (combined): r(25) 0.40, p .04; social</t>
  </si>
  <si>
    <t>social (prosocial): r(17) 0.43, p .07; social</t>
  </si>
  <si>
    <t>social (selfish): r(6) 0.43, p .30, while we</t>
  </si>
  <si>
    <t>find only one (and a second marginal) significant correlation for the final-dwelleffect correlations with sharpness gradient: two-food: r(30) 0.03, p .88; food</t>
  </si>
  <si>
    <t>food-risk: r(30) 0.32, p .08; money-</t>
  </si>
  <si>
    <t>money-risk: r(25) 0.30, p .13; social</t>
  </si>
  <si>
    <t>social (combined): r(25) 0.49, p .01; social</t>
  </si>
  <si>
    <t>social (prosocial): r(17) 0.04, p .87; social</t>
  </si>
  <si>
    <t>social (selfish): r(6) 0.21, p .62 (see online supplemental material for results from the model with both dwell time and final dwell).</t>
  </si>
  <si>
    <t>This result suggests that the decision to blow the whistle was based on a mix in varying degrees of morality, emotion, and cost‐benefit analysis. Morality was most strongly and positively related to preference for reform (r = 0.499, p &lt; 0.001). The intention</t>
  </si>
  <si>
    <t>The intention to blow the whistle again was positively related to morality and to preference for reform (r = 0.377, p &lt; 0.001; r</t>
  </si>
  <si>
    <t>r = 0.296, p &lt; 0.001, respectively</t>
  </si>
  <si>
    <t>Morality and the perceived negative consequences were positively correlated at the 0.05 level of significance (r = 0.179, p &lt; 0.05). Education</t>
  </si>
  <si>
    <t>Education level had a positive relationship with morality and preference for reform (r = 0.210, p &lt; 0.05; r</t>
  </si>
  <si>
    <t>r = 0.181, p &lt; 0.05, respectively),</t>
  </si>
  <si>
    <t>but a negative relationship with cost‐benefit analysis and emotion (r = −0.178, p &lt; 0.05</t>
  </si>
  <si>
    <t>Morality was the most important motivation for external whistleblowing, while cost‐benefit was the least. The mean of morality (m = 4.42, SD = 0.65) was significantly greater than that of emotion (m = 3.13, SD = 1.01; mean differences = 1.29, t = 12.153, p &lt; 0.001). The</t>
  </si>
  <si>
    <t>mean of emotion was also greater than that of cost‐benefit (mean differences = 0.35. t = 3.193, p &lt; 0.002). Based</t>
  </si>
  <si>
    <t>2 = 0.157, F = 5.694, p &lt; 0.001). The effects</t>
  </si>
  <si>
    <t>The effects of morality and the perceived negative consequences of whistleblowing were significant (b = 0.607, p &lt; 0.001; b</t>
  </si>
  <si>
    <t>b = −0.207, p &lt; 0.05, respectively),</t>
  </si>
  <si>
    <t>The effect of the preference for reform was not significant (b = 0.291, p &gt; 0.05) when the motivations were included in a regression analysis as a predictor of the intention although the preference for reform was significantly related with the intention in the above correlation analysis</t>
  </si>
  <si>
    <t>The interaction effect between analytic condition and serial order was not statistically significant, F(1, 35) = .658, p = .423, partial η2 = .018. There was</t>
  </si>
  <si>
    <t>no statistically significant main effect of analytic condition on belief adjustment for either of the serial orders, F(1,35) = .050, p = .825, partial η2 = .001. There was</t>
  </si>
  <si>
    <t>no statistically significant main effect of serial order on belief adjustment for either the ACH or the non-ACH conditions, F(1,35) = .182, p = .672, partial η2 = .005. Serial position effects</t>
  </si>
  <si>
    <t>The interaction effect between analytic condition and serial order was not statistically significant, F(1, 35) = .414, p = .524, partial η2 = .012. There was</t>
  </si>
  <si>
    <t>no statistically significant main effect of analytic condition on belief adjustment for either of the serial orders, F(1,35) = .029, p = .865, partial η2 = .001. There was</t>
  </si>
  <si>
    <t>no statistically significant main effect of serial order on belief adjustment for either the ACH or the non-ACH conditions, F(1,35) = .181, p = .673, partial η2 = .005. There was</t>
  </si>
  <si>
    <t>The interaction effect between analytic condition and serial order was not statistically significant F(1, 35) = .569, p = .456, partial η2 = .016. There was no</t>
  </si>
  <si>
    <t>η2 = .016. There was no statistically significant main effect of analytic condition on belief adjustment scores, F(1, 35) = 1.23, p = .274, partial η2 = .034. There was no statistically significant main</t>
  </si>
  <si>
    <t>effect of serial order on degree of belief adjustment score, F(1, 35) = .001, p = .073, partial η2 = .000. The two-way ANOVA</t>
  </si>
  <si>
    <t>The young adult’s own environmental behavior as a child did not predict changes in his or her proenvironmental behavior from age 6 to age 18, b = 0.02 (SE = 0.10), p = .658, ΔR2 = .00. Maternal p</t>
  </si>
  <si>
    <t>b = 0.02 (SE = 0.10), p = .658, ΔR2 = .00. Maternal proenvironmental behavior predicted marginal change in adult offspring’s proenvironmental behavior from age 6 to age 18, b = 0.20 (SE = 0.09), p = .084, ΔR2 = .06. Individual</t>
  </si>
  <si>
    <t>Young adults with mothers who had a more green environmental attitude when the adult was 6 years old also behaved comparatively more proenvironmentally at age 18, b = 0.22 (SE = 0.08), p = .013, ΔR2 = .07. Young</t>
  </si>
  <si>
    <t>adults at the age of 18 as well behaved more proenvironmentally (compared with their behavior at the age of 6) if their mother was better educated, b = 0.13 (SE = 0.05), p = .019, ΔR2 = .07. The prospective</t>
  </si>
  <si>
    <t>adults’ own environmental attitudes when they were a child was unrelated to changes in environmental behavior between childhood and adulthood, b = −0.07 (SE = 0.06), p = .219, ΔR2 = .02. Eighteen</t>
  </si>
  <si>
    <t>0.06), p = .219, ΔR2 = .02. Eighteen-year-olds from conservative and moderate political family backgrounds did not differ in their change in environmental behavior in comparison with young adults from politically liberal families, F(2, 84) = 1.55, p = .223, conservative</t>
  </si>
  <si>
    <t>conservative: b = −0.28 (SE = 0.17), p = .107; moderate</t>
  </si>
  <si>
    <t>moderate: b = −0.14 (SE = 0.13), p = .299. Note that</t>
  </si>
  <si>
    <t>all the predictors are considered simultaneously, R2 = .25, F(8, 79) = 3.21, p = .007. Section 2 in the Supplemental Material depicts each of the individual regression results for the five plausible values.</t>
  </si>
  <si>
    <t>Self-beliefs composite. We created a composite of participants’ self-beliefs about the future by averaging each participant’s z scores on the Life Orientation Test—Revised (optimism), and the Adult Trait Hope Scale (Experiment 1: SD 0.81, r(144) 0.31, p .001; Experiment 2</t>
  </si>
  <si>
    <t>Experiment 1. As hypothesized, imagery perspective moderated the role of valence weighting biases in forming expectations about ambiguous future events (b 0.39, 0.15, t(140) 1.95, p .05). Expectations</t>
  </si>
  <si>
    <t>Expectations significantly corresponded with the valence weighting biases when participants used the firstperson perspective (b 0.64, 0.25, t(140) 2.46, p .02), but not</t>
  </si>
  <si>
    <t>t the third-person perspective (b 0.14, 0.05, t(140) 0.45, p .65). Additionally</t>
  </si>
  <si>
    <t>magery perspective had the opposite effect in moderating the role of self-beliefs (b 0.12, 0.21, t(140) 2.69, p .01). Expectations</t>
  </si>
  <si>
    <t>Expectations significantly corresponded with the self-beliefs composite when participants used the third-person perspective (b 0.30, 0.51, t(140) 4.73, p .01), but</t>
  </si>
  <si>
    <t>pective (b 0.30, 0.51, t(140) 4.73, p .01), but not the first-person perspective (b 0.05, 0.09, t(140) 0.80, p .42; Figure 1). Experiment 2</t>
  </si>
  <si>
    <t>Imagery perspective did not significantly moderate the role of valence weighting biases on positive expectations in Experiment 1 (b 0.14, 0.11, t(140) 1.35, p .18) or Experiment 2</t>
  </si>
  <si>
    <t>periment 2(b 13.38, 0.12, t(115) 1.45, p .15). Imagery perspective did significantly moderate the role of self-beliefs on positive expectations in Experiment 1 (b 0.08, 0.25, t(140) 3.11, p .01) but not in Experiment 2 (</t>
  </si>
  <si>
    <t>Imagery perspective significantly moderated role of valence weighting biases on negative expectations in Experiment 1 (b 0.25, 0.16, t(140) 2.04, p .04) but not</t>
  </si>
  <si>
    <t>Imagery perspective did not significantly moderate the role of self-beliefs on negative expectations in Experiment 1 (b 0.05, 0.14, t(140) 1.74, p .08) or Experiment 2</t>
  </si>
  <si>
    <t>For intended tax compliance (Table 4), model 1 revealed that women had higher intended tax compliance, B = 0.29, p &lt; .001. Age</t>
  </si>
  <si>
    <t>Age had no significant effect, B = 0.01, p = .091.</t>
  </si>
  <si>
    <t>In Model 2, the experimental manipulations were added. Results show significant positive effects of the trust dummy and the power dummy, qualified by a significant negative interaction term (B = −0.37, p &lt; .001). The</t>
  </si>
  <si>
    <t>pattern indicates that high versus low trust increased intended tax compliance under conditions of low power, B = 1.43, p &lt; .001. The</t>
  </si>
  <si>
    <t>effect of trust was smaller, but still significant in the high power condition, B = 1.06, p &lt; .001. High v</t>
  </si>
  <si>
    <t>High versus low power increased intended tax compliance under conditions of low trust (B = 1.64, p &lt; .001). Again,</t>
  </si>
  <si>
    <t>he effect of power was smaller but still significant under conditions of high trust (B = 1.28, p &lt; .001). This pattern shows that,</t>
  </si>
  <si>
    <t>Model 3 introduced random effects of trust, power, and their interaction. The most pronounced random effect was observed for power with σ2 = 0.51, χ2(4) = 164.10, p &lt; .001. However,</t>
  </si>
  <si>
    <t>Thus, the range of effects was large, but in all significant cases the conditional effect of power was positive. The pattern of effect deviations was more stable for trust, σ2 = 0.17, χ2(4) = 36.50, p &lt; .001. Without exception,</t>
  </si>
  <si>
    <t>The interaction random effect, σ2 = 0.31, χ2(4) = 36.90, p &lt; .001, revealed that in 13 cases the country-specific results followed the negative overall fixed effect, in 30 cases the effect can be regarded as non-significant, and in one case (i.e., Pakistan) as positively significant</t>
  </si>
  <si>
    <t>With regard to voluntary tax compliance (Table 5), model 1 suggested significant effects of gender, B = 0.25, p &lt; .001, and</t>
  </si>
  <si>
    <t>age, B = 0.01, p = .027, indicating higher voluntary tax compliance for women</t>
  </si>
  <si>
    <t>Model 2 revealed significant results for all fixed effects, with the conditional effect of trust being most prominent, B = 0.85, p &lt; .001. The</t>
  </si>
  <si>
    <t>conditional effect of power was also significant, with a negative effect of B = −0.26, p &lt; .001, while</t>
  </si>
  <si>
    <t>the interaction term was significant, with B = 0.48, p &lt; .001. Together t</t>
  </si>
  <si>
    <t>Numerically, power decreased voluntary compliance by B = −0.26, p &lt; .001, when</t>
  </si>
  <si>
    <t>trust was low, but led to an increase of B = 0.22, p &lt; .001, when</t>
  </si>
  <si>
    <t>Furthermore, the simple effect of trust was smaller when power was low, B = 0.85, p &lt; .001, compared</t>
  </si>
  <si>
    <t>to when power was high, B = 1.33, p &lt; .001. As hypothesized</t>
  </si>
  <si>
    <t>the description of trustworthy authorities generally increased voluntary compliance.</t>
  </si>
  <si>
    <t>In model 3, the random effect of trust, σ2 = 0.14, χ2(4) = 69.30, p &lt; .001, revealed that trust increased voluntary compliance in a total of 42 countries (Fig. 3; also see Table S8)</t>
  </si>
  <si>
    <t>The variance of power, σ2 = 0.12, χ2(4) = 46.10, p &lt; .001, resulted from 13 countries with significant negative conditional effects of power, as expressed by the overall fixed effect, and 31 countries with no significant effect.</t>
  </si>
  <si>
    <t>The interaction random effect, σ2 = 0.06, χ2(4) = 14.30, p = .006, was negligible, expressing a relatively stable positive interaction effect for the majority of countries.</t>
  </si>
  <si>
    <t>As for enforced tax compliance (Table 6), model 1 revealed that men, B = 0.16, p &lt; .001, and</t>
  </si>
  <si>
    <t>older participants, B = −0.01, p = .039, felt slightly less forced to comply</t>
  </si>
  <si>
    <t>Additionally, there was a significant negative interaction, B = −0.22, p &lt; .001. The</t>
  </si>
  <si>
    <t>pattern indicates that high versus low power increased enforced tax compliance under conditions of low trust, B = 2.63, p &lt; . 001. The effect</t>
  </si>
  <si>
    <t>power was similarly strong in the high trust condition where it increased enforced compliance by B = 2.41, p &lt; .001. High</t>
  </si>
  <si>
    <t>no effect on enforced tax compliance under conditions of low power, B = 0.07, p = .128. However</t>
  </si>
  <si>
    <t>there was a significant negative effect of trust under conditions of high power, B = −0.15, p &lt; .001. This</t>
  </si>
  <si>
    <t>The random effects suggested relatively large effect variations, especially for the conditional effect of power, σ2 = 1.02, χ2(4) = 442.80, p &lt; .001 (Fig. 4; also see Table S9). While</t>
  </si>
  <si>
    <t>all country-specific effects were positive and significant, the coefficients ranged from B = 0.54 in Morocco to B = 4.85 in India</t>
  </si>
  <si>
    <t>The random effect of trust was smaller, σ2 = 0.30, χ2(4) = 82.60, p &lt; .001. The underlying</t>
  </si>
  <si>
    <t>The random effect of the interaction term, σ2 = 0.52, χ2(4) = 79.60, p &lt; .001, was largely influenced by results from the Indian sub-sample, where the interaction coefficient was B = −3.15 compared to a fixed effect of B = −0.25. After</t>
  </si>
  <si>
    <t>addressing this variation in terms of a random effect, the overall interaction effect of trust and power was no longer significant, B = −0.25, p = .056.</t>
  </si>
  <si>
    <t>Tax evasion (Table 7) was significantly influenced by participants’ gender, B = −0.45, p &lt; .001, as suggested by model 1. Specifically, men reported higher intentions of evading taxes.</t>
  </si>
  <si>
    <t>a significant negative interaction term, B = −0.15, p &lt; .001. The</t>
  </si>
  <si>
    <t>pattern indicates that high versus low trust decreased tax evasion intentions under conditions of low power, B = −0.56, p &lt; . 001. The</t>
  </si>
  <si>
    <t>effect of trust was even slightly larger in the high power condition, B = −0.71, p &lt; .001. High v</t>
  </si>
  <si>
    <t>High versus low power decreased tax evasion under conditions of low trust, B = −0.27, p &lt; .001. Again</t>
  </si>
  <si>
    <t>the effect of power was even larger under conditions of high trust, B = −0.42, p &lt; .001. This pattern show</t>
  </si>
  <si>
    <t>Concerning the random effects in model 3 (Fig. 5; also see Table S10), the analysis revealed a variation in the conditional trust effect of σ2 = 0.15, χ2(4) = 42.20, p &lt; .001. Trust</t>
  </si>
  <si>
    <t>The random effect of power was less pronounced, σ2 = 0.09, χ2(4) = 22.49, p &lt; .001, and there</t>
  </si>
  <si>
    <t>there was no substantial variation in the interaction effect, σ2 = 0.09, χ2(4) = 5.67, p = .200. The best</t>
  </si>
  <si>
    <t>Across studies at baseline/in neutral contexts, high (vs. medium/ control) power was associated with more positive mood, coeffD1 = 0.12, SE = 0.06, 95% CI \[0.00, 0.23\], p = .046, r = .06, whil</t>
  </si>
  <si>
    <t>while low (vs. medium/control) power was associated with more negative mood, coeffD2 = −0.29, SE = 0.06, 95% CI \[−0.41, −0.18\], p &lt; .001, r = −.14 (see Table 4).</t>
  </si>
  <si>
    <t>In particular, high (vs. medium/control) power bolstered, coeffD1 = 0.24, SE = 0.06, 95% CI \[0.13, 0.35\], p &lt; .001, r = .11, and</t>
  </si>
  <si>
    <t>and low (vs. medium/control) power dampened, individuals' mood, coeffD2 = −0.20, SE = 0.06, 95% CI \[−0.32, −0.09\], p &lt; .001, r = −.10. Looking</t>
  </si>
  <si>
    <t>we found no effect of high (vs. medium/control) power, coeffD1 = 0.08, SE = 0.07, 95% CI \[−0.05, 0.21\], p = .241, r = .03, or of</t>
  </si>
  <si>
    <t>low (vs. medium/control) power, coeffD2 = −0.03, SE = 0.07, 95% CI \[−0.16, 0.10\], p = .619, r = −.01. Thus,</t>
  </si>
  <si>
    <t>As shown in Table 5, across studies participants with high (vs. medium/control) power exhibited more, coeffD1⁎D3 = 0.18, SE = 0.10, 95% CI \[−0.01, 0.37\], p = .064, r = .05, and</t>
  </si>
  <si>
    <t>0.37\], p = .064, r = .05, and participants with low (vs. medium/control) power less, coeffD2⁎D3 = −0.19, SE = 0.10, 95% CI \[−0.38, −0.00\], p = .049, r = −.06, variability in their mood, although the former effect was only marginally significant</t>
  </si>
  <si>
    <t>We regressed discount rates on store luxury while controlling for specific stores, original card price (face value), online seller, and total number of offerings for each store. The overall model was significant (r = .771, p &lt; .001). In general,</t>
  </si>
  <si>
    <t>higher gift card face values (b = .295, t = 70.3, p &lt; .001) and</t>
  </si>
  <si>
    <t>higher number of gift cards offered for a store (b = .008, t = 11.5, p &lt; .001) led to higher discount rates.</t>
  </si>
  <si>
    <t>Even when these effects were controlled for, there was a significant effect of luxury. LGCs had higher discount rates than NGLCs (b = .58, t = 2.97, p &lt; .001) suggesting that sellers were willing to accept lower prices for LGCs</t>
  </si>
  <si>
    <t>In addition, when all the covariates were excluded from the model, the effect of luxury on discount rates remained significant (b = .95, t = 139.14, p &lt; .001). We</t>
  </si>
  <si>
    <t>The luxury rate still had a significant positive effect on the discount rate (b = .05, t = 8.14, p &lt; .001). As</t>
  </si>
  <si>
    <t>using any covariates, solely using the luxury rate as the independent variable, the positive effect of luxury on discount remained significant (b = .04, t = 5.93, p &lt; .001). We</t>
  </si>
  <si>
    <t>When luxury percentage rate was the main independent variable, roundness of face value had a significant negative effect on discount rate (b = −1.17, t = −3.37, p &lt; .01) suggesting that non-round face values led to higher discounts (i.e., round face values were seen as more valuable as might be expected). Yet, even when controlling for this</t>
  </si>
  <si>
    <t>Yet, even when controlling for this effect, the positive effect of luxury percentage rate on discounts remained significant (b = .05, t = 8.36, p &lt; .001). This suggests that our effect remains even when accounting for the fact that people prefer round face values</t>
  </si>
  <si>
    <t>when we repeated this analysis with the binary luxury code as the independent variable, roundness had a significant negative effect on discounts, (b = −1.05, t = −3.05, p &lt; .01) while the effect of luxury</t>
  </si>
  <si>
    <t>the effect of luxury on discounts remained significant (b = 1.68, t = 6.18, p &lt; .001). Overall, the results were consistent with our prediction that LGCs were valued less and thus sold with higher discount rates than NGLCs</t>
  </si>
  <si>
    <t>As expected, peak N170 amplitude (V) was larger in the right hemisphere (CB2; M 3.67, SD 2.24) than left hemisphere (CB1; M 2.71, SD 1.54), t(70) 5.87, p .001. Furthermore</t>
  </si>
  <si>
    <t>We found a significant effect of Race, F(1, 69) 6.48, p .013, such</t>
  </si>
  <si>
    <t>latency was delayed to Black compared with White faces, and a marginal main effect of Condition, F(1, 69) 2.49, p .119, such</t>
  </si>
  <si>
    <t>latency was delayed to faces in the scarcity compared with control condition. Importantly, these effects were qualified by the predicted significant Condition Race interaction, F(1, 69) 4.97, p .029: under scarcity</t>
  </si>
  <si>
    <t>F(1, 69) 4.97, p .029: under scarcity, N170 latency was significantly delayed to Black faces (M 175.26 ms, SD 11.67) relative to White faces (M 172.74 ms, SD 11.60), F(1, 69) 11.24, p .001, whereas</t>
  </si>
  <si>
    <t>the latency did not differ between Black faces (M 169.72 ms, SD 11.57) and White faces (M 169.50 ms, SD 12.50), F(1, 69) 0.05, p .822 (see Figure 2B). This effect</t>
  </si>
  <si>
    <t>N170 latency to Black faces was significantly delayed in the scarcity condition compared with the control condition, F(1, 69) 4.03, p .049, whereas</t>
  </si>
  <si>
    <t>only the processing of Black faces under scarcity was significantly delayed beyond the typical latency of 170 ms, t(34) 2.66, p .012, 95% CI 1.25, 9.27 (all other p’s .171)</t>
  </si>
  <si>
    <t>The N170 delay for Black relative to White faces significantly mediated the effect of scarcity on anti-Black allocation (A B cross product 0.14, SE 0.09, 95% CI \[.04, .35\], p .039; Figure 2C; see online supplemental materials for details of the full mediation model).</t>
  </si>
  <si>
    <t>Not surprising, performance for examples that had been studied by the provided examples group (middle bars in Fig. 2) was greater for the provided examples group than for the generated examples group, t(74) = 1.86, p =.035,d = .43. This</t>
  </si>
  <si>
    <t>The more compelling outcome is that classification performance for novel examples was greater for the provided examples group than for the generated examples group (left set of bars in Fig. 2), t(74) = 2.06, p =.022,d = .47, providing evidence that provided examples were more effective than generated examples for enhancing concept comprehension.</t>
  </si>
  <si>
    <t>Of secondary interest, the provided examples and generated examples groups did not differ on definition cued recall (M =25%,SE=3versusM = 23%, SE = 3), t(69) = .50, d =.12;to foreshadow,</t>
  </si>
  <si>
    <t>practice was more efficient for the provided examples group than for the generated examples group, t(74) = 5.06, p &lt;.001,d =1.16. In addition</t>
  </si>
  <si>
    <t>examples group compared to the generated examples group, t(74) = 6.00, p &lt;.001,d =1.38 (see Table 4). In sum, provided examples were more effective than generated examples, for both long-term learning and for efficiency</t>
  </si>
  <si>
    <t>For examples that had been studied by the provided and combination groups (rightmost bars in Fig. 2), classification performance in the combination group was similar to performance in the provided group and greater than performance in the generated examples group; t(72) = .48, d =.11and</t>
  </si>
  <si>
    <t>and t(76) = 2.13, p = .02, d = .48, respectively.</t>
  </si>
  <si>
    <t>Contrary to predictions, the combination group only showed a small and nonsignificant advantage over the generated examples group and a numerical disadvantage relative to the provided examples group; t(76) = .96, p =.17,d =.22 and</t>
  </si>
  <si>
    <t>and t(72) = 1.24, p =.11,d = .29, respectively. This pattern provides evidence that the combination is not more effective than either technique alone for long-term learning</t>
  </si>
  <si>
    <t>Of secondary interest, the combination group did not outperform either group on definition cued recall, combination versus provided: M =26%,SE=3versusM =25%,SE=3, t(67) = .30, d = .07; combination</t>
  </si>
  <si>
    <t>combination versus generated: M =26%,SE=3versusM =23%,SE=3, t(72) = .84, d =.20. As shown</t>
  </si>
  <si>
    <t>practice was less efficient for the combination group than for the provided examples group and for the generated examples group; t(72) = 9.40, p &lt; .001, d =2.19and</t>
  </si>
  <si>
    <t>andt(76) = 1.99, p =.03,d = .45, respectively</t>
  </si>
  <si>
    <t>GPM was also lower for the combination group than for the provided examples group and for the generated examples group; t(72) = 6.90, p &lt; .001, d =1.60and</t>
  </si>
  <si>
    <t>andt(76) = 1.78, p = .04, d = .40, respectively (see Table 4). In sum</t>
  </si>
  <si>
    <t>On each trial, observers remembered the spatial position of 1 or 2 colored dots and reported the position of a cued item with a mouse click. We found that median response times (Fig 1B) were slower for two-item trials (M = 1,224; standard deviation \[SD\] = 271) than one-item trials (M = 1,050 ms; SD = 245) (t\[27\] = 12.33; p &lt; 0.0001). In line with</t>
  </si>
  <si>
    <t>when participants maintained 2 items (M = 6.83 ̊, SD = 1.05) than when they maintained 1 item (M = 5.45 ̊, SD = 1.01) (t\[27\] = 15.66; p &lt; 0.0001). We</t>
  </si>
  <si>
    <t>no reliable difference in the rate of guessing (Fig 1D) between one-item (M = 0.12%, SD = 0.24) and two-item (M = 0.08%, SD = 0.16) trials (t\[27\] = −1.60; p = 0.121). Finally</t>
  </si>
  <si>
    <t>we reasoned that response error relative to the probed and unprobed items should be equivalent. Instead, we found that response error was considerably smaller relative to the probed item (M = 4.54 ̊, SD = 0.80) than relative to the unprobed item (M = 19.28 ̊, SD = 2.11) (t\[27\] = 42.70; p &lt; 0.0001). This was</t>
  </si>
  <si>
    <t>o the case when we restricted the analysis to trials in which the 2 items were less than 10 degrees (angular position) apart: responses were more tightly clustered around the probed item (M = 4.29 ̊, SD = 1.56) than the unprobed item (M = 9.39 ̊, SD = 2.23) (t\[27\] = 17.78, p &lt; 0.0001). Thus, observers precisely remembered both spatial positions when the 2 items were close to each other</t>
  </si>
  <si>
    <t>CTF selectivity (averaged from 250 to 1,250 ms after stimulus onset) was reliably lower for two-item trials (M = 0.059, SD = 0.033) than for one-item trials (M = 0.087, SD = 0.046) (t\[27\] = 4.86; p &lt; 0.0001). We also</t>
  </si>
  <si>
    <t>found that this difference was reliable during a late window (800–1,250 ms) when alpha-band representations are unlikely to be affected by stimulusdriven activity (t\[27\] = 2.99; p = 0.006). Thus, as memory load increases, there is a decline in spatially selective alpha-band activity that tracks the stored locations.</t>
  </si>
  <si>
    <t>shows CTF selectivity across time for the two-item condition and for simulated switching based on the one-item data. We found that CTF selectivity was higher throughout the delay period (averaged from 250 to 1,250 ms after stimulus onset) for the two-item condition (M = 0.063, SD = 0.036) than expected based on the switching account (M = 0.043, SD = 0.030) (t\[27\] = 5.27; p &lt; 0.0001). We also</t>
  </si>
  <si>
    <t>observed a reliable difference when we restricted our analysis to a window late in the delay period (800–1,250 ms) to minimize the contribution of stimulus-driven activity (t\[27\] = 2.87; p = 0.008). This analysis provides evidence that the spatial positions of both items were simultaneously represented by alpha-band activity</t>
  </si>
  <si>
    <t>3.1.1. Between-group analyses of demographics. Participants in the three conditions did not differ significantly in terms of age, F(2, 148) = 0.01, p = .990, p2 &lt; .01, BMI</t>
  </si>
  <si>
    <t>BMI, F(2, 145) = 1.20, p = .304, p2 = .02, RSES</t>
  </si>
  <si>
    <t>RSES scores, F(2, 148) = 0.19, p = .827, p2 &lt; .01, or</t>
  </si>
  <si>
    <t>SATAQ-4 subscale scores, F(2, 148) = 0.31, p = .734, p2 &lt; .01. 3.1.2. Memory check</t>
  </si>
  <si>
    <t>A 3 (Condition: Free View vs. Cognitively Busy vs. Control) × 2 (Time: Pre-test vs. Post-test) mixed-design ANOVA on participants’ negative mood scores revealed a significant interaction between Time and Condition, F(2, 148) = 8.37, p &lt; .001, p2 = .10, a significant</t>
  </si>
  <si>
    <t>main effect of Condition, F(2, 148) = 4.20, p = .017, p2 = .05, but</t>
  </si>
  <si>
    <t>no significant main effect of Time, F(1, 148) = 0.08, p = .773, p2 &lt; .01. The</t>
  </si>
  <si>
    <t>ANOVA on participants’ appearance evaluations revealed a significant interaction between Time and Condition, F(2, 148) = 5.74, p = .004, p2 = .07, but</t>
  </si>
  <si>
    <t>no significant main effect of Condition, F(2, 148) = 0.85, p = .429, p2 = .01, nor</t>
  </si>
  <si>
    <t>of Time, F(1, 148) = 1.46, p = .230, p2 = .01. Paired-samples t-tests</t>
  </si>
  <si>
    <t>A 3 (Condition) × 2 (Time) mixed-design ANOVA revealed the significant interaction between Time and Condition, F(2, 79) = 5.32, p = .007, p2 = .12, but</t>
  </si>
  <si>
    <t>no significant main effect of Condition, F(2, 79) = 2.04, p = .137, p2 = .05, nor</t>
  </si>
  <si>
    <t>of Time, F(1, 79) = 0.78, p = .380, p2 = .01. Paired-samples t-tests</t>
  </si>
  <si>
    <t>A 3 (Condition) × 2 (Time) mixed-design ANOVA revealed a significant interaction between Time and Condition, F(2, 79) = 3.73, p = .028, p2 = .09, no</t>
  </si>
  <si>
    <t>no significant main effect of Condition, F(2, 79) = 0.04, p = .958, p2 &lt; .01, and a</t>
  </si>
  <si>
    <t>main effect of Time, F(1, 79) = 5.38, p = .023, p2 = .06. Paired-samples t-tests</t>
  </si>
  <si>
    <t>Consistent with Hypothesis 1 and replicating prior findings (Denson et al., 2006; Lickel et al., 2003), there was a significant main effect of group entitativity on collective blame F (1,150) = 25.46, p &lt; .001, η2 = 0.15 (M high entitativity = 4.84, SD = 1.83; M low entitativity = 3.28, SD = 1.97).</t>
  </si>
  <si>
    <t>onsistent with findings in prior research (Denson et al., 2006; Lickel et al., 2003), manipulated group entitativity was found to have a significant total effect on collective blame (b = 0.78, SE = 0.15, p &lt; .001). Hypothesis</t>
  </si>
  <si>
    <t>Hypothesis 2 was supported by the percentile‐based bootstrap 95% CIs for the specific indirect effects through the two mediators, inferences about indirect causality, b = 0.11, SE = 0.06, 95% percentile CI \[0.01, 0.24\] and</t>
  </si>
  <si>
    <t>inferences about common blameworthy traits, b = 0.33, SE = 0.08, 95% percentile CI \[0.16, 0.49\]. Support</t>
  </si>
  <si>
    <t>The coefficients for the interactions between group entitativity and perceivers’ implicit theories were significant in the models of inferences about indirect causality and inferences about common blameworthy traits, with point estimates of b = −.42, SE = .15, 95% percentile CI \[−0.72, −0.13\] and</t>
  </si>
  <si>
    <t>b = 0.46, SE = 0.09, 95% percentile CI \[0.29, 0.64\], respectively</t>
  </si>
  <si>
    <t>And, the coefficients for inferences about indirect causality and inferences about common blameworthy traits were significant in the models of collective blame, with point estimates of b = 0.28, SE = 0.06, 95% percentile CI \[0.17, 0.40\] and</t>
  </si>
  <si>
    <t>and b = 0.82, SE = 0.09, 95% percentile CI \[0.64, 1.00\], respectively</t>
  </si>
  <si>
    <t>The indirect effect through inferences about indirect causality was significant b = 0.12, SE = 0.05, 95% percentile CI \[0.01, 0.26\] for perceivers who were incremental theorists,</t>
  </si>
  <si>
    <t>but not significant b = 0.06, SE = 0.07, 95% percentile CI \[−0.02, 0.19\] for perceivers who were entity theorists.</t>
  </si>
  <si>
    <t>Conversely, the indirect effect through inferences about common blameworthy traits was significant b = 0.63, SE = 0.11, 95% percentile CI \[0.43, 0.85\] for perceivers</t>
  </si>
  <si>
    <t>who were entity theorists, but not significant b = −0.02, SE = 0.14, 95% percentile CI \[−0.25, 0.21\] for perceivers who were incremental theorists.</t>
  </si>
  <si>
    <t>In line with our hypothesis (H1), we found a main effect of spontaneous punishment investments that were lower for longer punishment decision times (OLS regression of log10-transformed decision times on punishment investments: β = −.23, p = .01; here and in the following, all β’s refer to standardized coefficients)</t>
  </si>
  <si>
    <t>Unexpectedly, there was no correlation between punishment investments and SVO (r = .03, p = .74). However, as one would expect</t>
  </si>
  <si>
    <t>participants who are inequality averse tended to punish more frequently than joint gain maximizers (JGM; point-biserial correlation: r = −.24, p = .07). There</t>
  </si>
  <si>
    <t>we did not observe an interaction between decision time to punish and SVO when predicting punishment investments (β = −.09, p = .36). In line</t>
  </si>
  <si>
    <t>and that thus compensated each other. We find that situational aboveaverage cooperation had a strong influence on punishment behavior, in that above-average contributors punish more harshly than participants who cooperated below-average (r = .43, p &lt; .001, see Table 1). Furthermore, the main effect of spontaneous punishment has been shown</t>
  </si>
  <si>
    <t>he main effect of spontaneous punishment has been shown to be robust and also holds on a marginal significance level when controlling for the averaged distance in contributions within a PGG group (β = −.16, p = .057), indicating a spontaneous punishment tendency even when a measure for the core factor(s) driving the likelihood of punishment is partialled out.</t>
  </si>
  <si>
    <t>As for the interaction with decision time, there is a significant interaction for the continuous punishment investments (β = −.20, p = .018) in that above-average contributors began by punishing severely but subsequently decreased their punishment behavior over the course of the decision time</t>
  </si>
  <si>
    <t>invested few resources in punishment. Accordingly, a simple slopesanalysis (Aiken &amp; West, 1991) revealed a significant relation between decision time and punishment investments for above-average contributors (1 SD above the mean: β = −.39, t(113) = −3.10, p = .002) but n</t>
  </si>
  <si>
    <t>no relation for below-average contributors (1 SD below the mean: β = .00, t(113) = .02, p = .99). Testing the</t>
  </si>
  <si>
    <t>punishment, there is a distinct correlation indicating increasing punishment investments with negative affect (r = .38, p &lt; .001).7 However, the moderating influence of negative affect on spontaneous punishment (H3) in this study is unclear: Regressing punishment</t>
  </si>
  <si>
    <t>nd their interaction did not reveal a conditional effect of negative affect on spontaneous punishment (β = .02, p = .86). Thus</t>
  </si>
  <si>
    <t>We analyzed the what condition and the coordination conditions separately. The L2 group responded less accurately than the native group in both the what (Estimate = –0.61; SE = 0.25; z value = –2.46; p &lt; .05) and</t>
  </si>
  <si>
    <t>the coordination conditions (Estimate = –0.34; SE = 0.17; z value = –2.03; p &lt; .05). No effects of condition were found, suggesting that overall performance on the questions was not affected by ambiguity</t>
  </si>
  <si>
    <t>A paired t test on the ambiguous versus unambiguous conditions suggests that the native English speakers performed worse on the questions probing the lingering interpretation in the ambiguous and versus unambiguous but condition, T (39) = 2.74, p &lt; .01, but</t>
  </si>
  <si>
    <t>that the L2 group showed no difference, T (38) = 0.80, p = .43. In addition</t>
  </si>
  <si>
    <t>A 2 (product type: edible vs. non-edible; between) × 2 (articulation direction: inwards vs. outwards; within) factorial mixed-model design revealed a main effect of articulation direction, F(1,543) = 10.483, p = .001, h2p = .019, 90% CI \[.005, .042\], indicating that, overall, inward words (M = 2.37, SE = .81) were preferred over outward words as product names (M = 2.30, SE = .80).</t>
  </si>
  <si>
    <t>There was no main effect of product type, F(1,543) = 1.875, p = .172. Crucially, there</t>
  </si>
  <si>
    <t>an interaction between product type and articulation direction, indicating that the products’ affordance modulated the in–out effect, F(1,543) = 5.068, p = .025, h2 p = .009 90% CI \[.001, .027\]. When</t>
  </si>
  <si>
    <t>rating names for edible products, inward wandering words (M = 2.32, SE = .08) were preferred to outward wandering words (M = 2.19, SE = .07), t(271) = 4.006, p &lt; .001, dz = .24. However,</t>
  </si>
  <si>
    <t>for non-edible products, there was no preference for inward wandering words (M = 2.42, SE = .09) over outward wandering words (M = 2.40, SE = .09), t(272) = .677, p = .499. To further</t>
  </si>
  <si>
    <t>n addition to a significant intercept (β =2.36; t(11.23) = 29.02; p &lt; .001), this</t>
  </si>
  <si>
    <t>t(11.23) = 29.02; p &lt; .001), this analysis yielded a marginally significant preference for non-edible over edible products (β = −0.30; t(2.96) = −2.66; p = .078) and, more</t>
  </si>
  <si>
    <t>a significant preference for inward words over outward words (β = −0.08; t(4552.86) = −3.65; p &lt; .001). Crucially</t>
  </si>
  <si>
    <t>he interaction parameter was also significant (β = −0.09; t(4552.90) = −2.16; p = .031). Therefore,</t>
  </si>
  <si>
    <t>For edible products, the preference for inward over outward product words prevailed (β = −0.12; t(3412.27) = −3.965; p &lt; .001). In contrast,</t>
  </si>
  <si>
    <t>t(3412.27) = −3.965; p &lt; .001). In contrast, for nonedible, inward words were not significantly preferred over outward words (β = −0.03; t(327.52) = −1.05; p = .297). In sum</t>
  </si>
  <si>
    <t>The regression on fusion scores yielded two significant interaction effects, B = −1.08, p &lt; .001, 95% CI \[−1.68, −0.48\] for Interaction 1 (D1xVersion),</t>
  </si>
  <si>
    <t>and B = −1.12, p &lt; .001, 95% CI \[−1.71, −0.52\] for Interaction 2 (D2xVersion)</t>
  </si>
  <si>
    <t>state fusion was lower in the degraded collective ties condition, B = −0.91, p &lt; .001, 95% CI \[−1.35, −0.49\], M = 1.83, SD = 1.04, and</t>
  </si>
  <si>
    <t>in the degraded relational ties condition, B = −0.92, p &lt; .001, 95% CI \[−1.34, −0.49\], M = 1.82, SD = 1.09, relative</t>
  </si>
  <si>
    <t>relative to the control condition, M = 2.74, SD = 1.48</t>
  </si>
  <si>
    <t>The main effect of measure of alignment was marginally significant, B = 0.36, p = .076, 95% CI \[−0.04, 0.76\], indicating</t>
  </si>
  <si>
    <t>that state fusion tended to be lower than trait fusion, M = 2.16, SD = 1.31 vs. M = 2.49, SD = 1.20. 2.2.2. Changes in identification</t>
  </si>
  <si>
    <t>The regression on Mael and Asforth's scale only yielded a significant effect of the interaction between D1 and measure of alignment, B = −0.87, p = .013, 95% CI \[−1.56, −0.19\]. State</t>
  </si>
  <si>
    <t>State identification was lower in the degraded collective ties condition than in the control condition, B = −0.78, p = .001, 95% CI \[−1.26, −0.30\], M = 2.74, SD = 1.29 and M = 3.52, SD = 1.46, respectively.</t>
  </si>
  <si>
    <t>However, trait identification was similar in both the degraded collective ties and control conditions, B = 0.09, p = .713. Unlike fusion</t>
  </si>
  <si>
    <t>significant effect of the interaction between D1 and measure of alignment, B = −1.32, p = .001, 95% CI \[−2.10, −0.54\]. State identifi-</t>
  </si>
  <si>
    <t>ment, B = −1.32, p = .001, 95% CI \[−2.10, −0.54\]. State identification was lower in the degraded collective ties condition than in the control condition, B = −1.15, p &lt; .001, 95% CI \[−1.70, −0.60\], M = 2.25, SD = 1.62 and M = 3.41, SD = 1.90, respectively</t>
  </si>
  <si>
    <t>control conditions, however, B = 0.17, p = .557. Once more, the manipulation of degraded relational ties had no impact on identification.</t>
  </si>
  <si>
    <t>The regression on the Ellemers et al.'s scale yielded a significant effect of the interaction between D1 and Version, B = −0.72, p = .004, 95% CI \[−1.20, −0.23\]. State</t>
  </si>
  <si>
    <t>identification was lower in the degraded collective ties condition than in the control condition, B = −0.59 p = .001, 95% CI \[−0.93, −0.25\], M = 3.08, SD = 0.89 and M = 3.67, SD = 1.15, respectively</t>
  </si>
  <si>
    <t>However, trait identification was similar in both the degraded collective ties and control conditions, B = 0.12, p = .478. The</t>
  </si>
  <si>
    <t>effect of D2 was significant, B = 0.36, p = .037, 95% CI \[0.02, 0.70\], indicating</t>
  </si>
  <si>
    <t>identification was slightly higher in the degraded relational ties condition than in the control condition, M = 3.98, SD = 0.94 and M = 3.81, SD = 1.11, respectively</t>
  </si>
  <si>
    <t>Finally, the effect of measure of alignment was marginally significant, B = −0.29, p = .084, 95% CI \[−0.61, 0.04\], indicating that state identification tended to be lower than state identification, M = 3.48, SD = 1.01 vs. M = 4.10, SD = 1.00.</t>
  </si>
  <si>
    <t>we observed a significant effect of fWHR, B 4.23, SE 1.74, 95% CI \[7.86, 2.43\], t(20.05) 2.45, p .025, d 1.08, such</t>
  </si>
  <si>
    <t>hat high fWHR targets (M 80.64, SD 18.05) were rated as significantly less evolved than low fWHR targets (M 84.89, SD 15.17).</t>
  </si>
  <si>
    <t>GLM repeated measures revealed a significant main effect for time, F(2, 110) = 5.595, p = 0.01, and a</t>
  </si>
  <si>
    <t>statistically significant Condition 9 Time interaction, F(2, 110) = 4.42, p = 0.01, g2p = 0.07, such that those who completed the traditional gratitude intervention experienced higher perceived friendship quality over time (baseline, immediate post-test, follow-up) than those in the control condition</t>
  </si>
  <si>
    <t>Overall, this model significantly accounted for 73.8% of the variance in perceived friendship quality at immediate post-test, F(3, 53) = 49.81, p \\ 0.0001. See Table 3 for all parameter estimates.</t>
  </si>
  <si>
    <t>Results did not support this alternative explanation, as gratitude (T1–T2) remained a significant mediator while controlling for positive affect (T1–T2) in the model (B = 0.81, SE = 0.45, 95% BCa CI 0.02, 1.79). Further</t>
  </si>
  <si>
    <t>the specific indirect effect of the intervention on perceived friendship quality at immediate post-test, through positive affect (T1–T2), while controlling for gratitude (T1T2) in the model, was not statistically significant (B = 0.36, SE = 0.27, 95% BCa CI - 0.08, 1.0). We also</t>
  </si>
  <si>
    <t>Overall, this model significantly accounted for 67.6% of the variance in perceived friendship quality at follow-up, F(3, 53) = 36.80, p \\ 0.0001. See Table 3 for all parameter estimates.</t>
  </si>
  <si>
    <t>a significant mediator while controlling for positive affect (T1–T3) in the model (B = 1.27, SE = 0.41, 95% BCa CI - 0.57, 2.22). Further</t>
  </si>
  <si>
    <t>the specific indirect effect of the intervention on perceived friendship quality, through positive affect (T1–T3), while controlling for gratitude (T1–T3) in the model, was not statistically significant (B = 0.16, SE = 0.19, 95% BCa CI - 0.19, 0.58). Hypothesis 2(a)</t>
  </si>
  <si>
    <t>GLM repeated measures revealed that there was no significant main effect for time F(2, 110) = 2.75, p = 0.07. There was</t>
  </si>
  <si>
    <t>a statistically significant Condition 9 Time interaction, F(2, 110) = 5.19, p = 0.01, g2p = 0.09, such that those who completed the traditional gratitude intervention experienced higher life satisfaction over time (baseline, immediate post-test, follow-up) than those in the control condition.</t>
  </si>
  <si>
    <t>Using ordinary least square path analysis, there was a distinct trend towards a significant effect of the traditional gratitude intervention (vs. control) on life satisfaction at immediate post-test, while controlling for baseline life satisfaction, B = 1.38, t = 1.85, p = 0.07, 95% BCa CI - 0.12, 2.88. Also,</t>
  </si>
  <si>
    <t>the traditional gratitude intervention did not have an indirect effect on life satisfaction, through gratitude change (T1–T2), as indicated by a nonsignificant indirect effect, B = 0.93, SE = 0.58, 95% BCa CI - 0.18, 2.09. Secondly</t>
  </si>
  <si>
    <t>play. Overall, this model significantly accounted for 80.2% of the variance in life satisfaction, F(4, 54) = 52.49, p \\ 0.0001. In order to rule out an alternative model</t>
  </si>
  <si>
    <t>subsequently gratitude was not statistically significant (B = 0.136, SE = 0.154, 95% BCa CI - 0.03, 0.66). Hypothesis 3(a)</t>
  </si>
  <si>
    <t>GLM repeated measures revealed that there was no significant main effect for time, for either perceived friendship quality F(2, 112) = 0.34, p = 0.75 or</t>
  </si>
  <si>
    <t>Also, there was no significant Condition 9 Time interactions for either perceived friendship quality, F(2, 112) = 0.28, p = 0.69, or</t>
  </si>
  <si>
    <t>life satisfaction F(2, 112) = 1.89, p = 0.17 across time (baseline, immediate post-test, follow-up) between the interpersonal gratitude intervention and the control intervention</t>
  </si>
  <si>
    <t>GLM repeated measures revealed that participants in both the interpersonal gratitude intervention and the traditional gratitude intervention experienced improved life satisfaction over time, as indicated by a significant main effect of time, F(2, 110) = 7.22, p = 0.001, g2p = 0.12. Simple</t>
  </si>
  <si>
    <t>significant difference between baseline and immediate post-test (F(1, 55) = 6.77, p = 0.01) and</t>
  </si>
  <si>
    <t>baseline and follow-up (F(1, 55) = 11.57, p = 0.001). However</t>
  </si>
  <si>
    <t>here was no significant Condition 9 Time interactions for life satisfaction F(2, 110) = 0.41, p = 0.66 across time (baseline, immediate post-test, follow-up) between the interpersonal gratitude intervention and the traditional gratitude intervention.</t>
  </si>
  <si>
    <t>traditional gratitude intervention. Similarly, GLM repeated measures revealed that participants in both the interpersonal gratitude intervention and the traditional gratitude intervention experienced change in perceived friendship quality over time, as indicated by a significant main effect of time, F(2, 110) = 3.47, p = 0.047, g2p = 0.06. However</t>
  </si>
  <si>
    <t>here were no significant Condition 9 Time interactions for perceived friendship quality, F(2, 110) = 3.263, p = 0.06, across time (baseline, immediate post-test, follow-up) between the interpersonal gratitude intervention and the traditional gratitude intervention</t>
  </si>
  <si>
    <t>There was a significant overall difference in groups’ experiences with inferiority-based prejudice, 2(3, N 380) 46.25, p .001, .35. African</t>
  </si>
  <si>
    <t>There was a significant overall difference in groups’ experiences with foreignness-based prejudice, 2(3, N 380) 87.74, p .001, .48. Latinos and Asian Americans were equally likely to report experiences of foreignness-based prejudice.</t>
  </si>
  <si>
    <t>The omnibus chi-square test remained significant, 2(3, N 323) 67.56, p .001, .46. U.S.-born Latinos and U.S.-born Asian Americans were equally likely to report experiences of foreignness-based prejudice, and both more likely than U.S.-born African Americans or U.S.-born Whites. U.S.-born African Americans and Whites did not statistically differ. No experie</t>
  </si>
  <si>
    <t>There was a significant overall difference in groups’ lack of experience with racial prejudice, 2(3, N 380) 20.81, p .001, .23. Whites were more likely to report not having experienced racial prejudice than African Americans and Asian Americans.</t>
  </si>
  <si>
    <t>measures ANOVA. As predicted, there was a main effect of set strength; participants gave higher referent-specific judgments to strong sets than weak sets, F(1, 158) ¼ 31.02, p &lt; .001, gp</t>
  </si>
  <si>
    <t>the strong-weak effect was significant for comparative judgments (p &lt; .001, gp2 ¼ .170) and</t>
  </si>
  <si>
    <t>the strong-weak effect at set size 2 was significant for both comparative judgments (p ¼ .03, gp</t>
  </si>
  <si>
    <t>2 ¼ .129). Consistent with Prediction 2, the effect of set s</t>
  </si>
  <si>
    <t>Consistent with Prediction 2, the effect of set strength was not significantly different between comparative and probability judgments, F(1, 158) ¼ 0.09, p ¼ .77, gp2 ¼ .001. It also did not vary as a function of set size, F(2, 157) ¼ 0.33, p ¼</t>
  </si>
  <si>
    <t>did not vary as a function of set size, F(2, 157) ¼ 0.33, p ¼ .72, gp</t>
  </si>
  <si>
    <t>judgments for set size of 10 (M ¼ 46.86, SD ¼ 9.90) were significantly below 50, t(78) ¼ 2.82, p ¼ .006, d ¼ 0.32. To test</t>
  </si>
  <si>
    <t>Similar to the comparative judgments, this value was below 50, t(80) ¼ 2.68, p ¼ .009, d ¼ 0.30. In contrast to the slight underestimation with a set size of 2, the judgments with</t>
  </si>
  <si>
    <t>the slight underestimation with a set size of 2, the judgments with set sizes of 5 (M ¼ 31.10, SD ¼ 12.23) were significantly above 20, t(80) ¼ 8.17, p &lt; .001, d ¼ .91. Similarly</t>
  </si>
  <si>
    <t>judgments with set sizes of 10 (M ¼ 24.33, SD ¼ 13.91) were significantly above 10, t(80) ¼ 9.27, p &lt; .001, d ¼ 1.03. These results</t>
  </si>
  <si>
    <t>As predicted, these difference scores reflecting overestimation were larger for set sizes of 10 (M ¼ 14.33, SD ¼ 13.91) as compared to set sizes of 5(M ¼ 11.10, SD ¼ 12.23), t(80) ¼ 2.17, p ¼ .033, d ¼ .24. Discussion</t>
  </si>
  <si>
    <t>The same mixed model ANOVA on the median response times though revealed a strong main effect of study-test cycle, F(2, 162) 87.73, p .001, p2 .52. If</t>
  </si>
  <si>
    <t>we ran a linear contrast that was highly significant, F(1, 81) 135.26, p .001, p2 .62, 95% CI \[.49, .71\]. There was no interaction between study-test cycle and test structure, which suggests that the same data pattern was obtained for the two test structure conditions (see Tabl</t>
  </si>
  <si>
    <t>This analysis revealed a significant interaction between test structure and probed dimension, F(1, 81) 4.05, p .047, p2 .05 (see Figure 1). As predicted,</t>
  </si>
  <si>
    <t>n the gender-relevant condition, participants had better memory for the gender than for the age of the faces, F(1, 81) 7.54, p .007, p2 .08, 95% CI \[.01, .21\]. However</t>
  </si>
  <si>
    <t>81) 7.54, p .007, p2 .08, 95% CI \[.01, .21\]. However, in the age-relevant condition, participants’ memory performance was equally good for the two dimensions, F(1, 81) 0.01, p .908, p2 .001, 95% CI \[.00, .03\]. We performed</t>
  </si>
  <si>
    <t>the same ANOVA on median response times. This analysis showed a significant interaction between test structure and probed dimension, F(1, 81) 11.61, p .001, p2 .12. In the</t>
  </si>
  <si>
    <t>In the gender-relevant condition, participants were faster to correctly retrieve the gender (M 3,081 ms, SE 174 ms) than the age (M 3,406 ms, SE 154 ms) of the faces, F(1, 81) 8.20, p .005, p2 .09, 95% CI \[.01, .22\]. In contrast</t>
  </si>
  <si>
    <t>in the age-relevant condition, there was a trend toward a faster retrieval of age (M 3,267 ms, SE 156 ms) than gender (M 3,494 ms, SE 176 ms) information, F(1, 81) 3.84, p .053, p2 .04, 95% CI \[.00, .16\]. There were no more statistically significant results.</t>
  </si>
  <si>
    <t>The results demonstrated a significant main effect of webcare content type on perceived fairness (F(1,247) = 28.241, p &lt; 0.05) where subjects reading a specific webcare showed higher perceived fairness than those reading vague webcare (MSpecific =5.37,MVague = 4.19)</t>
  </si>
  <si>
    <t>Also the results showed a significant main effect of webcare source credibility on the dependent variable (F(1,247) = 4.806, p &lt; 0.05) where subjects reading a webcare with high source credibility showed higher perceived fairness than those reading a webcare with low source credibility (MHigh =5.02,MLow = 4.54)</t>
  </si>
  <si>
    <t>The interaction effect between webcare content type and webcare source credibility was also found significant (F(1,246) = 3.98, p &lt; 0.05), where subjects reading a webcare which was specific and with high source credibility showed higher fairness (M= 5.39) as compared to a webcare which was specificandwithlowsource credibility (M = 5.35), vague and with high source credibility (M = 4.660), and vague and with low source credibility (M = 3.731). Hence, H3a, H3b and H3c were also supported</t>
  </si>
  <si>
    <t>Reputation of the reviewer was found to negatively moderate the relationship between webcare source content type and perceived fairness (F(1,246) = 4.89, p &lt; 0.05). Participants reading</t>
  </si>
  <si>
    <t>The distribution of BAC had a slight overrepresentation of BAC = 0.00% (n = 10), yet measures of skewness and kurtosis did not reveal a significant deviation from normality (zskewness = 0.23, p = 0.629; z</t>
  </si>
  <si>
    <t>zkurtosis = -0.75, p = 0.773). BACs</t>
  </si>
  <si>
    <t>Paired sample t-tests confirmed that probes resulted in a higher error percentage than neutral stimuli, t(41) = 3.60, p = 0.001, d = 0.56. After removal</t>
  </si>
  <si>
    <t>paired sample t-tests confirmed that probes resulted in longer RTs compared to neutral stimuli, t(41) = 9.69, p &lt; 0.001, d = 1.50. Note</t>
  </si>
  <si>
    <t>RT CIT-effects were larger in the group with high BAC levels (M = 123 ms, SD = 63 ms) compared to the group with lower BAC levels (M = 75 ms, SD = 62 ms), t(40) = 2.49, p = 0.017, d = 0.77. To discriminate</t>
  </si>
  <si>
    <t>we also computed the partial correlations between BAC and the RT CIT-effect, controlling for the feelings of tension, anxiety, tiredness, and perceived test difficulty. With r(42) = 0.37, r</t>
  </si>
  <si>
    <t>anxiety, tiredness, and perceived test difficulty. With r(42) = 0.37, r(42) = 0.44, r(42) = 0.40, r(42) = 0.41, all correlations remained significant (all p’s &lt; 0.05).</t>
  </si>
  <si>
    <t>r(42) = 0.44, r(</t>
  </si>
  <si>
    <t>r(42) = 0.40, r</t>
  </si>
  <si>
    <t>As usual in RT-CITs, paired sample t-tests confirmed that targets resulted in higher error rates compared to neutral stimuli, t(41) = 9.71, p &lt; 0.001, d = 1.50, and</t>
  </si>
  <si>
    <t>compared to probe stimuli, t(41) = 7.91, p &lt; 0.001, d = 1.22. Targets</t>
  </si>
  <si>
    <t>Targets also resulted in longer RTs compared to neutral stimuli, t(41) = 13.23, p &lt; 0.001, d = 2.04, and compared to</t>
  </si>
  <si>
    <t>probe stimuli, t(41) = 3.56, p &lt; 0.001, d = 0.55. There were</t>
  </si>
  <si>
    <t>no significant correlations between differences of target and neutral stimuli with BAC levels, neither for error rates, r(42) = 0.30, p = 0.057, nor</t>
  </si>
  <si>
    <t>nor for RTs, r(42) = 0.09, p = 0.572. Discussion</t>
  </si>
  <si>
    <t>Sadism was associated with greater aggressive behavior, r(145) = .25, p = .003, and this association remained after controlling for trait selfcontrol, primary and secondary psychopathy, and all five facets of impulsivity (Table 1)</t>
  </si>
  <si>
    <t>(Supplemental Table 2). After controlling for baseline negative affect, postaggression negative affect was no longer associated with sadism, r(125) = .14, p = .126. After</t>
  </si>
  <si>
    <t>associated with sadism, r(125) = .14, p = .126. After controlling for baseline positive affect, postaggression positive affect was no longer associated with sadism, r(125) = −.13, p = .136. Study 2 Study 2 sought</t>
  </si>
  <si>
    <t>There was no significant difference in RTs for the high and low AQ groups for either task (eyegaze t(13) = −0.460,P = 0.65, heads t(13) = −0.826, P = 0.42, chair</t>
  </si>
  <si>
    <t>heads t(13) = −0.826, P = 0.42, chair</t>
  </si>
  <si>
    <t>chair t(13) = −0.194, P = 0.85), indicating equal attentional engagement for participants both low and high on the AQ for both social and nonsocial stimulus types.</t>
  </si>
  <si>
    <t>(baseline, top-up) and stimulus type (eye-gaze, head, chair). This demonstrated a significant main effect of phase (F(1,27) = 81.25, P &lt; 0.001) indicating that exposure to adaptor images induced adaptation, a significant main effect of stimulus type (F(2,54) = 41.28,</t>
  </si>
  <si>
    <t>a significant main effect of stimulus type (F(2,54) = 41.28, P &lt; 0.001) and</t>
  </si>
  <si>
    <t>a significant stimulus type\*phase interaction (F (2,54) = 14.25, P &lt; 0.001) indicating that the effects of adaptation differed across the three tasks</t>
  </si>
  <si>
    <t>Echoing the main effect of adaptation in the above ANOVA paired t-tests demonstrate a significant increase in ‘direct’ responses to averted probes following adaptation for all three tasks (eye-gaze t(27) = 8.53, P &lt; 0.001); head</t>
  </si>
  <si>
    <t>head t(27) = 4.47, P &lt; 0.001; chair</t>
  </si>
  <si>
    <t>chair t(27) = 5.12, P &lt; 0.001; Fig. 2A–C).</t>
  </si>
  <si>
    <t>Adaptation magnitude correlated negatively with AQ score for the eye-gaze task (r(28) = −.44, P = 0.01; 1-tailed) and</t>
  </si>
  <si>
    <t>eye-gaze task (r(28) = −.44, P = 0.01; 1-tailed) and the chair orientation task (r(28) = −.33, P = 0.04; 1-tailed) indicating less adaptation in those with higher autistic traits (Fig. 2A &amp; C). Although the</t>
  </si>
  <si>
    <t>Although the correlation coefficient for the eye-gaze task and AQ score was numerically greater (in absolute terms) than the correlation coefficient for the chair task and AQ score, Steiger’s Z test revealed that these were not significantly different (Z = −.56, P = 0.28).</t>
  </si>
  <si>
    <t>A negative correlation was also observed between adaptation magnitude for head direction and AQ score, but this narrowly missed statistical significance (r(28) = −.30, p = 0.064) although the direction of the relationship is consistent with the other two stimulus types</t>
  </si>
  <si>
    <t>Additionally, Steiger’s Z tests revealed that the correlation coefficient between adaptation magnitude on the head direction task and AQ score was not significantly smaller than the corresponding correlation coefficients on either the eye-gaze (Z = −0.67, P = 0.24) or</t>
  </si>
  <si>
    <t>chair tasks (z = −.13, P = 0.44). 3.1.4. Relationship</t>
  </si>
  <si>
    <t>Adaptation magnitude for the eye-gaze task correlated negatively with sensory sensitivity as measured by the ASQ (r(28) = −.409, P = 0.015, 1-tailed; Fig. 2D), with</t>
  </si>
  <si>
    <t>a similar correlation that narrowly missed significance for the chair orientation task (r(28) = −.278, P = 0.076, 1-tailed; Fig. 2F). Adaptation</t>
  </si>
  <si>
    <t>Adaptation magnitude for head direction did not correlate with sensory sensitivity (r(28) = −.05, P=.40, 1tailed; Fig. 2E). The</t>
  </si>
  <si>
    <t>correlations between eye-gaze adaptation and ASQ, and chair orientation adaptation and ASQ were not significantly different from one another (Z = −0.66, P = 0.26). The correlation be-</t>
  </si>
  <si>
    <t>ferent from one another (Z = −0.66, P = 0.26). The correlation between eye-gaze adaptation and ASQ was, however, significantly greater than the correlation between head direction adaptation and ASQ (Z = −1.65, P = 0.04). The</t>
  </si>
  <si>
    <t>difference between the correlations with chair orientation and head direction adaptation narrowly missed significance (Z = −1.35, P = 0.08). 3.1.5. Summary</t>
  </si>
  <si>
    <t>The stimulation at an individual theta frequency increased subsequent memory performance (SME ¼ SR-SF), compared to the alpha stimulation, t (19) ¼ 2.24, p ¼ .037, Cohen's d ¼ 0.50 (see Fig. 1C). This</t>
  </si>
  <si>
    <t>higher number of subsequently remembered (SR) items in the theta stimulation condition, compared to the alpha stimulation, 23.8% (SD ¼ 16.9%) vs. 21.5% (SD ¼ 15.7%), t (19) ¼ 2.13, p ¼ .046, and a</t>
  </si>
  <si>
    <t>higher rate of subsequently forgotten (SF) items in the alpha stimulation condition, compared to the theta stimulation, 47.4% (SD ¼ 16.9%) vs. 49.9% (SD ¼ 16.7%), t \[19\] ¼ 1.99, p ¼ .062, by trend</t>
  </si>
  <si>
    <t>Pictures presented statically were remembered best (SR: 28.2% \[SD ¼ 16.2%\] and SF: 42.6% \[SD ¼ 16.6%\]), with a higher SME compared to the theta (t \[19\] ¼ 4.15, p .001), and</t>
  </si>
  <si>
    <t>the alpha stimulation (t \[19\] ¼ 10.97, p .001). SR rates</t>
  </si>
  <si>
    <t>Overall participants were highly attentive and detected on average 44.1 of 45 dots (97.9%), with no effect of the encoding condition, F (2, 38) ¼ 1.30, p ¼ .273. However</t>
  </si>
  <si>
    <t>both t (19) &gt; 2.66, p &lt; .016. Reaction</t>
  </si>
  <si>
    <t>Reaction times were also marginally faster for the alpha compared to the theta stimulation, t (19) ¼ 1.91, p ¼ .072. Thus it is unlikely that higher memory</t>
  </si>
  <si>
    <t>The theta and the alpha stimulation elicited clear SSVEP signals over the visual cortex, accompanied by increased gamma oscillations at posterior recording sites, all t (19) &gt; 3.11, all p .006 (Fig. 1D). The effect size</t>
  </si>
  <si>
    <t>The memory entrainment effect (theta SME alpha SME) was clearly predicted by the power and spread of the theta SSVEP, r ¼ .71, p ¼ .00043, R2 ¼ 0.50 (see Fig. 1E), but</t>
  </si>
  <si>
    <t>no relation was found between the alpha SSVEP signal and the memory entrainment effect, r ¼ 0.09, p ¼ .697. Thus</t>
  </si>
  <si>
    <t>At the individual level, theta oscillations showed an inverse SME, namely higher theta SSVEPs for SF, than SK, than SR items (Fig. 2A, upper panel), F (2, 38) ¼ 6.41, p ¼ .004. This inverse SME</t>
  </si>
  <si>
    <t>We found a clear SME, namely higher theta-gamma PAC for SR, compared to SK, compared to SF items, when tested across all electrodes, F (2, 38) ¼ 8.08, p &lt; .001. The difference in theta-gamma PAC was highest at left temporal and centrofrontal electrodes (Fig. 2B). In accordance with previous studies (Friese</t>
  </si>
  <si>
    <t>neither theta nor gamma power was correlated with the MI coupling magnitude (theta: r ¼0.209 p ¼ .108; gamma</t>
  </si>
  <si>
    <t>gamma: r ¼0.033 p ¼ .803). Further</t>
  </si>
  <si>
    <t>No differences between encoding conditions (SR, SK, SF) were found for the alpha SSVEPs, F (2, 38) ¼ 0.74, p ¼ .486. Furthermore</t>
  </si>
  <si>
    <t>across all conditions and all electrodes, theta-gamma PAC was much higher than alpha-gamma PAC, t (19) ¼ 3.53, p ¼ .002. Thus,</t>
  </si>
  <si>
    <t>The analysis revealed a significant main effect of prime, F(2, 46) = 19.49, p &lt; .001, hp2 = .459 for the overall test</t>
  </si>
  <si>
    <t>2 = .392 (dZ = .79) for the contrast of positive versus negative</t>
  </si>
  <si>
    <t>The AMP effect was significant for both the standard sample and the performance-control sample (see Table 2), t(23) = 3.44, p = .002, dZ = 0.70, and</t>
  </si>
  <si>
    <t>and t(24) = 4.47, p &lt; .001, dZ = 0.89, respectively</t>
  </si>
  <si>
    <t>Although mean performance clearly exceeded chance level (i.e., 50% correct), t(24) = 7.23, p &lt; .001, dZ = 1.45, the</t>
  </si>
  <si>
    <t>However, the AMP effect was not significantly different across the two subsamples (i.e., those to the left and right of the dotted line in Figure 1), t(23) = 0.70, p = .489. Subjective Ratings.</t>
  </si>
  <si>
    <t>“A one‐way within‐subjects ANOVA revealed that participants’ subgroup identity (M = 5.95, SD = 1.88) was significantly more central than their superordinate identity (M = 4.44, SD = 1.81), F (1, 73) = 44.04, p &lt; 0.001, 𝜂2 p = 0.38. Thus</t>
  </si>
  <si>
    <t>The main effect of subgroup identity uncertainty manipulation was significant, b = −1.12, SEb = 0.48, t(71) = −2.35, p = 0.021. The</t>
  </si>
  <si>
    <t>SEb = 0.48, t(71) = −2.35, p = 0.021. The main effect of relative identity centrality was also significant, b = 0.26, SEb = 0.12, t(71) = 2.10, p = 0.039. We found</t>
  </si>
  <si>
    <t>a two‐way interaction at a marginally significant level, b = 0.47, SEb = 0.24, t(70) = 1.94, p = 0.057. People</t>
  </si>
  <si>
    <t>they felt uncertain about subgroup identity significantly greater when they were made to feel uncertain (vs. certain) in their subgroup identity, b = −2.04, SEb = 0.67, t(70) = −3.06, p = 0.003. Whereas</t>
  </si>
  <si>
    <t>people for whom subgroup was central to their self‐concept did not differ in their reported uncertainty about subgroup identity, b = −0.19, SEb = 0.67, t(70) = −0.29, p = 0.771. 2.2.4 | Superordinate identity uncertainty</t>
  </si>
  <si>
    <t>The main effects of subgroup identity uncertainty and relative centrality were not significant, b = −0.12, SEb = 0.37, t(71) = −0.32, p = 0.749; b</t>
  </si>
  <si>
    <t>b = 0.05, SEb = 0.10, t(71) = 0.50, p = 0.615. As predicted</t>
  </si>
  <si>
    <t>we found a significant two‐way interaction, b = −0.49, SEb = 0.19, t(70) = −2.61, p = 0.011 (Figure 1a). Consistent to our prediction (H1)</t>
  </si>
  <si>
    <t>people for whom subgroup was central reported significantly lower uncertainty about superordinate identity when they were made to feel uncertain (vs. certain) in their subgroup identity, b = −1.08, SEb = 0.51, t(70) = −2.10, p = 0.039. Whereas,</t>
  </si>
  <si>
    <t>people for whom subgroup was not so central did not differ in their reported uncertainty about superordinate identity, b = 0.84, SEb = 0.51, t(70) = 1.63, p = 0.107. Put differently</t>
  </si>
  <si>
    <t>in the low subgroup identity uncertainty condition, relative identity centrality was significantly associated with a high level of superordinate identity uncertainty, b = 0.34, SEb = 0.14, t(70) = 2.34, p = 0.022. Whereas</t>
  </si>
  <si>
    <t>in the high subgroup identity uncertainty condition, relative identity centrality was not significantly associated with superordinate identity uncertainty, b = −0.15, SEb = 0.12, t(70) = −1.27, p = 0.208. 2.2.5 | Superordinate identification</t>
  </si>
  <si>
    <t>The main effect of subgroup identity uncertainty was not significant, b = −0.21, SEb = 0.34, t(71) = −0.62, p = 0.536. The main ef-</t>
  </si>
  <si>
    <t>cant, b = −0.21, SEb = 0.34, t(71) = −0.62, p = 0.536. The main effect of relative centrality was significant, b = −0.23, SEb = 0.09, t(71) = −2.64, p = 0.010; such</t>
  </si>
  <si>
    <t>A s p r e d i c t e d , a t w o way interaction was marginally significant, b = 0.34, SEb = 0.18, t(70) = 1.93, p = 0.058 (Figure 1b). Consistent</t>
  </si>
  <si>
    <t>(H1), people for whom subgroup was less central decreased superordinate identification when they were made to feel uncertain (vs. certain) about subgroup identity at a marginally significant level, b = −0.88, SEb = 0.48, t(70) = −1.82, p = 0.073. In contrast</t>
  </si>
  <si>
    <t>people for whom subgroup was central increased superordinate identification when they were made to feel uncertain (vs. certain) about subgroup identity but this effect was not significant, b = 0.45, SEb = 0.48, t(70) = 0.93, p = 0.354. Put differently</t>
  </si>
  <si>
    <t>SEb = 0.48, t(70) = 0.93, p = 0.354. Put differently, in the low subgroup identity uncertainty condition, relative identity centrality was significantly associated with a low level of superordinate identification, b = −0.43, SEb = 0.13, t(70) = −3.21, p = 0.002. Whereas,</t>
  </si>
  <si>
    <t>in the high subgroup identity uncertainty condition, relative identity centrality was not significantly associated with superordinate identification, b = −0.09, SEb = 0.11, t(70) = −0.41, p = 0.409. Moderated mediation analysis</t>
  </si>
  <si>
    <t>We submitted integration attitude to the same analysis. The main effects of subgroup identity uncertainty and relative centrality were not significant, b = −0.06, SEb = 0.52, t(71) = −0.11, p = 0.910; b</t>
  </si>
  <si>
    <t>b = −0.07, SEb = 0.13, t(71) = −0.50, p = 0.618. A two</t>
  </si>
  <si>
    <t>SEb = 0.13, t(71) = −0.50, p = 0.618. A two‐way interaction was significant, b = 0.66, SEb = 0.26, t(70) = 2.53, p = 0.014. People for whom</t>
  </si>
  <si>
    <t>their subgroup was not so central reported a weaker integration attitude when they were made to feel uncertain (vs. certain) about subgroup identity—the effect was marginally significant, b = −1.35, SEb = 0.71, t(70) = −1.89, p = 0.062. In contrast</t>
  </si>
  <si>
    <t>people for whom their subgroup was highly central reported a strengthened integration attitude—again the effect was marginally significant, b = 1.23, SEb = 0.71, t(70) = 1.73, p = 0.088. Put differently</t>
  </si>
  <si>
    <t>n the low subgroup identity uncertainty condition, relative identity centrality was significantly associated with a low level of integration attitude, b = −0.45, SEb = 0.20, t(70) = −2.28, p = 0.026. Whereas,</t>
  </si>
  <si>
    <t>We submitted integration intention to the same analysis. The main effect of subgroup identity uncertainty was not significant, b = 0.20, SEb = 0.35, t(71) = 0.58, p = 0.563. The main ef-</t>
  </si>
  <si>
    <t>cant, b = 0.20, SEb = 0.35, t(71) = 0.58, p = 0.563. The main effect of relative centrality was significant, b = −0.18, SEb = 0.09, t(71) = −2.05, p = 0.044; such that</t>
  </si>
  <si>
    <t>identity reported stronger integration intention. A two‐way interaction was significant, b = 0.52, SEb = 0.17, t(70) = 3.06, p = 0.003. People for whom subgroup identity was not so central decreased</t>
  </si>
  <si>
    <t>about subgroup identity at a marginally significant level, b = −0.82, SEb = 0.47, t(70) = −1.76, p = 0.083. In contrast</t>
  </si>
  <si>
    <t>people for whom subgroup identity was highly central significantly increased their integration intention when they were made to feel uncertain (vs. certain) about subgroup identity, b = 1.23, SEb = 0.46, t(70) = 2.62, p = 0.011. Put differently</t>
  </si>
  <si>
    <t>SEb = 0.46, t(70) = 2.62, p = 0.011. Put differently, in the low subgroup identity uncertainty condition, relative identity centrality was significantly associated with a low level of integration intention, b = −0.49, SEb = 0.13, t(70) = −3.74, p = 0.0004. Whereas, in</t>
  </si>
  <si>
    <t>the high subgroup identity uncertainty condition, relative identity centrality was not significantly associated with integration attitude, b = 0.03, SEb = 0.11, t(70) = 0.30, p = 0.767. Moderated mediation analysis</t>
  </si>
  <si>
    <t>were not significant, ps &gt; 0.11; however, a three‐way interaction on integration intention was significant, b = 0.20, SEb = 0.09, t(66) = 2.27, p = 0.027. Simple slopes</t>
  </si>
  <si>
    <t>We conducted an independent t-test and the results indicated that participants in the ego depletion condition (i.e. the no-es condition) showed a greater willingness to abandon the project (M 5 4.12, SD 5 1.66, N 5 41) than did participants in the non-ego depletion condition (i.e. the type-all-letter condition) (M 5 3.14, SD 5 1.54, N 5 42), t(81) 5 2.79, p 5 .007, d 5 .61. We</t>
  </si>
  <si>
    <t>(M 5 3.14, SD 5 1.54, N 5 42), t(81) 5 2.79, p 5 .007, d 5 .61. We then examined the efficacy of our manipulation through a series of independent t-tests. We found that the manipulation of ego depletion had a significant effect (in the expected direction) on each of the three manipulation checks: self-control effort (t(81) 5 5.31, p &lt; .001, d 5 1.17), level</t>
  </si>
  <si>
    <t>evel of effort required to complete the task (t(81) 5 3.78, p &lt; .001, d 5 .83), and</t>
  </si>
  <si>
    <t>cognitive depletion (t(81) 5 2.42, p 5 .018, d 5 .54). Further</t>
  </si>
  <si>
    <t>Further, the results of another independent t-test indicated that ego depletion did not have a significant effect on pleasant-unpleasant mood (BMIS) (p 5 .808) suggesting that the differences we observed cannot be attributed to differences in mood that could have been triggered by the ego depletion task</t>
  </si>
  <si>
    <t>Finally, the results of an ANCOVA indicated that the effect of ego depletion on the willingness to abandon the project (F(1,78) 5 5.29, p 5 .024, g2p 5 .06) was significant in the presence of the covariates of pleasant-unpleasant mood (BMIS), perception of success, and age.</t>
  </si>
  <si>
    <t>swapped their randomly assigned object for an alternative. An independent samples t-test showed that children with ASD traded their toy significantly more often (74% of trials) than TD children (33% of trials), t(34) = 4.45, p &lt; .001, d = 1.53 (see Fig. 2). As there</t>
  </si>
  <si>
    <t>In comparison with this chance value, TD children traded significantly less frequently than expected by chance, t(17) = −4.72, p &lt; .001, d = −1.11, while</t>
  </si>
  <si>
    <t>hildren with ASD traded at chance, t(17) = 1.23, p = .24. Importantly,</t>
  </si>
  <si>
    <t>Participants also scored 0–9 corresponding to the number of ownership questions they answered correctly. An independent samples t-test revealed that children with ASD (93.78% correct) and TD children (100% correct) did not differ in their ability to track owner-object relationships, t(34) = −1.43, p = .16 (see Fig. 2). 2.3. Discussion</t>
  </si>
  <si>
    <t>Using an OLR, neither Block 1 (χ2(3) = 2.753, p = .431) nor</t>
  </si>
  <si>
    <t>Block 2 (χ2(3) = 1.305, p = .728) had a better fit than the general model</t>
  </si>
  <si>
    <t>ut the final model fit was not significant (χ2(3) = 1.279, p = .734). Based on these null results we have no evidence to conclude that action type or goal information influenced participants’ perceptions of sameness among objects. Figure 2 shows the mean</t>
  </si>
  <si>
    <t>In Block 1 we found a significantly better final model fit, χ2(3) = 18.953, p &lt; .001, indicating that a model with predictors was better than a model without predictors.</t>
  </si>
  <si>
    <t>Pearson’s Goodness-of-fit, χ2(7) = 3.234, p = .863, did not fall below the threshold for rejection (p &lt; .05).</t>
  </si>
  <si>
    <t>In Block 2 we found a significantly better final model fit, χ2(3) = 23.811, p &lt; .001. Pearson</t>
  </si>
  <si>
    <t>In Block 2 we found a significantly better final model fit, χ2(3) = 23.811, p &lt; .001. Pearson’s Goodness-of-fit, χ2(7) = 9.235, p = .236, did not fall below the threshold for rejection (p &lt; .05). As Table 1</t>
  </si>
  <si>
    <t>In Block 3 we found a significantly better final model fit, χ2(3) = 28.919, p &lt; .001. Pearson</t>
  </si>
  <si>
    <t>In Block 3 we found a significantly better final model fit, χ2(3) = 28.919, p &lt; .001. Pearson’s Goodness-of-fit, χ2(7) = 9.027, p = .251, did not fall below the threshold for rejection (p &lt; .05). As Table 1</t>
  </si>
  <si>
    <t>In Block 1 we found a significantly better final model fit, χ2(6) = 156.715, p &lt; .001. Pearson’s</t>
  </si>
  <si>
    <t>Goodness-of-fit, χ2(4) = 5.087, p = .279, did not fall below the threshold for rejection (p &lt; .05).</t>
  </si>
  <si>
    <t>In Block 2 we found a significantly better final model fit, χ2(6) = 114.913, p &lt; .001. Pearson</t>
  </si>
  <si>
    <t>Pearson’s Goodness-of-fit, χ2(4) = 9.094, p = .059, did not fall below the threshold for rejection (p &lt; .05).</t>
  </si>
  <si>
    <t>In Block 3 we found a significantly better final model fit, χ2(6) = 49.685, p &lt; .001. Pearson</t>
  </si>
  <si>
    <t>In Block 3 we found a significantly better final model fit, χ2(6) = 49.685, p &lt; .001. Pearson’s Goodness-of-fit, χ2(4) = 14.129, p = .007, did fall below the threshold (p &lt; .05), which suggests there are non-linearities in the data, and the model fit could be improved by their inclusion</t>
  </si>
  <si>
    <t>ditions, by virtue of the action’s causal opacity. When analyzed with an MLR, we found a significantly better fit, χ2(18) = 42.452, p = .001. When the reference category was set to “Denial of</t>
  </si>
  <si>
    <t>we found opaque actions made participants 2.136 times more likely to define special with reference to “the actions or focus of the actor</t>
  </si>
  <si>
    <t>. Opaque actions also made participants 3.340 times more likely to reference a non-physical quality of the object (Wald Value(1) = 8.953, p = .003, β = 1.206, 95%CI = 1.5167.359). Opaque</t>
  </si>
  <si>
    <t>Opaque actions also made participants 4.062 times more likely to refer to location of an object (Wald Value(1) = 6.708, p = .010, β = 1.402, 95%CI = 1.406–11.734). There</t>
  </si>
  <si>
    <t>A Fisher exact test fails to reject the hypothesis that the distribution of proselfs and prosocials is the same for the two roles (p = 0.570), indicating that taking part in the die-rolling task had little or no effect on the distribution of SVO types.</t>
  </si>
  <si>
    <t>“A likelihood ratio test fails to reject these restrictions, 𝜒2(4)=2.416; p = 0.660, leading us to conclude that differences in Δ are largely explained by prosocial concerns and, among prosocials, by the type of the victim</t>
  </si>
  <si>
    <t>“by the dummy variable Prosocial − Prosocial × Moritz × Gain.Alikelihood ratio test fails to reject the restrictions in this case as well, 𝜒2(5)=2.746; p = 0.739. AIC and BIC</t>
  </si>
  <si>
    <t>As shown in table, perceived inequality (b = .312, SE = .027, p &lt; .001), economic</t>
  </si>
  <si>
    <t>p &lt; .001), economic system justification (b = .245, SE = .049, p &lt; .001), and socioeconomic status by income (b = .081, SE = .024, p &lt; .001) were positively associated with ideal inequality, while female were less prompted to desired more inequality</t>
  </si>
  <si>
    <t>economic system justification (b = .245, SE = .049, p &lt; .001), and</t>
  </si>
  <si>
    <t>(b = − .172, SE = .073, p = .018). On</t>
  </si>
  <si>
    <t>(b = − .172, SE = .073, p = .018). On the other hand, the higher socio-economic status by income (b = − .083, SE = .032, p = .009) was associated with lower support for redistribution</t>
  </si>
  <si>
    <t>whereas higher economic system justification was associated with higher redistributive preferences (b = .215, SE = .065, p = .001)</t>
  </si>
  <si>
    <t>Although perceived inequality (b = .068, SE = .039, p = .088) and</t>
  </si>
  <si>
    <t>ideal inequality (b = −.108, SE = .055, p = .052) did not reach statistical significance under a p &lt; .05,</t>
  </si>
  <si>
    <t>In this regard, we found that perceived inequality had a negative indirect effect on support for redistribution via ideal inequality, b = −.034, SE = −.018, 95% CI \[−.072, −.002\]. In accordance</t>
  </si>
  <si>
    <t>we confirmed that the relationship between perceived and ideal inequality was moderated by economic system justification, b = .079, SE = .037, p = .035, 95% CI \[.005, .153\]. Simple slopes analysis</t>
  </si>
  <si>
    <t>the effect of perceived ideal inequality was higher for those who justified the economic system more, b = .364, t(575) = 9.61, p &lt; .001, 95% CI \[.289, .438\], than</t>
  </si>
  <si>
    <t>for those who justified it less, b = .262, t(575) = 7.65, p &lt; .001, 95% CI \[.195, .329\] (Fig. 2). Additionally</t>
  </si>
  <si>
    <t>We did not find support for this hypothesis, since the indirect effect between those at lower values (− 1 SD) of economic system justification, b = − .028, SE = −.015, 95% CI \[− .060, − .002\], and those at higher values</t>
  </si>
  <si>
    <t>those at higher values (+ 1 SD), b = −.039, SE = −.021, 95% CI \[−.083, −.002\]; was</t>
  </si>
  <si>
    <t>(+ 1 SD), b = −.039, SE = −.021, 95% CI \[−.083, −.002\]; was not statistically different from zero, index of moderated mediation = .008, SE = .006, 95% CI \[− .0242, .0004\] (Hayes, 2018). Figure 3 shows a path diagram (with estimated coefficients) for this study’s model.</t>
  </si>
  <si>
    <t>We partially found support for this hypothesis, since the interaction term was marginally significant, b = −.088, SE = .050, p = .077, 95% CI = \[−.186, 009\]. However</t>
  </si>
  <si>
    <t>examining the simple slopes of perceived economic inequality at different values of economic system justification, showed that perceived economic inequality was positively associated with support for redistribution among those who had low scores (−1 SD) on the economic system justification scale, b = .124, SE = .048, p = .009, 95% CI = \[.030, .217\], but not for those with</t>
  </si>
  <si>
    <t>not for those with higher scores (+ 1 SD), b = −.010, SE = .054, p = .853, 95% CI \[−.096, .116\]. Discussio</t>
  </si>
  <si>
    <t>As hypothesized, this analysis revealed a significant main effect of our priming manipulation, F(1, 69) = 4.83, p = .031, ηp2= .065. The</t>
  </si>
  <si>
    <t>The results also revealed a significant main effect for religiosity condition, F(2, 69) = 138.3, p &lt; .001, ηp2 = .800; however</t>
  </si>
  <si>
    <t>there was no interaction, F(2, 69) = 2.21, p = .118, ηp2 = .060, providing evidence that baseline religiosity did not moderate the effect of priming on IRB scores in the experiment.</t>
  </si>
  <si>
    <t>Alternative analyses treating baseline religiosity as a continuous covariate variable, from 1 (not at all religious)to7(highly religious), produced highly convergent inferences, F(1, 72) = 6.29, p =.014,ηp2 = .080.2 We thus</t>
  </si>
  <si>
    <t>thereafter (Figure 1b, 1c). Response precision significantly decreased across the report sequence in both set size conditions: main effect of report position for set size two, F(1, 9) ¼ 39.5, p ¼ 0.0001, g2 p ¼ 0.81; for set</t>
  </si>
  <si>
    <t>for set size four, F(1.1, 9.5) ¼ 26.5, p , 0.0001, g2 p ¼ 0.74. Importantly</t>
  </si>
  <si>
    <t>the decrease in response precision was better explained by the discontinuous model than by the exponential model, DAIC ¼34.43, v2(2) ¼ 38.43, p , 0.001, first report benefit ¼ 0.245</t>
  </si>
  <si>
    <t>significantly modulated by confidence ratings: main effect of confidence ratings, F(1.5, 13.1) ¼ 129.7, p , 0.0001, g2 p ¼ 0.935. Response</t>
  </si>
  <si>
    <t>Mean confidence dropped steeply from the first to the second report, but decreased only slightly thereafter in the set size four condition: main effect of report position for set size four, F(3, 27) ¼ 42.3, p , 0.0001, g2 p ¼ 0.82. For set size two</t>
  </si>
  <si>
    <t>the main effect of report position was not significant, F(1, 9) ¼ 3.8, p ¼ 0.0834, g2 p ¼ 0.30. Importantly</t>
  </si>
  <si>
    <t>as for response precision, the model comparison for confidence in the set size four condition favored the discontinuous over the continuous model, DAIC ¼19.75, v2(2) ¼ 23.75, p , 0.001, c ¼ 0.177. This</t>
  </si>
  <si>
    <t>As shown in Figure 3b, modeled precision decreased across the report sequence in both set size conditions: main effect of report position for set size two, F(1, 9) ¼ 26.0, p ¼ 0.0006, g2 p ¼ 0.74; for set</t>
  </si>
  <si>
    <t>for set size four, F(1.6, 14.7) ¼ 7.7, p ¼ 0.007, g2 p ¼ 0.46. Similarly</t>
  </si>
  <si>
    <t>we observed a significant change in guessing across reports in both set size conditions: main effect of report position for set size two, F(1, 9) ¼ 16.8, p ¼ 0.0027, g2 p¼ 0.65; for</t>
  </si>
  <si>
    <t>for set size four, F(3, 27) ¼ 16.6, p , 0.0001, g2 p¼ 0.65. In contrast</t>
  </si>
  <si>
    <t>position in either condition: main effect of report position for set size two, F(1, 9) ¼ 0.5, p ¼ 0.5108, g2 p¼ 0.05; for</t>
  </si>
  <si>
    <t>set size four, F(3, 27) ¼ 0.7, p ¼ 0.5519, g2 p¼ 0.07. Most importantly</t>
  </si>
  <si>
    <t>This discontinuous trajectory was supported by the model comparison that favored the discontinuous over the continuous model, DAIC ¼ 11.31, v2(2) ¼ 15.31, p ¼ , 0.001, c ¼ 1.415. In contrast</t>
  </si>
  <si>
    <t>For guessing, the additional parameter of the discontinuous model did not yield any significant improvement of the data likelihood over the continuous model, v2(2) ¼ 2.64, p ¼ 0.268, c ¼ 0.121. Model</t>
  </si>
  <si>
    <t>Similarly, misreport was also better captured by a continuous model as the data likelihood was not significantly increased by the discontinuous model, DAIC ¼ 3.74, v2(2) ¼ 0.26, p ¼ 0.877, c ¼ 0.015. For the sake of completeness</t>
  </si>
  <si>
    <t>we found a significant decrease in response precision from set size two to set size four, F(1, 9) ¼ 107.4, p , 0.0001, g2 p ¼ 0.92. The set size effect</t>
  </si>
  <si>
    <t>guessing, F(1, 9) ¼ 22.0, p ¼ 0.0011, g2 p ¼ 0.71; and</t>
  </si>
  <si>
    <t>misreport, F(1, 9) ¼ 9.0, p ¼ 0.0150, g2 p¼ 0.50. We also</t>
  </si>
  <si>
    <t>This was reflected by a significant interaction between report position and set size: response precision, F(1, 9) ¼ 5.5, p ¼ 0.0441, g2 p ¼ 0.38; guessing</t>
  </si>
  <si>
    <t>guessing, F(1, 9) ¼ 6.2, p ¼ 0.0344, g2 p ¼ 0.41. There</t>
  </si>
  <si>
    <t>There were no such interactions for modeled precision: F(1, 9) ¼ 0.2, p ¼ 0.6584, g2 p ¼ 0.02; or</t>
  </si>
  <si>
    <t>or misreport, F(1, 9) ¼ 1.0, p ¼ 0.3444, g2 p ¼ 0.10. Response precision</t>
  </si>
  <si>
    <t>of report position for set size two, F(1, 9) ¼ 5.1, p ¼ 0.0512, g2 p ¼ 0.36; and for</t>
  </si>
  <si>
    <t>set size four, F(1.4, 12.4) ¼ 3.0, p ¼ 0.097, g2 p ¼ 0.25; confidence</t>
  </si>
  <si>
    <t>confidence rating of ‘‘2’’: main effect of report position for set size two, F(1, 9) ¼ 49.9, p ¼ 0.0001, g2p ¼ 0.85; and set</t>
  </si>
  <si>
    <t>size four, F(1.6, 14.1) ¼ 14.2, p , 0.0001, g2 p ¼ 0.61; confidence</t>
  </si>
  <si>
    <t>confidence rating of ‘‘3’’: main effect of report position for set size two, F(1, 9) ¼ 22.6, p ¼ 0.0010, g2 p ¼ 0.72; and</t>
  </si>
  <si>
    <t>for set size four, F(3, 27) ¼ 20.9, p , 0.0001, g2 p ¼ 0.70. In contrast</t>
  </si>
  <si>
    <t>we did not find such a decrease in response precision for the confidence rating of ‘‘0,’’ corresponding to forgetting (see Figure 4a): main effect of report position for set size four, F(3, 18) ¼ 0.6, p ¼ 0.614, g2 p ¼ 0.09. Note that because participants gave a rating of ‘‘0’’ very rarely in the set size two condition</t>
  </si>
  <si>
    <t>These observations were supported by the model comparisons that favored the discontinuous over the continuous model for confidence ratings of ‘‘1,’’ ‘‘2,’’ and ‘‘3’’; confidence rating of ‘‘1’’: DAIC ¼10.55, v2(2) ¼ 14.55, p , 0.001, first</t>
  </si>
  <si>
    <t>first report benefit ¼ 0.058; confidence rating of ‘‘2’’: DAIC ¼9.11, v2(2) ¼ 13.11, p ¼ 0.001, first</t>
  </si>
  <si>
    <t>report benefit ¼ 0.198; confidence rating of ‘‘3’’: DAIC ¼ 3.68, v2(2) ¼ 7.68, p ¼ 0.021, first</t>
  </si>
  <si>
    <t>In contrast, there was no significant advantage of the discontinuous over the continuous model for the confidence rating of ‘‘0’’: DAIC ¼0.05, v2(2) ¼ 4.04, p ¼ 0.132, first report benefit</t>
  </si>
  <si>
    <t>The proportion of subjective forgetting did not increase significantly across reports for set size two; main effect of report precision: F(1, 9) ¼ 5.9, p ¼ 0.04, g2 p ¼ 0.40, but</t>
  </si>
  <si>
    <t>did increase significantly for set size four; main effect for report precision: F(1.4, 12.4) ¼ 17.9, p , 0.001, g2 p¼ 0.67 (Figure 4b, right panel). Hence</t>
  </si>
  <si>
    <t>each report increased the probability of forgetting an item. Importantly, this increase of subjective forgetting in set size four was best captured by a continuous as compared to a discontinuous model: DAIC ¼ 2.60, v2(2) ¼ 1.40, p ¼ 0.50, c ¼0.025. In line</t>
  </si>
  <si>
    <t>. In contrast, the proportion of items that were rated with the highest confidence (confidence rating ¼ 3) significantly decreased for set size two, F(1, 9) ¼ 3.2, p ¼ 0.11, g2 p ¼ 0.26; and set</t>
  </si>
  <si>
    <t>size four, F(1.1, 9.5) ¼ 14.3, p ¼ 0.004, g2 p ¼ 0.61 across the report sequence</t>
  </si>
  <si>
    <t>the decline in high confidence ratings was better captured by a discontinuous compared to a continuous model: DAIC ¼33.20, v2(2) ¼ 37.20, p , 0.001, first report benefit ¼ 0.134, indicating that states in working memory differ in their memory quality.</t>
  </si>
  <si>
    <t>we also found positive evidence for a model with different first report benefits (BF ¼ 2.46) but the effect was weaker than for the subjective measures of memory quality and guessing</t>
  </si>
  <si>
    <t>Again, we found positive evidence for a model with different first report benefits (BF ¼ 3.26). Together, these results further support the notion that states in working memory differ in memory quality rather than in the number of items that can be stored</t>
  </si>
  <si>
    <t>A one-way analysis of variance (ANOVA) showed a main effect of experimental condition on envy, F(2, 261) 9.78, p .001, 2 .07. We then</t>
  </si>
  <si>
    <t>also predicted, participants in the “successes and extra information” condition did not report significantly different feelings of envy (M 4.04, SD 1.16), t(175) 0.31, p .757, d .04 (95% CI \[.34, .25\]) than did participants in the “only successes revealed” condition. We depict these results in Figure 1.</t>
  </si>
  <si>
    <t>Consistent with our prediction, we found a significant effect of the “successes and failures” condition, .64, t(261) 4.40, p .001. Because</t>
  </si>
  <si>
    <t>We found that revealing failures decreases both the “feeling” component, t(177) 2.92, p .004, d .44, 95% CI \[.74, .14\]), and the</t>
  </si>
  <si>
    <t>latency are shown in Table 1. Examining accuracy, a oneway repeated-measures ANOVA indicated an effect of script, F(2, 52) = 56.35, p ,η2 = .66.</t>
  </si>
  <si>
    <t>no statscheck result</t>
  </si>
  <si>
    <t>&lt;0,001</t>
  </si>
  <si>
    <t>&lt;0,01</t>
  </si>
  <si>
    <t>two tests are marked, the second one is entered</t>
  </si>
  <si>
    <t>&lt; 0,001</t>
  </si>
  <si>
    <t>two p values , the first is entered</t>
  </si>
  <si>
    <t xml:space="preserve"> &lt; 0,001</t>
  </si>
  <si>
    <t>two marked result, the first one is entered</t>
  </si>
  <si>
    <t>two f test the second one is entered</t>
  </si>
  <si>
    <t>I input the df myself so no statscheck result</t>
  </si>
  <si>
    <t>ns</t>
  </si>
  <si>
    <t>dfs are missing</t>
  </si>
  <si>
    <t>&gt;,10</t>
  </si>
  <si>
    <t>I input n myselft so no statscheck result</t>
  </si>
  <si>
    <t>no idea what n I should take for the t test since it is not like simple t-test or so</t>
  </si>
  <si>
    <t>&lt; ,01</t>
  </si>
  <si>
    <t>reappraisal condition than for the pleasant
condition [t(45) = 13.32, p &lt; 0.001].</t>
  </si>
  <si>
    <t xml:space="preserve"> [F(2,88) = 20.40,
p &lt; 0.001, η
2
p = 0.32]</t>
  </si>
  <si>
    <t>t LPP was larger for the older children than for the
younger children, [t(45) = 7.23, p &lt; 0.01]. Age</t>
  </si>
  <si>
    <t>two p values I entered the first one</t>
  </si>
  <si>
    <t>I input the df myself, so no statscheck  result</t>
  </si>
  <si>
    <t>&lt; 0,01</t>
  </si>
  <si>
    <t>no reported p value</t>
  </si>
  <si>
    <t>competence (F (1,81) = 60.99, p &lt; .0005, ηp 2 = .412), both</t>
  </si>
  <si>
    <t>being qualified by an interaction effect (F (1,81) = 130.99, p &lt; .0005, ηp
2 = .601). A
close look</t>
  </si>
  <si>
    <t>two marked r in, first one is enterd</t>
  </si>
  <si>
    <t>&lt;0,0001</t>
  </si>
  <si>
    <t>perceptions, F(1, 78)4 _x0002_ 3.10, p _x0002_ .082;  p
2 _x0002_
.04. Participants prescribed</t>
  </si>
  <si>
    <t>no reported p</t>
  </si>
  <si>
    <t>no p values, I entered the first one</t>
  </si>
  <si>
    <t>statscheck says the p value should be 1 ….</t>
  </si>
  <si>
    <t>Reputation, F(1,57) = 94.13, p &lt; 0.001, η
2
p = 0.62. There was
also</t>
  </si>
  <si>
    <t>&lt;,0,001</t>
  </si>
  <si>
    <t>two marked p values the second is entered</t>
  </si>
  <si>
    <t>For example, the correlation between “relying on emo_x0002_tion” and “predicted cooperation” (r _x0002_ .369) was significantly
stronger than the correlation between “intuitively”</t>
  </si>
  <si>
    <t>and “predicted
cooperation” (r _x0002_ .225), z _x0002_ 2.08, p _x0002_ .037, and</t>
  </si>
  <si>
    <t>likewise stronger
than the correlation between “quickly” and “predicted coopera_x0002_tion” (r _x0002_  .014), z _x0002_ 5.01, p _x0005_ .001. Conversely, our results
suggest</t>
  </si>
  <si>
    <t>was
marginally significantly stronger than the correlation between “de_x0002_liberately” and “predicted cooperation” (r _x0002_  .137), z _x0002_ 1.85,
p _x0002_ .064,</t>
  </si>
  <si>
    <t>was significantly stronger than the correlation
between “slowly” and “predicted cooperation” (r _x0002_ .119), z _x0002_
5.37, p _x0005_ .001.
Discussion</t>
  </si>
  <si>
    <t>&lt;,001</t>
  </si>
  <si>
    <t>p &lt; .001</t>
  </si>
  <si>
    <t>no p value</t>
  </si>
  <si>
    <t>TB: F(1, 24) = 6.95, p = .014, ηp
2 = 0.225, CI:
−7084, −864), but</t>
  </si>
  <si>
    <t>two marked rs, the first one is entered</t>
  </si>
  <si>
    <t>statscheck says it is a error and show the p should be 0, which is not a error tome</t>
  </si>
  <si>
    <t>t(211) = 5.00</t>
  </si>
  <si>
    <t>no statcheck result</t>
  </si>
  <si>
    <t>the origingal p value is 0.074</t>
  </si>
  <si>
    <t>no statscheck result since I input df my self</t>
  </si>
  <si>
    <t>two tests the second one is entered</t>
  </si>
  <si>
    <t xml:space="preserve">modularity across our ROIs was significantly reduced during episodic
retrieval (t(27) = </t>
  </si>
  <si>
    <t>these results are mix of ps and ts</t>
  </si>
  <si>
    <t>no f test the first is entered</t>
  </si>
  <si>
    <t>F(1,46) = 15.58, p &lt; .001, ηp
2 = .25</t>
  </si>
  <si>
    <t>Condition (F(1,46) = 88.91, p &lt; .001, ηp
2 = .66</t>
  </si>
  <si>
    <t>F(1,23) = 31.37, p &lt; .001, ηp
2 =
.58) were observed</t>
  </si>
  <si>
    <t xml:space="preserve"> Time (F(1,23) = 17.53, p &lt; .001, ηp
2 = .43)</t>
  </si>
  <si>
    <t xml:space="preserve"> Language (F = 34.61, p &lt; .001, ηp
2 = .60</t>
  </si>
  <si>
    <t>dfs are missing, I assume these are 1,23</t>
  </si>
  <si>
    <t>significant (F = 3.843, p = .062, ηp
2 = .143).
Participants</t>
  </si>
  <si>
    <t>Time x Language F(1,46) = 28.79, p &lt; .001, ηp
2
= .39).</t>
  </si>
  <si>
    <t>Japanese M(SE) = 1980(71) ms, F(1,23) = 121.75, p &lt; .001, ηp
2
= .84). For the</t>
  </si>
  <si>
    <t>&lt;0,00001</t>
  </si>
  <si>
    <t>Euro Canadians (4.36%, p = .098) and</t>
  </si>
  <si>
    <t>Hong Kong (4.72%, p = 0.017) participants</t>
  </si>
  <si>
    <t>to -5.00%, p = .058 (this</t>
  </si>
  <si>
    <t>o 3.98%, p = .044</t>
  </si>
  <si>
    <t>t significant: 3.75%, p = .120 to</t>
  </si>
  <si>
    <t>1.78%, p = .460 (the
decrease</t>
  </si>
  <si>
    <t>from 2.81%, p = .547 to</t>
  </si>
  <si>
    <t>o -3.98%, p = .394</t>
  </si>
  <si>
    <t>, p = .022);; East A</t>
  </si>
  <si>
    <t>o from 6.74%, p = .096 to</t>
  </si>
  <si>
    <t>to -1.34%, p = .739 (decrease</t>
  </si>
  <si>
    <t>is -8.07%, p = .002), Hong</t>
  </si>
  <si>
    <t>o from 5.72%, p = .046</t>
  </si>
  <si>
    <t>6 to 1.44%, p = .614 (decrease</t>
  </si>
  <si>
    <t>is -4.28%, p = .032); and J</t>
  </si>
  <si>
    <t>from -0.88%, p = .824 t</t>
  </si>
  <si>
    <t>to 2.86%, p = .470</t>
  </si>
  <si>
    <t>decrease is
-1.98%, p = .435). Though</t>
  </si>
  <si>
    <t>Canadians at 13.66%, p &lt; .001</t>
  </si>
  <si>
    <t>n Canadians at 10.91%, p = .010; Hong K</t>
  </si>
  <si>
    <t>Chinese at 10.09%, p &lt; .001; J</t>
  </si>
  <si>
    <t>r estimates (-6.78%, p = .022; -8.07%</t>
  </si>
  <si>
    <t>= .002;</t>
  </si>
  <si>
    <t>.-4.28%, p = .032;</t>
  </si>
  <si>
    <t>1.98%, p = .435,
respectively),</t>
  </si>
  <si>
    <t>Hong Kong Chinese (5.80%,
p = .050) a</t>
  </si>
  <si>
    <t>d Japanese (6.93%, p = .045) and</t>
  </si>
  <si>
    <t>European Canadi_x0002_ans (6.88%, p = .083).</t>
  </si>
  <si>
    <t>p = .010</t>
  </si>
  <si>
    <t>Euro Canadians go from 5.97%, p = .132</t>
  </si>
  <si>
    <t>.-0.81%, p = .837,</t>
  </si>
  <si>
    <t>decrease of -6.78%, p = .022, difference</t>
  </si>
  <si>
    <t>h empathy of 7.69%, p = .010; East</t>
  </si>
  <si>
    <t>from 6.55%, p = .118 to</t>
  </si>
  <si>
    <t>to -1.52%, p = .714, decrease</t>
  </si>
  <si>
    <t>f -8.07%, p = .002,</t>
  </si>
  <si>
    <t>to 5.24%, p = .077,</t>
  </si>
  <si>
    <t>.-4.28%, p = .032</t>
  </si>
  <si>
    <t>o from 10.54%, p = .002 to</t>
  </si>
  <si>
    <t>o 8.57%, p = .013, d</t>
  </si>
  <si>
    <t>ecrease of -1.98%, p = .435, d</t>
  </si>
  <si>
    <t>empathy of 1.64%, p = .517; see</t>
  </si>
  <si>
    <t>overconfident, (11.42%, p = .014 higher</t>
  </si>
  <si>
    <t>overprecise by -0.35, p = .062, the</t>
  </si>
  <si>
    <t>Chinese (0.54, p = .001) and marginally</t>
  </si>
  <si>
    <t>d Japanese (-0.24, p = .001),</t>
  </si>
  <si>
    <t>e Euro Canadians (-0.05, p = .519).</t>
  </si>
  <si>
    <t>payoffs (27 cents, p = .047</t>
  </si>
  <si>
    <t>variance (ΔSD = .38, p &lt; .001; i.e., more</t>
  </si>
  <si>
    <t>two f test second one is entered</t>
  </si>
  <si>
    <t>no  statscheck result</t>
  </si>
  <si>
    <t>no statscheck result since I encode df myself</t>
  </si>
  <si>
    <t>no statscheck since I enode df</t>
  </si>
  <si>
    <t>five perason's r I entered the first one</t>
  </si>
  <si>
    <t>&lt;,000</t>
  </si>
  <si>
    <t>two marked rs the second one is entered</t>
  </si>
  <si>
    <t>two marked ps the second one is entered</t>
  </si>
  <si>
    <t>two rs, the first one is entered</t>
  </si>
  <si>
    <t>two p values , the second is entered</t>
  </si>
  <si>
    <t>the post hoc test showed that this difference
occurred during PDW trials (t16 = 9.433, p &lt; 0.01; Fig. 4B), but not
during</t>
  </si>
  <si>
    <t>low metacognitive
efficiency (t15 = 3.198, p &lt; 0.05; Fig. 5B). This</t>
  </si>
  <si>
    <t>two ps, the first one is entered</t>
  </si>
  <si>
    <t>two ps, the second non-overlapping one is entered</t>
  </si>
  <si>
    <t>two f test, the second non-overlapping one is entered</t>
  </si>
  <si>
    <t xml:space="preserve">statscheck say it is a error and the p should be 0, I do not think it is a error </t>
  </si>
  <si>
    <t>no statscheck result for this paper</t>
  </si>
  <si>
    <t>statcheck did not find any results</t>
  </si>
  <si>
    <t>&lt;0,000001</t>
  </si>
  <si>
    <t>no statscheck result since I encoded the df</t>
  </si>
  <si>
    <t>second test is entered</t>
  </si>
  <si>
    <t>the second f test is entered</t>
  </si>
  <si>
    <t>” did not differ from the mean latency to respond ‘‘false”
(MDiff = _x0001_55, SDDiff = 742), t(98) = _x0001_0.74, p = 0.462;</t>
  </si>
  <si>
    <t>I input df myself, so no statscheck result</t>
  </si>
  <si>
    <t>&lt;0,1</t>
  </si>
  <si>
    <t>two ps , the first is entered</t>
  </si>
  <si>
    <t>the second r is entered</t>
  </si>
  <si>
    <t>the first r is entered</t>
  </si>
  <si>
    <t xml:space="preserve"> (t(73) ¼ -2.77, p ¼ 0.0070). Negative</t>
  </si>
  <si>
    <t>,0,724</t>
  </si>
  <si>
    <t>2
(3, N = 129) = 36.38, p &lt; .001, Cramer’s V = 0.53. Paired</t>
  </si>
  <si>
    <t>he pattern of others’ blame judgments resembled the judgments of regret. There was an overall
significant age difference, v2
(3, N = 129) = 13.13, p = .004, Cramer’s V = 0.32,</t>
  </si>
  <si>
    <t>4 (Age) _x0001_ 4 (Explanation) chi-square test revealed that there was a significant age difference for
the explanations of equal self-rated blame, v2
(4, N = 209) = 69.98, p &lt; .001, Cramer’s V = 0.33.</t>
  </si>
  <si>
    <t xml:space="preserve">statcheck did not find any results
</t>
  </si>
  <si>
    <t>two marked tests the second one is entered</t>
  </si>
  <si>
    <t>no statscheck result since dfs are missing</t>
  </si>
  <si>
    <t>the author gave &lt;1,11 for the f value</t>
  </si>
  <si>
    <t>the second marked f test is entered</t>
  </si>
  <si>
    <t xml:space="preserve">the pvalue </t>
  </si>
  <si>
    <t>the second marked p value is entered</t>
  </si>
  <si>
    <t>the first p value is entered</t>
  </si>
  <si>
    <t>the p value</t>
  </si>
  <si>
    <t>no statscheck result since I input df myself</t>
  </si>
  <si>
    <t>the second marked p is encoded</t>
  </si>
  <si>
    <t>the second marked t test is entered</t>
  </si>
  <si>
    <t>no statscheck result since I encoded the df myself</t>
  </si>
  <si>
    <t>the second marked test is entered</t>
  </si>
  <si>
    <t>the second p is entered</t>
  </si>
  <si>
    <t xml:space="preserve">no statscheck result </t>
  </si>
  <si>
    <t>the second marked test is encoded</t>
  </si>
  <si>
    <t>the second p value is encoded</t>
  </si>
  <si>
    <t>the first marked f test is encoded</t>
  </si>
  <si>
    <t>there are four rs, I encoded according to the second statement</t>
  </si>
  <si>
    <t>the second marked r is entered</t>
  </si>
  <si>
    <t>the second marked p is entered</t>
  </si>
  <si>
    <t>the reported t is &gt;3,11</t>
  </si>
  <si>
    <t>F(1, 47) = 30.27, p &lt; .001, hp
2
 = .392 (dZ = .79)</t>
  </si>
  <si>
    <t>no statscheck resuls, there are only two results but it is not encoded here</t>
  </si>
  <si>
    <t>statcheck only showed these two result</t>
  </si>
  <si>
    <t>overprecise by -0.50, p = .013, and</t>
  </si>
  <si>
    <t>Japanese (0.33, p = .056)</t>
  </si>
  <si>
    <t>East Asian Canadians (-0.17, p = .012)</t>
  </si>
  <si>
    <t>Hong Kong Chinese (-0.35, p &lt; .001)</t>
  </si>
  <si>
    <t>X2</t>
  </si>
  <si>
    <t>z</t>
  </si>
  <si>
    <t>Could be decision inconsistency depending on alpha</t>
  </si>
  <si>
    <t>W</t>
  </si>
  <si>
    <t>&lt;1,97</t>
  </si>
  <si>
    <t>&lt;1</t>
  </si>
  <si>
    <t>&lt;1,8</t>
  </si>
  <si>
    <t>&lt;2,5</t>
  </si>
  <si>
    <t>OR</t>
  </si>
  <si>
    <t>U</t>
  </si>
  <si>
    <t>Omega</t>
  </si>
  <si>
    <t>tau</t>
  </si>
  <si>
    <t>“= 59.53, p &lt; .001, benevolent</t>
  </si>
  <si>
    <t>“= 149.27, p &lt; .001,</t>
  </si>
  <si>
    <t>“= 5.03, p = .025. This</t>
  </si>
  <si>
    <t>“= 16.00, p &lt; .001, 95% CI = \[0.13, 0.39\], b+1SD = 1.16, b1SD</t>
  </si>
  <si>
    <t>comparison” component, t(177) 3.82, p .001, d .57, 95% CI \[.87, .27\]). Therefore, we find suggestive evidence that the effect of revealing failures decreases both components of the scale.</t>
  </si>
  <si>
    <t>test, t(41) = 3.16, p &lt; .</t>
  </si>
  <si>
    <t>t(41) = 2.91, p = .01, d = .45.2 EVDs of</t>
  </si>
  <si>
    <t>from zero (t(41) = 1.39, p = .172, d = .21 an</t>
  </si>
  <si>
    <t>and t(41) = 1.34, p = .264, d = .17 respectively). A</t>
  </si>
  <si>
    <t>Welch’s t-test: t (284.8) = -2.71, p = .007, Mdiff</t>
  </si>
  <si>
    <t>Welch’s t-test: t(246.31) = 9.23, p</t>
  </si>
  <si>
    <t>result, d = 0.40, 95% CI \[0.06, 0.73\], n</t>
  </si>
  <si>
    <t>Welch’s t-test was significant, t(283.73) = 1.74, p</t>
  </si>
  <si>
    <t>than expected by chance (0.5), t(83) = 95.31, p &lt; .001. Despite high</t>
  </si>
  <si>
    <t>accuracy (b = 0.02, z = 6.18, p &lt; .001). Thus, we will</t>
  </si>
  <si>
    <t>significant predictor of RT (b = 430.7, F(1,82.8) = 22.1, p &lt; .001), such that</t>
  </si>
  <si>
    <t>669.4, F(1,83.4) = 130.9, p &lt; .001. The</t>
  </si>
  <si>
    <t>distractor presence, b = 303.9, F(1,82.9) = 5.9, p = .02; pairwise contrasts</t>
  </si>
  <si>
    <t>4.2, p &lt; .001), but only marginally</t>
  </si>
  <si>
    <t>1.9, p = .057). Finally, age</t>
  </si>
  <si>
    <t>17.7, F(1,82.9) = 22.9, p &lt; .001. Given these</t>
  </si>
  <si>
    <t>co-activation scores, b = 139.9, F(1,14.5) =</t>
  </si>
  <si>
    <t>303.4, F (1,82.9) = 6.4, p = .01), its interaction</t>
  </si>
  <si>
    <t>59.3, F (1,2567.1) = 0.6, p = .45), nor was</t>
  </si>
  <si>
    <t>3.6, F(1,82.7) = 1.8, p = .18). In sum,</t>
  </si>
  <si>
    <t>whereas the contrast comparing expected, the contrast comparing the experimental conditions to the control condition ¼ (M 3.30, ¼ was significant, t(501) ¼ 3.04,¼ p .002, ¼ SD 0.71) d 0.27,</t>
  </si>
  <si>
    <t>Mann–Whitney U565, NHarm5NControl516, p5.003, indicating</t>
  </si>
  <si>
    <t>elite cue .04 p = .52) and its interactions</t>
  </si>
  <si>
    <t>it (.18</t>
  </si>
  <si>
    <t>Ideology(-.08</t>
  </si>
  <si>
    <t>(low-risk -.10</t>
  </si>
  <si>
    <t>high-risk -.04</t>
  </si>
  <si>
    <t>dispute types (-.023</t>
  </si>
  <si>
    <t>asjudications (low-risk .07</t>
  </si>
  <si>
    <t>risk -.03</t>
  </si>
  <si>
    <t>adjucation .16</t>
  </si>
  <si>
    <t>adjucation .11</t>
  </si>
  <si>
    <t>satisfaction .17</t>
  </si>
  <si>
    <t>0.59, SE = 0.09, p</t>
  </si>
  <si>
    <t>these groups, b = 0.87, SE</t>
  </si>
  <si>
    <t>0.31, SE = 0.09, p</t>
  </si>
  <si>
    <t>toward these groups, b</t>
  </si>
  <si>
    <t>b0.06</t>
  </si>
  <si>
    <t>b0.22</t>
  </si>
  <si>
    <t>Wald X2(1)  5.74</t>
  </si>
  <si>
    <t>0.97</t>
  </si>
  <si>
    <t>-0.71</t>
  </si>
  <si>
    <t>0.19</t>
  </si>
  <si>
    <t>-0.27</t>
  </si>
  <si>
    <t>main effects for treatment \[F(1, 20) = 93.54, P &lt; 0.001\] and</t>
  </si>
  <si>
    <t>scale \[F(10, 200) = 18.98, P &lt; 0.001\] and</t>
  </si>
  <si>
    <t>significant interaction of treatment × scale \[F(10, 200) = 19.67, P &lt; 0.001\]. Simple main</t>
  </si>
  <si>
    <t>treatment \[t(20) = 2.71, P &lt; 0.01; Fig. 1A\]. Additional</t>
  </si>
  <si>
    <t>Psi condition (r = 0.53, P &lt; 0.02; Fig. 1C).</t>
  </si>
  <si>
    <t>concentration (r = 0.80, P &lt; 0.001, n = 19; Fig. 2B). Congruently</t>
  </si>
  <si>
    <t>in the dACC voxel (r = −0.56, P &lt; 0.02, n = 19). No significant</t>
  </si>
  <si>
    <t>The mean response times in the by-alternative (M = 8.44 s, SD = 3.87 s) and by-dimension (M = 8.26 s, SD = 3.93 s) conditions were not significantly different, t(353.39)=0.45, p = 0.65.1,2 4. Modeling</t>
  </si>
  <si>
    <t>A Wilcoxon rank-sum test, a non-parametric comparison of means, revealed this difference to be significant (W = 2773, p &lt; 0.0001). Fig. 3 illustrates</t>
  </si>
  <si>
    <t>the narrative condition (M ¼ 3.47, SD ¼ 0.67) to the expert interview condition, M ¼ 3.53, SD ¼ 0.72; t(501) ¼0.72, p ¼ .47, d ¼</t>
  </si>
  <si>
    <t>&lt; 1.97, p = 0.17, η2 = 0.02, and</t>
  </si>
  <si>
    <t>2 = 0.01. As expected</t>
  </si>
  <si>
    <t>attachment style, F(1,91) = 5.45, p = 0.02, η2 = 0.06. As shown</t>
  </si>
  <si>
    <t>non-verbal cues, t(51) = 2.58, p = 0.01. More specifically</t>
  </si>
  <si>
    <t>verbal cues, t(41) = −1.07, p = 0.29. Frontiers in Psychology |</t>
  </si>
  <si>
    <t>&lt; 1.8, p = 0.19, η2 = 0.02, and a</t>
  </si>
  <si>
    <t>&lt; 1, p = 0.95, η2 = 0.00. However,</t>
  </si>
  <si>
    <t>significant, F(1,89) = 8.29, p = 0.01, η2 = 0.09. As shown</t>
  </si>
  <si>
    <t>non-verbal cues, t(50) = 2.11, p = 0.04. More specifically</t>
  </si>
  <si>
    <t>difference between the two attachment styles primed by verbal cues, t(41) = −1.99, p = 0.06. Positive Affect</t>
  </si>
  <si>
    <t>2 = 0.00, and attach</t>
  </si>
  <si>
    <t>2 = 0.02. However, the interaction</t>
  </si>
  <si>
    <t>2 = 0.6. As shown</t>
  </si>
  <si>
    <t>greater positive affect than the insecure attachment group \[M = 22.62, SD = 7.56), t(51) = 2.80, p = 0.01\]. Conversely</t>
  </si>
  <si>
    <t>attachment styles, t(41) = −0.3, p = 0.77. In summary</t>
  </si>
  <si>
    <t>condition (β = 0.18, p = .009) but negatively</t>
  </si>
  <si>
    <t>unhealthy-advantage condition (β = −0.17, p = .021); psychopathy</t>
  </si>
  <si>
    <t>healthy-advantage condition (β = −0.02, p = .842) but negatively</t>
  </si>
  <si>
    <t>unhealthy-advantage condition (β = −0.20, p = .006); vulnerable</t>
  </si>
  <si>
    <t>advantage condition (β = 0.09, p = .215) but negatively</t>
  </si>
  <si>
    <t>(β = −0.29, p &lt; .001). 3.2.2. Mental-health self-ratings Mental-health self-ratings assessed</t>
  </si>
  <si>
    <t>zero \[honest assessment”\], t (297) = 11.00, p &lt; .001) and was</t>
  </si>
  <si>
    <t>from zero \[honest assessment”\],</t>
  </si>
  <si>
    <t>healthy-advantage condition (β = 0.23, p = .001) but was</t>
  </si>
  <si>
    <t>advantage condition (β = −0.07, p = .356); psycho</t>
  </si>
  <si>
    <t>healthyadvantage (β = 0.10, p = .189) and unhealthy-advantage</t>
  </si>
  <si>
    <t>condition (β = −0.12, p = .100); vulnerable</t>
  </si>
  <si>
    <t>condition (β = 0.12, p = .097) but negatively</t>
  </si>
  <si>
    <t>condition (M = −0.38; difference from zero \[honest assessment”\], t(297) = −3.07, p = .002) and increased</t>
  </si>
  <si>
    <t>condition (M = 0.85; difference from zero \[honest assessment”\], t(297) = 6.99, p &lt; .001). The moderation</t>
  </si>
  <si>
    <t>healthy-advantage condition (β = −0.21, p = .005) but</t>
  </si>
  <si>
    <t>advantage condition (β = 0.07, p = .383). 4. Discussion</t>
  </si>
  <si>
    <t>initial post-test (b = 0.5942, SE = 0.1890, z = 3.14, p =</t>
  </si>
  <si>
    <t>post-test (b = 0.5912, SE = 0.2056, z = 2.88, p = .004), but not</t>
  </si>
  <si>
    <t>pre-test (b = 0.0171, SE = 0.1050, z = 0.16, p =</t>
  </si>
  <si>
    <t>pre-test vs. initial post-test: b = 0.3267, SE = 0.0910, z = 3.59, p &lt;</t>
  </si>
  <si>
    <t>delayed post-test: b = 0.3438, SE = 0.0911, z = 3.77, p &lt;</t>
  </si>
  <si>
    <t>pre-test vs. initial post-test: b = 0.8765, SE = 0.0990, z = 8.85, p &lt;</t>
  </si>
  <si>
    <t>delayed post-test: b = 0.8978, SE = 0.0992, z = 9.05, p &lt;</t>
  </si>
  <si>
    <t>odds ratio \[OR\] ¼ 0.01; p50.05).</t>
  </si>
  <si>
    <t>RMMLR: OR ¼ 0.14; p ¼ 0.05). For sad</t>
  </si>
  <si>
    <t>RMMLR: OR ¼ 20.82; p ¼ 0.05). Lastly</t>
  </si>
  <si>
    <t>RMMLR: OR ¼ 0.06; p50.001)</t>
  </si>
  <si>
    <t>RMMLR: OR ¼ 0.02; p50.001)</t>
  </si>
  <si>
    <t>okay (RMANOVA: F\[1, 134\] ¼ 4.66; p50.05;</t>
  </si>
  <si>
    <t>OR ¼ 17.63; p50.001)</t>
  </si>
  <si>
    <t>RMANOVA: F \[1, 134\] ¼ 47.73; p50.01)</t>
  </si>
  <si>
    <t>responses (RMMLR: OR ¼ 0.04; p50.001) than</t>
  </si>
  <si>
    <t>Control condition (N 5 4, or 25%), v2(1, N 5 32) 5 1.25, p 5 .264. Our primary hypothesis</t>
  </si>
  <si>
    <t>Control condition (1 of 16, or 6%), v2(1, N 5 32) 5 9.31, p 5 .002, /</t>
  </si>
  <si>
    <t>This did not reveal a significant effect (/</t>
  </si>
  <si>
    <t>(Kendall’s tau 520.33, p 5 .030;</t>
  </si>
  <si>
    <t xml:space="preserve"> Kendall’stau520.38, p 5 .014,</t>
  </si>
  <si>
    <t>significant, Kendall’stau520.24, p 5 .150,</t>
  </si>
  <si>
    <t xml:space="preserve">significant, Kendall’stau520.36, p 5 .030. 4 </t>
  </si>
  <si>
    <t>trait type main effect, F(1, 95) = 59.60, p = .001, partial η2 = .39, indicated</t>
  </si>
  <si>
    <t>Story × Trait Type interaction, F(1, 95) = 5.50, p = .021, partial η2 = .06. We proceeded</t>
  </si>
  <si>
    <t>neutral story; M = 7.82, SD = 1.51), t(97) = 2.07, p = .041, partial η2 = .04. Moreove</t>
  </si>
  <si>
    <t>agentic traits, t(97) = .29, p = .77, partial η2 = .001. Participants</t>
  </si>
  <si>
    <t>Low-risk adjudicatio(.33, p&lt;.001) ¼ significant</t>
  </si>
  <si>
    <t>while high-risk adjudication significantly increased risk belief (b</t>
  </si>
  <si>
    <t>adjudications (lowrisk b</t>
  </si>
  <si>
    <t>risk .12</t>
  </si>
  <si>
    <t>risk belief (-.26</t>
  </si>
  <si>
    <t>Position 1 in the sequential lineup (pAUCseq1 = 0.05) yielded significantly lower discriminability than position 4 (pAUCseq4 = 0.10), D = −2.03, p = .043.</t>
  </si>
  <si>
    <t>When summed across positions, discriminability did not significantly differ between the simultaneous (pAUCsim = 0.24) and the sequential lineup (pAUCseq = 0.27), D = −1.47, p = .140.</t>
  </si>
  <si>
    <t>Consistent with Hypothesis 1, cluster-robust regressions revealed that the targets' Choice as Leader scores positively related to their actual leadership role (B=0.72, SE=0.27, p=.006; Table 4, Model 3a)</t>
  </si>
  <si>
    <t>and occupational status (B=1.80, SE=0.42, p &lt; .001; Table 4, Model 5a),</t>
  </si>
  <si>
    <t>leadership role: B=0.67, SE=0.27, p=.01, Model 3b;</t>
  </si>
  <si>
    <t>occupational status: B=1.62, SE=0.37, p &lt; .001, Model 5b).</t>
  </si>
  <si>
    <t>Leader also positively related to CSEs (B=0.17, SE=0.05, p=.001; Table 4, Model 1a), regardless</t>
  </si>
  <si>
    <t>Coach dummy variable was included (B=0.16, SE=0.05, p=.002; Table 4, Model 1b), supporting</t>
  </si>
  <si>
    <t>related to leadership role (B=4.61, SE=2.01, p=.02) and</t>
  </si>
  <si>
    <t>occupational status (B=10.57, SE=4.35, p=.02), regardless of whether the Professional Coach dummy</t>
  </si>
  <si>
    <t>variable was included (leadership role B=4.60, SE=2.05, p=.03; occupational</t>
  </si>
  <si>
    <t>status B=10.21, SE=4.26, p=.02). Cluster-robust mediation analyses</t>
  </si>
  <si>
    <t>leadership role (indirect effect=0.74, SE=0.18, 95% CI [0.39, 1.10]; Table 4, Models 2a, 4a) and</t>
  </si>
  <si>
    <t>ccupational status (indirect effect= 1.71, SE=0.32, 95% CI [1.08, 2.33]; Table 4, Models 2a, 6a)</t>
  </si>
  <si>
    <t>leadership role indirect effect=0.69, SE=0.19, 95% CI [0.33, 1.06]; Table 4, Models</t>
  </si>
  <si>
    <t>occupational status indirect effect=1.54, SE=0.29, 95% CI [0.97, 2.10]; Table 4, Models</t>
  </si>
  <si>
    <t>CSEs with leadership role (Ψ=−0.67, SE=0.31, p=.03) and with</t>
  </si>
  <si>
    <t>occupational status (Ψ=−1.47, SE=0.66, p=.03) were significant</t>
  </si>
  <si>
    <t>Overidentification tests indicated that the mediation models fit the data well [χ2(2)=0.18, p=.92; with</t>
  </si>
  <si>
    <t>Professional Coach dummy: χ2(2)=0.17; p=.92]. The modification</t>
  </si>
  <si>
    <t>for irrelevant stimuli (MO1 442 ms, SDO1 40; MO2 440 ms, SDO2 38; Mcollapsed 441 ms, Sdcollapsed 38), t(79)= 2.63, p = .010, d = 0.29 (object 1)</t>
  </si>
  <si>
    <t>t(79) = 3.50, p = .001, d = 0.39 (object 2)</t>
  </si>
  <si>
    <t>The overall model was significant (R 2 = .111, adjusted R2 = .103, F(4, 426) = 13.278, p &lt; .0001), with</t>
  </si>
  <si>
    <t>global sociosexuality score (r = − .151, p &lt; .001). A</t>
  </si>
  <si>
    <t>sociosexual attitude orientation (r = − .125, p &lt; .009) an</t>
  </si>
  <si>
    <t>desired orientation (r = .132, p &lt; .005), as well as a significant, positive, linear relationship</t>
  </si>
  <si>
    <t>relational identity and the behavior orientation (r = .098, p &lt; .039).</t>
  </si>
  <si>
    <t>aspects of identity (F (6, 424) = 5.849, p &lt; .0001). An examination</t>
  </si>
  <si>
    <t>identity (F (6, 435) = 3.705 p &lt; .001) and collective</t>
  </si>
  <si>
    <t>identity (F (6, 437) = 8.306, p &lt; .0001) and emerging adults</t>
  </si>
  <si>
    <t>toward CNM(F(6, 436) = 108.429, p &lt; .0001). Post hoc</t>
  </si>
  <si>
    <t>global sociosexuality (F (6, 424) = 19.628, p &lt; .0001). An examination</t>
  </si>
  <si>
    <t>attitudes (F (6,435) = 5.673 p &lt; .0001),</t>
  </si>
  <si>
    <t>behaviors (F (6, 437) = 9.736, p &lt; .0001), an</t>
  </si>
  <si>
    <t>desire (F (6, 437) = 10.367, p &lt; .0001) and</t>
  </si>
  <si>
    <t>overall sociosexual score r = .486, p &lt; .01).</t>
  </si>
  <si>
    <t>was only 3.88 (SD = 2.11), t(182) = 11.14, SE = 0.15, p &lt; .001, d = 0.82. The correlation</t>
  </si>
  <si>
    <t>modest, r(183) = −.379, p &lt; .001, such that actual</t>
  </si>
  <si>
    <t>CRT score (see Fig. 1), F(3, 179) = 56.24, MSE = 1.13, p &lt; .001, ƞ2 = .49. As is evident</t>
  </si>
  <si>
    <t>by a factor of 1.1, t(29) = 3.21, p = .003, d = 0.59. This was not driven</t>
  </si>
  <si>
    <t>true score of 7, t(21) = 2.98, p = .007, d = 0.64. Importantly</t>
  </si>
  <si>
    <t>overestimated their performance, t(37) = 4.35, p &lt; .001, d = 0.71, indicating</t>
  </si>
  <si>
    <t>NC, r(183) = .307, p &lt; .001, than was actual</t>
  </si>
  <si>
    <t>CRT performance, r(183) = .246, p = .001. This</t>
  </si>
  <si>
    <t>performance, r(183) = .352, p &lt; .001, but was</t>
  </si>
  <si>
    <t>CRT performance, r(183) = .242, p = .001. However</t>
  </si>
  <si>
    <t>aWilliams test, t(180) = 1.42, p = .159. The correlation</t>
  </si>
  <si>
    <t>performance, r(183) = .229, p = .002, was more</t>
  </si>
  <si>
    <t>performance, r(183) = .216, p = .003. Thus</t>
  </si>
  <si>
    <t xml:space="preserve">either NC-A, r(183) = −.012, p = .871, or </t>
  </si>
  <si>
    <t>NCE, r(183) = .051, p = .491. This</t>
  </si>
  <si>
    <t>reward, F(199)=82.32, p &lt; .001, ηp2=.45, and</t>
  </si>
  <si>
    <t>prediction, F(199)=34.97, p &lt; .001, ηp2=.26, which were qualified</t>
  </si>
  <si>
    <t>2-way interaction, F(199)=36.85, p &lt; .001, ηp2=.27. The pattern</t>
  </si>
  <si>
    <t>trial types, F(199)=89.42, p &lt; .001, ηp 2=.48, with</t>
  </si>
  <si>
    <t>smaller, F(199)=13.46, p &lt; .001, ηp2=.12, though</t>
  </si>
  <si>
    <t>Reward Positivity, F(198)=94.80, p &lt; .001, ηp2=.49, no main</t>
  </si>
  <si>
    <t>extraversion, F(198)=1.12, p= .29, ηp2=.01, and a significant</t>
  </si>
  <si>
    <t>factors, F(198)=6.95, p= .005, ηp2=.07.</t>
  </si>
  <si>
    <t>extraversion, β=0.23, p=.015. We</t>
  </si>
  <si>
    <t>extraversion, β = 0.22, p=.02</t>
  </si>
  <si>
    <t>Reward Positivity, F(198)=93.02, p &lt; .001, ηp2=.49, and no main</t>
  </si>
  <si>
    <t>significance, F(197)=2.40, p= .12, ηp2=.02, and corresponds</t>
  </si>
  <si>
    <t>extraversion, r=.16, p= .12. The interaction</t>
  </si>
  <si>
    <t>significance, F(197)=1.47, p=.23,ηp2=.02, and</t>
  </si>
  <si>
    <t>extraversion, r=.12, p=.23. Exploration</t>
  </si>
  <si>
    <t>only one df for F</t>
  </si>
  <si>
    <t>ErrorSmall</t>
  </si>
  <si>
    <t>ErrorLarge</t>
  </si>
  <si>
    <t>p = .30; Transitions: r(22) = .14, p = .50</t>
  </si>
  <si>
    <t>Informativeness Score: r(22) = .29, p = .17</t>
  </si>
  <si>
    <t xml:space="preserve"> &lt;,001</t>
  </si>
  <si>
    <t>&lt; ,001</t>
  </si>
  <si>
    <t xml:space="preserve">	0,06099</t>
  </si>
  <si>
    <t xml:space="preserve"> &lt; ,001</t>
  </si>
  <si>
    <t xml:space="preserve"> &lt; ,01</t>
  </si>
  <si>
    <t>&gt;0,25</t>
  </si>
  <si>
    <t>&lt; ,002</t>
  </si>
  <si>
    <t xml:space="preserve"> n,s</t>
  </si>
  <si>
    <t xml:space="preserve"> &lt; 0,01</t>
  </si>
  <si>
    <t xml:space="preserve"> &lt; ,05</t>
  </si>
  <si>
    <t>&lt; ,05</t>
  </si>
  <si>
    <t>&lt; 0,05</t>
  </si>
  <si>
    <t xml:space="preserve"> &lt; 0,05</t>
  </si>
  <si>
    <t>&lt; ,026</t>
  </si>
  <si>
    <t>&lt; ,007</t>
  </si>
  <si>
    <t>&lt; ,0005</t>
  </si>
  <si>
    <t xml:space="preserve"> &lt; ,0005</t>
  </si>
  <si>
    <t>&lt;,05</t>
  </si>
  <si>
    <t>&lt;,01</t>
  </si>
  <si>
    <t xml:space="preserve"> &lt; ,0001</t>
  </si>
  <si>
    <t>&lt; ,0001</t>
  </si>
  <si>
    <t xml:space="preserve"> &gt; ,05</t>
  </si>
  <si>
    <t xml:space="preserve">	0,03897</t>
  </si>
  <si>
    <t>&lt; ,003</t>
  </si>
  <si>
    <t xml:space="preserve">  &lt;,001</t>
  </si>
  <si>
    <t>&gt; ,001</t>
  </si>
  <si>
    <t>&gt;,42</t>
  </si>
  <si>
    <t>&lt;,0001</t>
  </si>
  <si>
    <t>&lt;,009</t>
  </si>
  <si>
    <t>&lt;,005</t>
  </si>
  <si>
    <t>&lt;,039</t>
  </si>
  <si>
    <t>&lt; 0,0001</t>
  </si>
  <si>
    <t xml:space="preserve"> &lt; 0,0001</t>
  </si>
  <si>
    <t>&gt; 0,05</t>
  </si>
  <si>
    <t>&lt; 0,02</t>
  </si>
  <si>
    <t xml:space="preserve"> &lt; 0,005</t>
  </si>
  <si>
    <t>&gt; ,05</t>
  </si>
  <si>
    <t xml:space="preserve"> &lt;,01</t>
  </si>
  <si>
    <t>&lt; 0,002</t>
  </si>
  <si>
    <t xml:space="preserve">	0,21900</t>
  </si>
  <si>
    <t>&lt;,02</t>
  </si>
  <si>
    <t>&lt; ,016</t>
  </si>
  <si>
    <t>NA</t>
  </si>
  <si>
    <t>df is missing</t>
  </si>
  <si>
    <t>r</t>
  </si>
  <si>
    <t>Correction</t>
  </si>
  <si>
    <t>the mean of r should not be encoded I think</t>
  </si>
  <si>
    <t>v2 (1) = 5.74, p = .017</t>
  </si>
  <si>
    <t>one-sided</t>
  </si>
  <si>
    <t>Welch</t>
  </si>
  <si>
    <t>no statistcheck result for this one</t>
  </si>
  <si>
    <t>&lt;0,0000000000000001</t>
  </si>
  <si>
    <t>&lt;0,000000001</t>
  </si>
  <si>
    <t>&lt;0,0000000001</t>
  </si>
  <si>
    <t>Steiger's Z</t>
  </si>
  <si>
    <t>two t test the second one is entered</t>
  </si>
  <si>
    <t>,0,001</t>
  </si>
  <si>
    <t>n,s</t>
  </si>
  <si>
    <t>p2</t>
  </si>
  <si>
    <t>be moderated by activation. Results revealed that the correlation between creative personality and unethical behavior was marginally significant (r =.18,p &lt; .10); an effect that was qualified by the</t>
  </si>
  <si>
    <t>&lt;,10</t>
  </si>
  <si>
    <t>Day 1: β = 19.06, SE = 5.77, p &lt; .001</t>
  </si>
  <si>
    <t>&lt; .001</t>
  </si>
  <si>
    <t>Day 2: β = 14.40, SE = 6.28, p &lt; .05</t>
  </si>
  <si>
    <t>&lt; .05</t>
  </si>
  <si>
    <t>Day 1: β = – 0.45, SE = 0.45, p = .32</t>
  </si>
  <si>
    <t>Day 2: β = – 0.16, SE = 0.38, p = .67</t>
  </si>
  <si>
    <t>Context on Day 1 did not predict reading times (β = 4.73, SE = 5.12, p = .36),</t>
  </si>
  <si>
    <t>unsurprisingly, there was no evidence of an Ambiguity × Trial Order × Context interaction on Day 2 (β = 0.24, SE = 0.38, p = .67).</t>
  </si>
  <si>
    <t>on Day 2 than on Day 1 (i.e., a Day × Trial Order interaction; β = 1.18, SE = 0.23, p &lt; .001)</t>
  </si>
  <si>
    <t xml:space="preserve">the Ambiguity × Day interaction was not significant (β = 2.55, SE = 4.03, p = .53). </t>
  </si>
  <si>
    <t>There is a clear difference between the four conditions, BF10 = 1.62×1032, Greenhouse-Geisser corrected F(1.83, 71.54) = 114.9, p &lt; .001, ηp2 = .747.</t>
  </si>
  <si>
    <t>Follow-up tests show that the eyes moving condition differed from all other conditions, BFs10 &gt; 6.99×109, ts(39) &gt; 10.60, ps &lt; .001, ds &gt; 1.68.</t>
  </si>
  <si>
    <t>Moreover, eyes fixed did not differ from the eyes unfocused condition, BF01 = 11.19, t(39) = 0.71, p = 1.00, d = 0.11</t>
  </si>
  <si>
    <t>but did differ from eyes closed, BF10 = 62.07, t(39) = 4.16, p = .001, d = 0.66</t>
  </si>
  <si>
    <t>Eyes unfocused and eyes closed also differed, BF10 = 8.08, t(39) = 3.38, p = .01, d = 0.54</t>
  </si>
  <si>
    <t>A chi-square test showed that the hypothesized two-factor solution fits the data better than a model assuming that all four measures are loading on a single latent construct (χ2(1) = 66.1, p &lt; .001)</t>
  </si>
  <si>
    <t>The correlation between the valence and naturalness index was low and not statistically different from zero (r = .15, p = .35).</t>
  </si>
  <si>
    <t>The first ANOVA revealed significant differences in presence–absence focus between clusters (F(3,33) = 159.13, p &lt; .001).</t>
  </si>
  <si>
    <t>to have a higher score than for the two absence-focused clusters (“not adding negatives” and “removing negatives”) (M = 1.86 vs. M = −.52; F(1, 33) = 324.7, p &lt; .001).</t>
  </si>
  <si>
    <t xml:space="preserve">science-based clusters (M = .29 vs. M = .74; t(35) = 1.07, p = .29). </t>
  </si>
  <si>
    <t xml:space="preserve">A second ANOVA revealed significant differences in the nature–science dimension across the four clusters (F(3, 33) = 93.6, p &lt; .001). </t>
  </si>
  <si>
    <t>were perceived to be more natural than for the two science-based clusters (“removing negatives” and “adding positives”) (M = 1.14 vs. M = −.34; F(1, 33) = 239.0, p &lt; .001).</t>
  </si>
  <si>
    <t>two presence-focused clusters and the two absence-focused clusters (M = .54 vs. M = .31; t(35) = .76, p = .45).</t>
  </si>
  <si>
    <t>First, participants indeed moralized self-control at least somewhat, with the mean response significantly greater than the 0-point of the response scale (M 4.99, SD  1.82; t(1381)  101.92, p _x0004_ .001, d  5.49).</t>
  </si>
  <si>
    <t>Purity/degradation, r  .39, p _x0004_ .001, Loyalty/betrayal, r  .29, p _x0004_ .001</t>
  </si>
  <si>
    <t>Authority/subversion, r .37, p _x0004_ .001</t>
  </si>
  <si>
    <t>&lt;.001</t>
  </si>
  <si>
    <t>However, Care/harm, r  .03, p  .36</t>
  </si>
  <si>
    <t>Fairness/cheating, r  .01, p  .98 did not</t>
  </si>
  <si>
    <t>Purity/degradation (  .26, t(1380)  7.79, p _x0004_ .001, rsp  .21</t>
  </si>
  <si>
    <t>Authority/subversion (  .19, t(1380)  4.86, p _x0004_ .001, rsp  .13)</t>
  </si>
  <si>
    <t>d Loyalty/betrayal (  .05, t(1380) 1.77, p  .078, rsp  .05)</t>
  </si>
  <si>
    <t>Fairness/reciprocity (.02, t(1380)  0.66, p  .51, rsp  .02)</t>
  </si>
  <si>
    <t>Care/harm (_x0005_.03,t(1380)  _x0005_1.14, p  .25, rsp  .03)</t>
  </si>
  <si>
    <t>Self-control moralization was significantly predicted by the binding foundations (  .40, t(1380)  16.34, p _x0004_ .001, rsp  .40)</t>
  </si>
  <si>
    <t>individualizing foundations (  .01, t(1380)  0.55, p  .58,rsp  .02).</t>
  </si>
  <si>
    <t>participants not reminded of money (M = 2.171, SD = 1.581), F(1, 67) = 6.411, p = .014, η2 = 0.087.</t>
  </si>
  <si>
    <t>he analyses revealed a significant total effect of money priming on DTA, b = −0.79, se = 0.325, t = −2.430, p = .018</t>
  </si>
  <si>
    <t>number of money-related words, b = 1.375, se = 0.408, t = 3.367, p = .001.</t>
  </si>
  <si>
    <t>he number of money-related words and death-related words were also significantly related, b = −0.201, se = 0.095, t = −2.105, p = .039</t>
  </si>
  <si>
    <t>was no longer significant, b = −0.513, se = 0.343, t = −1.496, p = .139.</t>
  </si>
  <si>
    <t>There was a significant main effect of outcome probability [F(1,23) = 127.87, MSE = 3.217, p = 0.000].</t>
  </si>
  <si>
    <t xml:space="preserve">found significant [F(1,23) = 12.795, MSE = 0.200, p = 0.002]. </t>
  </si>
  <si>
    <t>with significant difference [t(23) = 6.62, p = 0.000].</t>
  </si>
  <si>
    <t>significant difference [t(23) = 11.164, p = 0.000]</t>
  </si>
  <si>
    <t>significant difference [t(23) = −2.86, p = 0.009].</t>
  </si>
  <si>
    <t>small probability loss [t(23) = −0.14, p = 0.89].</t>
  </si>
  <si>
    <t>compositions, F(103) = 4.18, p = 0.043, η2p = 0.04. Planned</t>
  </si>
  <si>
    <t>F(103) = 3.10, p = 0.081, η2p = 0.03, d = 0.37, although the effect</t>
  </si>
  <si>
    <t>However, controlling for withinperson mixed emotions reduced the significance level of the contrast between mixed-emotions (vs. same-emotion) on joint gains, p = 0.047, η2p = 0.04, d = 0.42</t>
  </si>
  <si>
    <t>threshold), t(32) = 4.07, p &lt; 0.001, 95% CI[461.92, 1,386.57]. N</t>
  </si>
  <si>
    <t>t(32) = 4.07, p &lt; 0.001, 95% CI[461.92, 1,386.57]. Neither angry dyads’ joint gains, t(34) = 1.32, p = 0.197, nor happy dyads</t>
  </si>
  <si>
    <t>gains exceeded this level, t(36) = −0.08, p = 0.935. Results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</si>
</sst>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 x14ac:knownFonts="1">
    <font>
      <sz val="11"/>
      <color theme="1"/>
      <name val="Calibri"/>
      <family val="2"/>
      <scheme val="minor"/>
    </font>
    <font>
      <b/>
      <sz val="11"/>
      <color theme="1"/>
      <name val="Calibri"/>
      <family val="2"/>
      <scheme val="minor"/>
    </font>
    <font>
      <sz val="8"/>
      <name val="Calibri"/>
      <family val="2"/>
      <scheme val="minor"/>
    </font>
    <font>
      <sz val="11"/>
      <name val="Calibri"/>
      <family val="2"/>
      <scheme val="minor"/>
    </font>
    <font>
      <sz val="11"/>
      <color rgb="FF33333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0" fontId="0" fillId="0" borderId="0" xfId="0" applyAlignment="1">
      <alignment horizontal="right"/>
    </xf>
    <xf numFmtId="3" fontId="0" fillId="0" borderId="0" xfId="0" applyNumberFormat="1"/>
    <xf numFmtId="0" fontId="0" fillId="0" borderId="0" xfId="0" applyAlignment="1"/>
    <xf numFmtId="0" fontId="0" fillId="0" borderId="0" xfId="0" applyAlignment="1">
      <alignment wrapText="1"/>
    </xf>
    <xf numFmtId="3" fontId="0" fillId="0" borderId="0" xfId="0" applyNumberFormat="1" applyAlignment="1">
      <alignment horizontal="right"/>
    </xf>
    <xf numFmtId="11" fontId="0" fillId="0" borderId="0" xfId="0" applyNumberFormat="1" applyAlignment="1">
      <alignment horizontal="right"/>
    </xf>
    <xf numFmtId="0" fontId="0" fillId="0" borderId="0" xfId="0" applyFont="1"/>
    <xf numFmtId="0" fontId="0" fillId="0" borderId="0" xfId="0" applyFont="1" applyAlignment="1">
      <alignment horizontal="right"/>
    </xf>
    <xf numFmtId="0" fontId="1" fillId="0" borderId="0" xfId="0" applyFont="1" applyAlignment="1">
      <alignment horizontal="right"/>
    </xf>
    <xf numFmtId="0" fontId="0" fillId="0" borderId="0" xfId="0" applyFill="1" applyAlignment="1"/>
    <xf numFmtId="0" fontId="0" fillId="0" borderId="0" xfId="0" applyFill="1"/>
    <xf numFmtId="0" fontId="0" fillId="0" borderId="0" xfId="0" applyFill="1" applyAlignment="1">
      <alignment horizontal="right"/>
    </xf>
    <xf numFmtId="0" fontId="3" fillId="0" borderId="0" xfId="0" applyFont="1" applyAlignment="1">
      <alignment vertical="center"/>
    </xf>
    <xf numFmtId="0" fontId="4" fillId="0" borderId="0" xfId="0" applyFont="1" applyAlignment="1">
      <alignment horizontal="right"/>
    </xf>
    <xf numFmtId="164" fontId="1" fillId="0" borderId="0" xfId="0" applyNumberFormat="1" applyFont="1" applyAlignment="1">
      <alignment horizontal="right"/>
    </xf>
    <xf numFmtId="164" fontId="0" fillId="0" borderId="0" xfId="0" applyNumberFormat="1" applyAlignment="1">
      <alignment horizontal="right"/>
    </xf>
    <xf numFmtId="164" fontId="4"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ill="1" applyAlignment="1">
      <alignment horizontal="right"/>
    </xf>
    <xf numFmtId="0" fontId="1" fillId="0" borderId="0" xfId="0" applyFont="1" applyFill="1"/>
    <xf numFmtId="0" fontId="0"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C0290-44D6-4C2B-9301-283B1052AE57}">
  <dimension ref="A1:P2366"/>
  <sheetViews>
    <sheetView tabSelected="1" zoomScale="85" zoomScaleNormal="85" workbookViewId="0">
      <pane xSplit="2" ySplit="1" topLeftCell="C581" activePane="bottomRight" state="frozen"/>
      <selection pane="topRight" activeCell="C1" sqref="C1"/>
      <selection pane="bottomLeft" activeCell="A2" sqref="A2"/>
      <selection pane="bottomRight" activeCell="N604" sqref="N604"/>
    </sheetView>
  </sheetViews>
  <sheetFormatPr defaultRowHeight="15" x14ac:dyDescent="0.25"/>
  <cols>
    <col min="1" max="1" width="57.85546875" style="12" customWidth="1"/>
    <col min="2" max="2" width="41.85546875" customWidth="1"/>
    <col min="3" max="3" width="9.42578125" bestFit="1" customWidth="1"/>
    <col min="4" max="4" width="7.7109375" bestFit="1" customWidth="1"/>
    <col min="11" max="11" width="9.140625" style="2"/>
    <col min="12" max="12" width="9.140625" style="17"/>
    <col min="13" max="13" width="9.140625" style="2" customWidth="1"/>
    <col min="14" max="14" width="9.140625" style="2"/>
    <col min="16" max="16" width="9.140625" style="2"/>
  </cols>
  <sheetData>
    <row r="1" spans="1:16" x14ac:dyDescent="0.25">
      <c r="A1" s="21" t="s">
        <v>0</v>
      </c>
      <c r="B1" s="1" t="s">
        <v>1</v>
      </c>
      <c r="C1" s="1" t="s">
        <v>2</v>
      </c>
      <c r="D1" s="1" t="s">
        <v>3</v>
      </c>
      <c r="E1" s="1" t="s">
        <v>4</v>
      </c>
      <c r="F1" s="1" t="s">
        <v>5</v>
      </c>
      <c r="G1" s="1" t="s">
        <v>6</v>
      </c>
      <c r="H1" s="1" t="s">
        <v>7</v>
      </c>
      <c r="I1" s="1" t="s">
        <v>8</v>
      </c>
      <c r="J1" s="1" t="s">
        <v>9</v>
      </c>
      <c r="K1" s="10" t="s">
        <v>10</v>
      </c>
      <c r="L1" s="16" t="s">
        <v>2574</v>
      </c>
      <c r="M1" s="10" t="s">
        <v>2512</v>
      </c>
      <c r="N1" s="10" t="s">
        <v>2513</v>
      </c>
      <c r="O1" s="1" t="s">
        <v>11</v>
      </c>
      <c r="P1" s="10" t="s">
        <v>2561</v>
      </c>
    </row>
    <row r="2" spans="1:16" x14ac:dyDescent="0.25">
      <c r="A2" s="12" t="s">
        <v>22</v>
      </c>
      <c r="C2">
        <v>3</v>
      </c>
      <c r="D2">
        <v>1</v>
      </c>
      <c r="F2">
        <v>1.49</v>
      </c>
      <c r="H2">
        <v>30</v>
      </c>
      <c r="J2">
        <f t="shared" ref="J2:J33" si="0">IF(NOT(ISBLANK(F2)),SQRT((F2^2*1/H2)/(F2^2*1/H2+1)),IF(NOT(ISBLANK(G2)),SQRT((G2*H2/I2)/(G2*H2/I2+1)*SQRT(1/H2))))</f>
        <v>0.26249608253295498</v>
      </c>
      <c r="K2" s="2">
        <v>0.14299999999999999</v>
      </c>
      <c r="L2" s="17">
        <v>0.14299999999999999</v>
      </c>
      <c r="M2" s="2" t="s">
        <v>2558</v>
      </c>
      <c r="N2" s="2" t="s">
        <v>2558</v>
      </c>
      <c r="O2" t="s">
        <v>2135</v>
      </c>
    </row>
    <row r="3" spans="1:16" x14ac:dyDescent="0.25">
      <c r="A3" s="12" t="s">
        <v>23</v>
      </c>
      <c r="C3">
        <v>3</v>
      </c>
      <c r="D3">
        <v>1</v>
      </c>
      <c r="G3">
        <v>5.12</v>
      </c>
      <c r="H3">
        <v>1</v>
      </c>
      <c r="I3">
        <v>31</v>
      </c>
      <c r="J3">
        <f t="shared" si="0"/>
        <v>0.37649664426800938</v>
      </c>
      <c r="K3" s="2">
        <v>3.1E-2</v>
      </c>
      <c r="L3" s="17">
        <v>3.1E-2</v>
      </c>
      <c r="M3" s="2" t="s">
        <v>2558</v>
      </c>
      <c r="N3" s="2" t="s">
        <v>2558</v>
      </c>
    </row>
    <row r="4" spans="1:16" x14ac:dyDescent="0.25">
      <c r="A4" s="12" t="s">
        <v>24</v>
      </c>
      <c r="C4">
        <v>3</v>
      </c>
      <c r="D4">
        <v>1</v>
      </c>
      <c r="F4">
        <v>0.44</v>
      </c>
      <c r="H4">
        <v>31</v>
      </c>
      <c r="J4">
        <f t="shared" si="0"/>
        <v>7.8780716632243605E-2</v>
      </c>
      <c r="K4" s="2">
        <v>0.66200000000000003</v>
      </c>
      <c r="L4" s="17">
        <v>0.66200000000000003</v>
      </c>
      <c r="M4" s="2" t="s">
        <v>2558</v>
      </c>
      <c r="N4" s="2" t="s">
        <v>2558</v>
      </c>
    </row>
    <row r="5" spans="1:16" x14ac:dyDescent="0.25">
      <c r="A5" s="12" t="s">
        <v>25</v>
      </c>
      <c r="C5">
        <v>3</v>
      </c>
      <c r="D5">
        <v>1</v>
      </c>
      <c r="F5">
        <v>2.2400000000000002</v>
      </c>
      <c r="H5">
        <v>31</v>
      </c>
      <c r="J5">
        <f t="shared" si="0"/>
        <v>0.37324210752217579</v>
      </c>
      <c r="K5" s="2">
        <v>3.3000000000000002E-2</v>
      </c>
      <c r="L5" s="17">
        <v>3.3000000000000002E-2</v>
      </c>
      <c r="M5" s="2" t="s">
        <v>2558</v>
      </c>
      <c r="N5" s="2" t="s">
        <v>2558</v>
      </c>
    </row>
    <row r="6" spans="1:16" x14ac:dyDescent="0.25">
      <c r="A6" s="12" t="s">
        <v>26</v>
      </c>
      <c r="C6">
        <v>4</v>
      </c>
      <c r="D6">
        <v>1</v>
      </c>
      <c r="G6">
        <v>3.01</v>
      </c>
      <c r="H6">
        <v>4</v>
      </c>
      <c r="I6">
        <v>201</v>
      </c>
      <c r="J6">
        <f t="shared" si="0"/>
        <v>0.16809998276556409</v>
      </c>
      <c r="K6" s="2">
        <v>1.9E-2</v>
      </c>
      <c r="L6" s="17">
        <v>1.9E-2</v>
      </c>
      <c r="M6" s="2">
        <v>0</v>
      </c>
      <c r="N6" s="2">
        <v>0</v>
      </c>
    </row>
    <row r="7" spans="1:16" x14ac:dyDescent="0.25">
      <c r="A7" s="12" t="s">
        <v>27</v>
      </c>
      <c r="C7">
        <v>4</v>
      </c>
      <c r="D7">
        <v>1</v>
      </c>
      <c r="G7">
        <v>5.13</v>
      </c>
      <c r="H7">
        <v>1</v>
      </c>
      <c r="I7">
        <v>204</v>
      </c>
      <c r="J7">
        <f t="shared" si="0"/>
        <v>0.15662118799343566</v>
      </c>
      <c r="K7" s="2">
        <v>2.5000000000000001E-2</v>
      </c>
      <c r="L7" s="17">
        <v>2.5000000000000001E-2</v>
      </c>
      <c r="M7" s="2">
        <v>0</v>
      </c>
      <c r="N7" s="2">
        <v>0</v>
      </c>
    </row>
    <row r="8" spans="1:16" x14ac:dyDescent="0.25">
      <c r="A8" s="12" t="s">
        <v>28</v>
      </c>
      <c r="C8">
        <v>4</v>
      </c>
      <c r="D8">
        <v>1</v>
      </c>
      <c r="G8">
        <v>7.59</v>
      </c>
      <c r="H8">
        <v>1</v>
      </c>
      <c r="I8">
        <v>204</v>
      </c>
      <c r="J8">
        <f t="shared" si="0"/>
        <v>0.18939709727591741</v>
      </c>
      <c r="K8" s="2">
        <v>6.0000000000000001E-3</v>
      </c>
      <c r="L8" s="17">
        <v>6.0000000000000001E-3</v>
      </c>
      <c r="M8" s="2">
        <v>0</v>
      </c>
      <c r="N8" s="2">
        <v>0</v>
      </c>
    </row>
    <row r="9" spans="1:16" x14ac:dyDescent="0.25">
      <c r="A9" s="12" t="s">
        <v>29</v>
      </c>
      <c r="C9">
        <v>4</v>
      </c>
      <c r="D9">
        <v>1</v>
      </c>
      <c r="G9">
        <v>0.06</v>
      </c>
      <c r="H9">
        <v>1</v>
      </c>
      <c r="I9">
        <v>204</v>
      </c>
      <c r="J9">
        <f t="shared" si="0"/>
        <v>1.7147337032429676E-2</v>
      </c>
      <c r="K9" s="2">
        <v>0.80500000000000005</v>
      </c>
      <c r="L9" s="17">
        <v>0.80500000000000005</v>
      </c>
      <c r="M9" s="2">
        <v>0</v>
      </c>
      <c r="N9" s="2">
        <v>0</v>
      </c>
    </row>
    <row r="10" spans="1:16" x14ac:dyDescent="0.25">
      <c r="A10" s="12" t="s">
        <v>30</v>
      </c>
      <c r="C10">
        <v>5</v>
      </c>
      <c r="D10">
        <v>1</v>
      </c>
      <c r="F10">
        <v>2.0299999999999998</v>
      </c>
      <c r="H10">
        <v>217</v>
      </c>
      <c r="J10">
        <f t="shared" si="0"/>
        <v>0.13651524135311258</v>
      </c>
      <c r="K10" s="2">
        <v>0.04</v>
      </c>
      <c r="L10" s="17">
        <v>0.04</v>
      </c>
      <c r="M10" s="2">
        <v>0</v>
      </c>
      <c r="N10" s="2">
        <v>0</v>
      </c>
    </row>
    <row r="11" spans="1:16" x14ac:dyDescent="0.25">
      <c r="A11" s="12" t="s">
        <v>31</v>
      </c>
      <c r="C11">
        <v>5</v>
      </c>
      <c r="D11">
        <v>1</v>
      </c>
      <c r="F11">
        <v>4.1100000000000003</v>
      </c>
      <c r="H11">
        <v>217</v>
      </c>
      <c r="J11">
        <f t="shared" si="0"/>
        <v>0.26874107203070396</v>
      </c>
      <c r="K11" s="2" t="s">
        <v>2174</v>
      </c>
      <c r="L11" s="17">
        <v>1E-3</v>
      </c>
      <c r="M11" s="2">
        <v>0</v>
      </c>
      <c r="N11" s="2">
        <v>0</v>
      </c>
    </row>
    <row r="12" spans="1:16" x14ac:dyDescent="0.25">
      <c r="A12" s="12" t="s">
        <v>32</v>
      </c>
      <c r="C12">
        <v>5</v>
      </c>
      <c r="D12">
        <v>1</v>
      </c>
      <c r="F12">
        <v>2.54</v>
      </c>
      <c r="H12">
        <v>217</v>
      </c>
      <c r="J12">
        <f t="shared" si="0"/>
        <v>0.16991901515720631</v>
      </c>
      <c r="K12" s="2">
        <v>0.01</v>
      </c>
      <c r="L12" s="17">
        <v>0.01</v>
      </c>
      <c r="M12" s="2">
        <v>0</v>
      </c>
      <c r="N12" s="2">
        <v>0</v>
      </c>
    </row>
    <row r="13" spans="1:16" x14ac:dyDescent="0.25">
      <c r="A13" s="12" t="s">
        <v>33</v>
      </c>
      <c r="C13">
        <v>5</v>
      </c>
      <c r="D13">
        <v>1</v>
      </c>
      <c r="F13">
        <v>-0.35</v>
      </c>
      <c r="H13">
        <v>217</v>
      </c>
      <c r="J13">
        <f t="shared" si="0"/>
        <v>2.3752844679531596E-2</v>
      </c>
      <c r="K13" s="2">
        <v>0.73</v>
      </c>
      <c r="L13" s="17">
        <v>0.73</v>
      </c>
      <c r="M13" s="2">
        <v>0</v>
      </c>
      <c r="N13" s="2">
        <v>0</v>
      </c>
    </row>
    <row r="14" spans="1:16" x14ac:dyDescent="0.25">
      <c r="A14" s="12" t="s">
        <v>2347</v>
      </c>
      <c r="C14">
        <v>7</v>
      </c>
      <c r="D14">
        <v>1</v>
      </c>
      <c r="F14">
        <v>3.04</v>
      </c>
      <c r="H14">
        <v>501</v>
      </c>
      <c r="J14">
        <f t="shared" si="0"/>
        <v>0.13458158901186756</v>
      </c>
      <c r="K14" s="2">
        <v>2E-3</v>
      </c>
      <c r="L14" s="17">
        <v>2E-3</v>
      </c>
      <c r="M14" s="2">
        <v>0</v>
      </c>
      <c r="N14" s="2">
        <v>0</v>
      </c>
    </row>
    <row r="15" spans="1:16" x14ac:dyDescent="0.25">
      <c r="A15" s="12" t="s">
        <v>2380</v>
      </c>
      <c r="C15">
        <v>7</v>
      </c>
      <c r="D15">
        <v>1</v>
      </c>
      <c r="F15">
        <v>-0.72</v>
      </c>
      <c r="H15">
        <v>501</v>
      </c>
      <c r="J15">
        <f t="shared" si="0"/>
        <v>3.2150598413419523E-2</v>
      </c>
      <c r="K15" s="2">
        <v>0.47</v>
      </c>
      <c r="L15" s="17">
        <v>0.47</v>
      </c>
      <c r="M15" s="2">
        <v>0</v>
      </c>
      <c r="N15" s="2">
        <v>0</v>
      </c>
    </row>
    <row r="16" spans="1:16" x14ac:dyDescent="0.25">
      <c r="A16" s="12" t="s">
        <v>2134</v>
      </c>
      <c r="C16">
        <v>8</v>
      </c>
      <c r="D16">
        <v>1</v>
      </c>
      <c r="G16">
        <v>56.35</v>
      </c>
      <c r="H16">
        <v>2</v>
      </c>
      <c r="I16">
        <v>52</v>
      </c>
      <c r="J16">
        <f t="shared" si="0"/>
        <v>0.69559693470142792</v>
      </c>
      <c r="K16" s="2" t="s">
        <v>2174</v>
      </c>
      <c r="L16" s="17">
        <v>1E-3</v>
      </c>
      <c r="M16" s="2">
        <v>0</v>
      </c>
      <c r="N16" s="2">
        <v>0</v>
      </c>
    </row>
    <row r="17" spans="1:14" x14ac:dyDescent="0.25">
      <c r="A17" s="12" t="s">
        <v>34</v>
      </c>
      <c r="C17">
        <v>8</v>
      </c>
      <c r="D17">
        <v>1</v>
      </c>
      <c r="G17">
        <v>74.760000000000005</v>
      </c>
      <c r="H17">
        <v>1</v>
      </c>
      <c r="I17">
        <v>29</v>
      </c>
      <c r="J17">
        <f t="shared" si="0"/>
        <v>0.84882793699033376</v>
      </c>
      <c r="K17" s="2" t="s">
        <v>2174</v>
      </c>
      <c r="L17" s="17">
        <v>1E-3</v>
      </c>
      <c r="M17" s="2">
        <v>0</v>
      </c>
      <c r="N17" s="2">
        <v>0</v>
      </c>
    </row>
    <row r="18" spans="1:14" x14ac:dyDescent="0.25">
      <c r="A18" s="12" t="s">
        <v>35</v>
      </c>
      <c r="C18">
        <v>8</v>
      </c>
      <c r="D18">
        <v>1</v>
      </c>
      <c r="G18">
        <v>42.52</v>
      </c>
      <c r="H18">
        <v>1</v>
      </c>
      <c r="I18">
        <v>29</v>
      </c>
      <c r="J18">
        <f t="shared" si="0"/>
        <v>0.77105059215330052</v>
      </c>
      <c r="K18" s="2" t="s">
        <v>2174</v>
      </c>
      <c r="L18" s="17">
        <v>1E-3</v>
      </c>
      <c r="M18" s="2">
        <v>0</v>
      </c>
      <c r="N18" s="2">
        <v>0</v>
      </c>
    </row>
    <row r="19" spans="1:14" x14ac:dyDescent="0.25">
      <c r="A19" s="12" t="s">
        <v>36</v>
      </c>
      <c r="C19">
        <v>8</v>
      </c>
      <c r="D19">
        <v>1</v>
      </c>
      <c r="G19">
        <v>72.260000000000005</v>
      </c>
      <c r="H19">
        <v>2</v>
      </c>
      <c r="I19">
        <v>52</v>
      </c>
      <c r="J19">
        <f t="shared" si="0"/>
        <v>0.72111262614531935</v>
      </c>
      <c r="K19" s="2" t="s">
        <v>2174</v>
      </c>
      <c r="L19" s="17">
        <v>1E-3</v>
      </c>
      <c r="M19" s="2">
        <v>0</v>
      </c>
      <c r="N19" s="2">
        <v>0</v>
      </c>
    </row>
    <row r="20" spans="1:14" x14ac:dyDescent="0.25">
      <c r="A20" s="12" t="s">
        <v>37</v>
      </c>
      <c r="C20">
        <v>8</v>
      </c>
      <c r="D20">
        <v>1</v>
      </c>
      <c r="G20">
        <v>107.92</v>
      </c>
      <c r="H20">
        <v>1</v>
      </c>
      <c r="I20">
        <v>29</v>
      </c>
      <c r="J20">
        <f t="shared" si="0"/>
        <v>0.88780487021867072</v>
      </c>
      <c r="K20" s="2" t="s">
        <v>2174</v>
      </c>
      <c r="L20" s="17">
        <v>1E-3</v>
      </c>
      <c r="M20" s="2">
        <v>0</v>
      </c>
      <c r="N20" s="2">
        <v>0</v>
      </c>
    </row>
    <row r="21" spans="1:14" x14ac:dyDescent="0.25">
      <c r="A21" s="12" t="s">
        <v>38</v>
      </c>
      <c r="C21">
        <v>8</v>
      </c>
      <c r="D21">
        <v>1</v>
      </c>
      <c r="G21">
        <v>22.41</v>
      </c>
      <c r="H21">
        <v>1</v>
      </c>
      <c r="I21">
        <v>29</v>
      </c>
      <c r="J21">
        <f t="shared" si="0"/>
        <v>0.66023284605473176</v>
      </c>
      <c r="K21" s="2" t="s">
        <v>2174</v>
      </c>
      <c r="L21" s="17">
        <v>1E-3</v>
      </c>
      <c r="M21" s="2">
        <v>0</v>
      </c>
      <c r="N21" s="2">
        <v>0</v>
      </c>
    </row>
    <row r="22" spans="1:14" x14ac:dyDescent="0.25">
      <c r="A22" s="12" t="s">
        <v>39</v>
      </c>
      <c r="C22">
        <v>8</v>
      </c>
      <c r="D22">
        <v>1</v>
      </c>
      <c r="G22">
        <v>16.07</v>
      </c>
      <c r="H22">
        <v>2</v>
      </c>
      <c r="I22">
        <v>54</v>
      </c>
      <c r="J22">
        <f t="shared" si="0"/>
        <v>0.51364492748555579</v>
      </c>
      <c r="K22" s="2" t="s">
        <v>2174</v>
      </c>
      <c r="L22" s="17">
        <v>1E-3</v>
      </c>
      <c r="M22" s="2">
        <v>0</v>
      </c>
      <c r="N22" s="2">
        <v>0</v>
      </c>
    </row>
    <row r="23" spans="1:14" x14ac:dyDescent="0.25">
      <c r="A23" s="12" t="s">
        <v>40</v>
      </c>
      <c r="C23">
        <v>8</v>
      </c>
      <c r="D23">
        <v>1</v>
      </c>
      <c r="G23">
        <v>7.45</v>
      </c>
      <c r="H23">
        <v>1</v>
      </c>
      <c r="I23">
        <v>27</v>
      </c>
      <c r="J23">
        <f t="shared" si="0"/>
        <v>0.46503273290225172</v>
      </c>
      <c r="K23" s="2">
        <v>1.0999999999999999E-2</v>
      </c>
      <c r="L23" s="17">
        <v>1.0999999999999999E-2</v>
      </c>
      <c r="M23" s="2">
        <v>0</v>
      </c>
      <c r="N23" s="2">
        <v>0</v>
      </c>
    </row>
    <row r="24" spans="1:14" x14ac:dyDescent="0.25">
      <c r="A24" s="12" t="s">
        <v>41</v>
      </c>
      <c r="C24">
        <v>8</v>
      </c>
      <c r="D24">
        <v>1</v>
      </c>
      <c r="G24">
        <v>39.42</v>
      </c>
      <c r="H24">
        <v>1</v>
      </c>
      <c r="I24">
        <v>27</v>
      </c>
      <c r="J24">
        <f t="shared" si="0"/>
        <v>0.77038687356376312</v>
      </c>
      <c r="K24" s="2" t="s">
        <v>2174</v>
      </c>
      <c r="L24" s="17">
        <v>1E-3</v>
      </c>
      <c r="M24" s="2">
        <v>0</v>
      </c>
      <c r="N24" s="2">
        <v>0</v>
      </c>
    </row>
    <row r="25" spans="1:14" x14ac:dyDescent="0.25">
      <c r="A25" s="12" t="s">
        <v>42</v>
      </c>
      <c r="C25">
        <v>8</v>
      </c>
      <c r="D25">
        <v>1</v>
      </c>
      <c r="G25">
        <v>7.86</v>
      </c>
      <c r="H25">
        <v>1</v>
      </c>
      <c r="I25">
        <v>29</v>
      </c>
      <c r="J25">
        <f t="shared" si="0"/>
        <v>0.46177839249628327</v>
      </c>
      <c r="K25" s="2">
        <v>8.9999999999999993E-3</v>
      </c>
      <c r="L25" s="17">
        <v>8.9999999999999993E-3</v>
      </c>
      <c r="M25" s="2">
        <v>0</v>
      </c>
      <c r="N25" s="2">
        <v>0</v>
      </c>
    </row>
    <row r="26" spans="1:14" x14ac:dyDescent="0.25">
      <c r="A26" s="12" t="s">
        <v>43</v>
      </c>
      <c r="C26">
        <v>8</v>
      </c>
      <c r="D26">
        <v>1</v>
      </c>
      <c r="G26">
        <v>2.15</v>
      </c>
      <c r="H26">
        <v>1</v>
      </c>
      <c r="I26">
        <v>29</v>
      </c>
      <c r="J26">
        <f t="shared" si="0"/>
        <v>0.26271822695366182</v>
      </c>
      <c r="K26" s="2">
        <v>0.153</v>
      </c>
      <c r="L26" s="17">
        <v>0.153</v>
      </c>
      <c r="M26" s="2">
        <v>0</v>
      </c>
      <c r="N26" s="2">
        <v>0</v>
      </c>
    </row>
    <row r="27" spans="1:14" x14ac:dyDescent="0.25">
      <c r="A27" s="12" t="s">
        <v>44</v>
      </c>
      <c r="C27">
        <v>9</v>
      </c>
      <c r="D27">
        <v>1</v>
      </c>
      <c r="E27">
        <v>0</v>
      </c>
      <c r="J27" t="b">
        <f t="shared" si="0"/>
        <v>0</v>
      </c>
      <c r="K27" s="2" t="s">
        <v>2136</v>
      </c>
      <c r="L27" s="17">
        <v>1E-3</v>
      </c>
    </row>
    <row r="28" spans="1:14" x14ac:dyDescent="0.25">
      <c r="A28" s="12" t="s">
        <v>45</v>
      </c>
      <c r="C28">
        <v>9</v>
      </c>
      <c r="D28">
        <v>1</v>
      </c>
      <c r="E28">
        <v>0</v>
      </c>
      <c r="J28" t="b">
        <f t="shared" si="0"/>
        <v>0</v>
      </c>
      <c r="K28" s="2" t="s">
        <v>2137</v>
      </c>
      <c r="L28" s="17">
        <v>0.01</v>
      </c>
    </row>
    <row r="29" spans="1:14" x14ac:dyDescent="0.25">
      <c r="A29" s="12" t="s">
        <v>46</v>
      </c>
      <c r="C29">
        <v>11</v>
      </c>
      <c r="D29">
        <v>1</v>
      </c>
      <c r="G29">
        <v>37.619999999999997</v>
      </c>
      <c r="H29">
        <v>1</v>
      </c>
      <c r="I29">
        <v>177</v>
      </c>
      <c r="J29">
        <f t="shared" si="0"/>
        <v>0.4186723694935639</v>
      </c>
      <c r="K29" s="2" t="s">
        <v>2516</v>
      </c>
      <c r="L29" s="17">
        <v>1E-3</v>
      </c>
      <c r="M29" s="2">
        <v>0</v>
      </c>
      <c r="N29" s="2">
        <v>0</v>
      </c>
    </row>
    <row r="30" spans="1:14" x14ac:dyDescent="0.25">
      <c r="A30" s="12" t="s">
        <v>47</v>
      </c>
      <c r="C30">
        <v>11</v>
      </c>
      <c r="D30">
        <v>1</v>
      </c>
      <c r="G30">
        <v>0.49</v>
      </c>
      <c r="H30">
        <v>1</v>
      </c>
      <c r="I30">
        <v>177</v>
      </c>
      <c r="J30">
        <f t="shared" si="0"/>
        <v>5.254254384536039E-2</v>
      </c>
      <c r="K30" s="2">
        <v>0.49</v>
      </c>
      <c r="L30" s="17">
        <v>0.49</v>
      </c>
      <c r="M30" s="2">
        <v>0</v>
      </c>
      <c r="N30" s="2">
        <v>0</v>
      </c>
    </row>
    <row r="31" spans="1:14" x14ac:dyDescent="0.25">
      <c r="A31" s="12" t="s">
        <v>48</v>
      </c>
      <c r="C31">
        <v>11</v>
      </c>
      <c r="D31">
        <v>1</v>
      </c>
      <c r="G31">
        <v>0.89</v>
      </c>
      <c r="H31">
        <v>2</v>
      </c>
      <c r="I31">
        <v>257</v>
      </c>
      <c r="J31">
        <f t="shared" si="0"/>
        <v>6.9740835825151629E-2</v>
      </c>
      <c r="K31" s="2">
        <v>0.41192000000000001</v>
      </c>
      <c r="L31" s="17">
        <v>0.41192000000000001</v>
      </c>
      <c r="M31" s="2">
        <v>1</v>
      </c>
      <c r="N31" s="2">
        <v>0</v>
      </c>
    </row>
    <row r="32" spans="1:14" x14ac:dyDescent="0.25">
      <c r="A32" s="12" t="s">
        <v>49</v>
      </c>
      <c r="C32">
        <v>11</v>
      </c>
      <c r="D32">
        <v>1</v>
      </c>
      <c r="G32">
        <v>1.67</v>
      </c>
      <c r="H32">
        <v>2</v>
      </c>
      <c r="I32">
        <v>257</v>
      </c>
      <c r="J32">
        <f t="shared" si="0"/>
        <v>9.5245679444692463E-2</v>
      </c>
      <c r="K32" s="2">
        <v>0.19</v>
      </c>
      <c r="L32" s="17">
        <v>0.19</v>
      </c>
      <c r="M32" s="2">
        <v>0</v>
      </c>
      <c r="N32" s="2">
        <v>0</v>
      </c>
    </row>
    <row r="33" spans="1:15" x14ac:dyDescent="0.25">
      <c r="A33" s="12" t="s">
        <v>50</v>
      </c>
      <c r="C33">
        <v>11</v>
      </c>
      <c r="D33">
        <v>1</v>
      </c>
      <c r="G33">
        <v>76.790000000000006</v>
      </c>
      <c r="H33">
        <v>1</v>
      </c>
      <c r="I33">
        <v>531</v>
      </c>
      <c r="J33">
        <f t="shared" si="0"/>
        <v>0.35544757743681094</v>
      </c>
      <c r="K33" s="2" t="s">
        <v>2516</v>
      </c>
      <c r="L33" s="17">
        <v>1E-3</v>
      </c>
      <c r="M33" s="2">
        <v>0</v>
      </c>
      <c r="N33" s="2">
        <v>0</v>
      </c>
    </row>
    <row r="34" spans="1:15" x14ac:dyDescent="0.25">
      <c r="A34" s="12" t="s">
        <v>51</v>
      </c>
      <c r="C34">
        <v>11</v>
      </c>
      <c r="D34">
        <v>1</v>
      </c>
      <c r="G34">
        <v>3.95</v>
      </c>
      <c r="H34">
        <v>1</v>
      </c>
      <c r="I34">
        <v>531</v>
      </c>
      <c r="J34">
        <f t="shared" ref="J34:J65" si="1">IF(NOT(ISBLANK(F34)),SQRT((F34^2*1/H34)/(F34^2*1/H34+1)),IF(NOT(ISBLANK(G34)),SQRT((G34*H34/I34)/(G34*H34/I34+1)*SQRT(1/H34))))</f>
        <v>8.5929434137449981E-2</v>
      </c>
      <c r="K34" s="2">
        <v>0.04</v>
      </c>
      <c r="L34" s="17">
        <v>0.04</v>
      </c>
      <c r="M34" s="2">
        <v>0</v>
      </c>
      <c r="N34" s="2">
        <v>0</v>
      </c>
    </row>
    <row r="35" spans="1:15" x14ac:dyDescent="0.25">
      <c r="A35" s="12" t="s">
        <v>52</v>
      </c>
      <c r="C35">
        <v>11</v>
      </c>
      <c r="D35">
        <v>1</v>
      </c>
      <c r="G35">
        <v>0.56000000000000005</v>
      </c>
      <c r="H35">
        <v>1</v>
      </c>
      <c r="I35">
        <v>531</v>
      </c>
      <c r="J35">
        <f t="shared" si="1"/>
        <v>3.245770936361602E-2</v>
      </c>
      <c r="K35" s="2">
        <v>0.45</v>
      </c>
      <c r="L35" s="17">
        <v>0.45</v>
      </c>
      <c r="M35" s="2">
        <v>0</v>
      </c>
      <c r="N35" s="2">
        <v>0</v>
      </c>
    </row>
    <row r="36" spans="1:15" x14ac:dyDescent="0.25">
      <c r="A36" s="12" t="s">
        <v>53</v>
      </c>
      <c r="C36">
        <v>11</v>
      </c>
      <c r="D36">
        <v>1</v>
      </c>
      <c r="G36">
        <v>1.76</v>
      </c>
      <c r="H36">
        <v>1</v>
      </c>
      <c r="I36">
        <v>531</v>
      </c>
      <c r="J36">
        <f t="shared" si="1"/>
        <v>5.7476528406528622E-2</v>
      </c>
      <c r="K36" s="2">
        <v>0.186</v>
      </c>
      <c r="L36" s="17">
        <v>0.186</v>
      </c>
      <c r="M36" s="2">
        <v>0</v>
      </c>
      <c r="N36" s="2">
        <v>0</v>
      </c>
    </row>
    <row r="37" spans="1:15" x14ac:dyDescent="0.25">
      <c r="A37" s="12" t="s">
        <v>54</v>
      </c>
      <c r="C37">
        <v>11</v>
      </c>
      <c r="D37">
        <v>1</v>
      </c>
      <c r="G37">
        <v>170.39</v>
      </c>
      <c r="H37">
        <v>2</v>
      </c>
      <c r="I37">
        <v>2341</v>
      </c>
      <c r="J37">
        <f t="shared" si="1"/>
        <v>0.29975606333179811</v>
      </c>
      <c r="K37" s="2" t="s">
        <v>2516</v>
      </c>
      <c r="L37" s="17">
        <v>1E-3</v>
      </c>
      <c r="M37" s="2">
        <v>0</v>
      </c>
      <c r="N37" s="2">
        <v>0</v>
      </c>
    </row>
    <row r="38" spans="1:15" x14ac:dyDescent="0.25">
      <c r="A38" s="12" t="s">
        <v>55</v>
      </c>
      <c r="C38">
        <v>11</v>
      </c>
      <c r="D38">
        <v>0</v>
      </c>
      <c r="E38">
        <v>0</v>
      </c>
      <c r="J38" t="b">
        <f t="shared" si="1"/>
        <v>0</v>
      </c>
    </row>
    <row r="39" spans="1:15" x14ac:dyDescent="0.25">
      <c r="A39" s="12" t="s">
        <v>56</v>
      </c>
      <c r="C39">
        <v>12</v>
      </c>
      <c r="D39">
        <v>1</v>
      </c>
      <c r="G39">
        <v>9.09</v>
      </c>
      <c r="H39">
        <v>2</v>
      </c>
      <c r="I39">
        <v>300</v>
      </c>
      <c r="J39">
        <f t="shared" si="1"/>
        <v>0.20100321400950402</v>
      </c>
      <c r="K39" s="2" t="s">
        <v>2139</v>
      </c>
      <c r="L39" s="17">
        <v>1E-3</v>
      </c>
      <c r="M39" s="2">
        <v>0</v>
      </c>
      <c r="N39" s="2">
        <v>0</v>
      </c>
    </row>
    <row r="40" spans="1:15" x14ac:dyDescent="0.25">
      <c r="A40" s="12" t="s">
        <v>57</v>
      </c>
      <c r="C40">
        <v>12</v>
      </c>
      <c r="D40">
        <v>1</v>
      </c>
      <c r="G40">
        <v>7.84</v>
      </c>
      <c r="H40">
        <v>1</v>
      </c>
      <c r="I40">
        <v>302</v>
      </c>
      <c r="J40">
        <f t="shared" si="1"/>
        <v>0.15907036930525884</v>
      </c>
      <c r="K40" s="2">
        <v>5.0000000000000001E-3</v>
      </c>
      <c r="L40" s="17">
        <v>5.0000000000000001E-3</v>
      </c>
      <c r="M40" s="2">
        <v>0</v>
      </c>
      <c r="N40" s="2">
        <v>0</v>
      </c>
    </row>
    <row r="41" spans="1:15" x14ac:dyDescent="0.25">
      <c r="A41" s="12" t="s">
        <v>58</v>
      </c>
      <c r="C41">
        <v>12</v>
      </c>
      <c r="D41">
        <v>1</v>
      </c>
      <c r="G41">
        <v>9.85</v>
      </c>
      <c r="H41">
        <v>1</v>
      </c>
      <c r="I41">
        <v>302</v>
      </c>
      <c r="J41">
        <f t="shared" si="1"/>
        <v>0.17772365698568357</v>
      </c>
      <c r="K41" s="2">
        <v>2E-3</v>
      </c>
      <c r="L41" s="17">
        <v>2E-3</v>
      </c>
      <c r="M41" s="2">
        <v>0</v>
      </c>
      <c r="N41" s="2">
        <v>0</v>
      </c>
      <c r="O41" t="s">
        <v>2138</v>
      </c>
    </row>
    <row r="42" spans="1:15" x14ac:dyDescent="0.25">
      <c r="A42" s="12" t="s">
        <v>59</v>
      </c>
      <c r="C42">
        <v>12</v>
      </c>
      <c r="D42">
        <v>1</v>
      </c>
      <c r="G42">
        <v>0.65</v>
      </c>
      <c r="H42">
        <v>1</v>
      </c>
      <c r="I42">
        <v>302</v>
      </c>
      <c r="J42">
        <f t="shared" si="1"/>
        <v>4.6343234216807534E-2</v>
      </c>
      <c r="K42" s="2">
        <v>0.42</v>
      </c>
      <c r="L42" s="17">
        <v>0.42</v>
      </c>
      <c r="M42" s="2">
        <v>0</v>
      </c>
      <c r="N42" s="2">
        <v>0</v>
      </c>
    </row>
    <row r="43" spans="1:15" x14ac:dyDescent="0.25">
      <c r="A43" s="12" t="s">
        <v>60</v>
      </c>
      <c r="C43">
        <v>12</v>
      </c>
      <c r="D43">
        <v>1</v>
      </c>
      <c r="G43">
        <v>31.33</v>
      </c>
      <c r="H43">
        <v>1</v>
      </c>
      <c r="I43">
        <v>198</v>
      </c>
      <c r="J43">
        <f t="shared" si="1"/>
        <v>0.3696151482033212</v>
      </c>
      <c r="K43" s="2" t="s">
        <v>2139</v>
      </c>
      <c r="L43" s="17">
        <v>1E-3</v>
      </c>
      <c r="M43" s="2">
        <v>0</v>
      </c>
      <c r="N43" s="2">
        <v>0</v>
      </c>
    </row>
    <row r="44" spans="1:15" x14ac:dyDescent="0.25">
      <c r="A44" s="12" t="s">
        <v>61</v>
      </c>
      <c r="C44">
        <v>12</v>
      </c>
      <c r="D44">
        <v>1</v>
      </c>
      <c r="G44">
        <v>144.25</v>
      </c>
      <c r="H44">
        <v>1</v>
      </c>
      <c r="I44">
        <v>198</v>
      </c>
      <c r="J44">
        <f t="shared" si="1"/>
        <v>0.64921146753861159</v>
      </c>
      <c r="K44" s="2" t="s">
        <v>2139</v>
      </c>
      <c r="L44" s="17">
        <v>1E-3</v>
      </c>
      <c r="M44" s="2">
        <v>0</v>
      </c>
      <c r="N44" s="2">
        <v>0</v>
      </c>
    </row>
    <row r="45" spans="1:15" x14ac:dyDescent="0.25">
      <c r="A45" s="12" t="s">
        <v>62</v>
      </c>
      <c r="C45">
        <v>12</v>
      </c>
      <c r="D45">
        <v>1</v>
      </c>
      <c r="G45">
        <v>27.41</v>
      </c>
      <c r="H45">
        <v>1</v>
      </c>
      <c r="I45">
        <v>197</v>
      </c>
      <c r="J45">
        <f t="shared" si="1"/>
        <v>0.34948892259756076</v>
      </c>
      <c r="K45" s="2" t="s">
        <v>2141</v>
      </c>
      <c r="L45" s="17">
        <v>1E-3</v>
      </c>
      <c r="M45" s="2">
        <v>0</v>
      </c>
      <c r="N45" s="2">
        <v>0</v>
      </c>
    </row>
    <row r="46" spans="1:15" x14ac:dyDescent="0.25">
      <c r="A46" s="12" t="s">
        <v>63</v>
      </c>
      <c r="C46">
        <v>12</v>
      </c>
      <c r="D46">
        <v>1</v>
      </c>
      <c r="G46">
        <v>264.61</v>
      </c>
      <c r="H46">
        <v>1</v>
      </c>
      <c r="I46">
        <v>198</v>
      </c>
      <c r="J46">
        <f t="shared" si="1"/>
        <v>0.75630264311829687</v>
      </c>
      <c r="K46" s="2" t="s">
        <v>2141</v>
      </c>
      <c r="L46" s="17">
        <v>1E-3</v>
      </c>
      <c r="M46" s="2">
        <v>0</v>
      </c>
      <c r="N46" s="2">
        <v>0</v>
      </c>
    </row>
    <row r="47" spans="1:15" x14ac:dyDescent="0.25">
      <c r="A47" s="12" t="s">
        <v>64</v>
      </c>
      <c r="C47">
        <v>12</v>
      </c>
      <c r="D47">
        <v>1</v>
      </c>
      <c r="G47">
        <v>13.92</v>
      </c>
      <c r="H47">
        <v>1</v>
      </c>
      <c r="I47">
        <v>198</v>
      </c>
      <c r="J47">
        <f t="shared" si="1"/>
        <v>0.25629117076659219</v>
      </c>
      <c r="K47" s="2" t="s">
        <v>2139</v>
      </c>
      <c r="L47" s="17">
        <v>1E-3</v>
      </c>
      <c r="M47" s="2">
        <v>0</v>
      </c>
      <c r="N47" s="2">
        <v>0</v>
      </c>
    </row>
    <row r="48" spans="1:15" x14ac:dyDescent="0.25">
      <c r="A48" s="12" t="s">
        <v>2381</v>
      </c>
      <c r="C48">
        <v>17</v>
      </c>
      <c r="D48">
        <v>1</v>
      </c>
      <c r="G48" t="s">
        <v>2314</v>
      </c>
      <c r="J48" t="e">
        <f t="shared" si="1"/>
        <v>#VALUE!</v>
      </c>
      <c r="K48" s="2">
        <v>0.17</v>
      </c>
      <c r="L48" s="17">
        <v>0.17</v>
      </c>
      <c r="M48" s="2" t="s">
        <v>2558</v>
      </c>
      <c r="N48" s="2" t="s">
        <v>2558</v>
      </c>
    </row>
    <row r="49" spans="1:15" x14ac:dyDescent="0.25">
      <c r="A49" s="12" t="s">
        <v>2382</v>
      </c>
      <c r="C49">
        <v>17</v>
      </c>
      <c r="D49">
        <v>1</v>
      </c>
      <c r="G49" t="s">
        <v>2315</v>
      </c>
      <c r="J49" t="e">
        <f t="shared" si="1"/>
        <v>#VALUE!</v>
      </c>
      <c r="K49" s="2">
        <v>0.36</v>
      </c>
      <c r="L49" s="17">
        <v>0.36</v>
      </c>
      <c r="M49" s="2" t="s">
        <v>2558</v>
      </c>
      <c r="N49" s="2" t="s">
        <v>2558</v>
      </c>
    </row>
    <row r="50" spans="1:15" x14ac:dyDescent="0.25">
      <c r="A50" s="12" t="s">
        <v>2383</v>
      </c>
      <c r="C50">
        <v>17</v>
      </c>
      <c r="D50">
        <v>1</v>
      </c>
      <c r="G50">
        <v>5.45</v>
      </c>
      <c r="H50">
        <v>1</v>
      </c>
      <c r="I50">
        <v>91</v>
      </c>
      <c r="J50">
        <f t="shared" si="1"/>
        <v>0.23770982654941822</v>
      </c>
      <c r="K50" s="2">
        <v>0.02</v>
      </c>
      <c r="L50" s="17">
        <v>0.02</v>
      </c>
      <c r="M50" s="2">
        <v>0</v>
      </c>
      <c r="N50" s="2">
        <v>0</v>
      </c>
    </row>
    <row r="51" spans="1:15" x14ac:dyDescent="0.25">
      <c r="A51" s="12" t="s">
        <v>2384</v>
      </c>
      <c r="C51">
        <v>17</v>
      </c>
      <c r="D51">
        <v>1</v>
      </c>
      <c r="F51">
        <v>2.58</v>
      </c>
      <c r="H51">
        <v>51</v>
      </c>
      <c r="J51">
        <f t="shared" si="1"/>
        <v>0.33977853925940255</v>
      </c>
      <c r="K51" s="2">
        <v>0.01</v>
      </c>
      <c r="L51" s="17">
        <v>0.01</v>
      </c>
      <c r="M51" s="2">
        <v>0</v>
      </c>
      <c r="N51" s="2">
        <v>0</v>
      </c>
    </row>
    <row r="52" spans="1:15" x14ac:dyDescent="0.25">
      <c r="A52" s="12" t="s">
        <v>2385</v>
      </c>
      <c r="C52">
        <v>17</v>
      </c>
      <c r="D52">
        <v>1</v>
      </c>
      <c r="F52">
        <v>-1.07</v>
      </c>
      <c r="H52">
        <v>41</v>
      </c>
      <c r="J52">
        <f t="shared" si="1"/>
        <v>0.16482051387293029</v>
      </c>
      <c r="K52" s="2">
        <v>0.28999999999999998</v>
      </c>
      <c r="L52" s="17">
        <v>0.28999999999999998</v>
      </c>
      <c r="M52" s="2">
        <v>0</v>
      </c>
      <c r="N52" s="2">
        <v>0</v>
      </c>
    </row>
    <row r="53" spans="1:15" x14ac:dyDescent="0.25">
      <c r="A53" s="12" t="s">
        <v>2386</v>
      </c>
      <c r="C53">
        <v>17</v>
      </c>
      <c r="D53">
        <v>1</v>
      </c>
      <c r="G53" t="s">
        <v>2316</v>
      </c>
      <c r="J53" t="e">
        <f t="shared" si="1"/>
        <v>#VALUE!</v>
      </c>
      <c r="K53" s="2">
        <v>0.19</v>
      </c>
      <c r="L53" s="17">
        <v>0.19</v>
      </c>
      <c r="M53" s="2" t="s">
        <v>2558</v>
      </c>
      <c r="N53" s="2" t="s">
        <v>2558</v>
      </c>
    </row>
    <row r="54" spans="1:15" x14ac:dyDescent="0.25">
      <c r="A54" s="12" t="s">
        <v>2387</v>
      </c>
      <c r="C54">
        <v>17</v>
      </c>
      <c r="D54">
        <v>1</v>
      </c>
      <c r="G54" t="s">
        <v>2315</v>
      </c>
      <c r="J54" t="e">
        <f t="shared" si="1"/>
        <v>#VALUE!</v>
      </c>
      <c r="K54" s="2">
        <v>0.95</v>
      </c>
      <c r="L54" s="17">
        <v>0.95</v>
      </c>
      <c r="M54" s="2" t="s">
        <v>2558</v>
      </c>
      <c r="N54" s="2" t="s">
        <v>2558</v>
      </c>
    </row>
    <row r="55" spans="1:15" x14ac:dyDescent="0.25">
      <c r="A55" s="12" t="s">
        <v>2388</v>
      </c>
      <c r="C55">
        <v>17</v>
      </c>
      <c r="D55">
        <v>1</v>
      </c>
      <c r="G55">
        <v>8.2899999999999991</v>
      </c>
      <c r="H55">
        <v>1</v>
      </c>
      <c r="I55">
        <v>89</v>
      </c>
      <c r="J55">
        <f t="shared" si="1"/>
        <v>0.29190609528650252</v>
      </c>
      <c r="K55" s="2">
        <v>0.01</v>
      </c>
      <c r="L55" s="17">
        <v>0.01</v>
      </c>
      <c r="M55" s="2">
        <v>0</v>
      </c>
      <c r="N55" s="2">
        <v>0</v>
      </c>
    </row>
    <row r="56" spans="1:15" x14ac:dyDescent="0.25">
      <c r="A56" s="12" t="s">
        <v>2389</v>
      </c>
      <c r="C56">
        <v>17</v>
      </c>
      <c r="D56">
        <v>1</v>
      </c>
      <c r="F56">
        <v>2.11</v>
      </c>
      <c r="H56">
        <v>50</v>
      </c>
      <c r="J56">
        <f t="shared" si="1"/>
        <v>0.2859401486330535</v>
      </c>
      <c r="K56" s="2">
        <v>0.04</v>
      </c>
      <c r="L56" s="17">
        <v>0.04</v>
      </c>
      <c r="M56" s="2">
        <v>0</v>
      </c>
      <c r="N56" s="2">
        <v>0</v>
      </c>
    </row>
    <row r="57" spans="1:15" x14ac:dyDescent="0.25">
      <c r="A57" s="12" t="s">
        <v>2390</v>
      </c>
      <c r="C57">
        <v>17</v>
      </c>
      <c r="D57">
        <v>1</v>
      </c>
      <c r="F57">
        <v>-1.99</v>
      </c>
      <c r="H57">
        <v>41</v>
      </c>
      <c r="J57">
        <f t="shared" si="1"/>
        <v>0.29678328811786148</v>
      </c>
      <c r="K57" s="2">
        <v>5.3289999999999997E-2</v>
      </c>
      <c r="L57" s="17">
        <v>5.3289999999999997E-2</v>
      </c>
      <c r="M57" s="2">
        <v>1</v>
      </c>
      <c r="N57" s="2">
        <v>0</v>
      </c>
    </row>
    <row r="58" spans="1:15" x14ac:dyDescent="0.25">
      <c r="A58" s="12" t="s">
        <v>2391</v>
      </c>
      <c r="C58">
        <v>17</v>
      </c>
      <c r="D58">
        <v>1</v>
      </c>
      <c r="G58" t="s">
        <v>2315</v>
      </c>
      <c r="J58" t="e">
        <f t="shared" si="1"/>
        <v>#VALUE!</v>
      </c>
      <c r="K58" s="2">
        <v>0.7</v>
      </c>
      <c r="L58" s="17">
        <v>0.7</v>
      </c>
      <c r="M58" s="2" t="s">
        <v>2558</v>
      </c>
      <c r="N58" s="2" t="s">
        <v>2558</v>
      </c>
    </row>
    <row r="59" spans="1:15" x14ac:dyDescent="0.25">
      <c r="A59" s="12" t="s">
        <v>2392</v>
      </c>
      <c r="C59">
        <v>17</v>
      </c>
      <c r="D59">
        <v>1</v>
      </c>
      <c r="G59" t="s">
        <v>2317</v>
      </c>
      <c r="J59" t="e">
        <f t="shared" si="1"/>
        <v>#VALUE!</v>
      </c>
      <c r="K59" s="2">
        <v>0.14000000000000001</v>
      </c>
      <c r="L59" s="17">
        <v>0.14000000000000001</v>
      </c>
      <c r="M59" s="2" t="s">
        <v>2558</v>
      </c>
      <c r="N59" s="2" t="s">
        <v>2558</v>
      </c>
    </row>
    <row r="60" spans="1:15" x14ac:dyDescent="0.25">
      <c r="A60" s="12" t="s">
        <v>2393</v>
      </c>
      <c r="C60">
        <v>17</v>
      </c>
      <c r="D60">
        <v>1</v>
      </c>
      <c r="G60">
        <v>5.83</v>
      </c>
      <c r="H60">
        <v>1</v>
      </c>
      <c r="I60">
        <v>91</v>
      </c>
      <c r="J60">
        <f t="shared" si="1"/>
        <v>0.2453744343511583</v>
      </c>
      <c r="K60" s="2">
        <v>0.02</v>
      </c>
      <c r="L60" s="17">
        <v>0.02</v>
      </c>
      <c r="M60" s="2">
        <v>0</v>
      </c>
      <c r="N60" s="2">
        <v>0</v>
      </c>
    </row>
    <row r="61" spans="1:15" x14ac:dyDescent="0.25">
      <c r="A61" s="12" t="s">
        <v>2394</v>
      </c>
      <c r="C61">
        <v>17</v>
      </c>
      <c r="D61">
        <v>1</v>
      </c>
      <c r="F61">
        <v>2.8</v>
      </c>
      <c r="H61">
        <v>51</v>
      </c>
      <c r="J61">
        <f t="shared" si="1"/>
        <v>0.36502423487520258</v>
      </c>
      <c r="K61" s="2">
        <v>0.01</v>
      </c>
      <c r="L61" s="17">
        <v>0.01</v>
      </c>
      <c r="M61" s="2">
        <v>0</v>
      </c>
      <c r="N61" s="2">
        <v>0</v>
      </c>
    </row>
    <row r="62" spans="1:15" x14ac:dyDescent="0.25">
      <c r="A62" s="12" t="s">
        <v>2395</v>
      </c>
      <c r="C62">
        <v>17</v>
      </c>
      <c r="D62">
        <v>1</v>
      </c>
      <c r="F62">
        <v>-0.3</v>
      </c>
      <c r="H62">
        <v>41</v>
      </c>
      <c r="J62">
        <f t="shared" si="1"/>
        <v>4.6800790004002953E-2</v>
      </c>
      <c r="K62" s="2">
        <v>0.77</v>
      </c>
      <c r="L62" s="17">
        <v>0.77</v>
      </c>
      <c r="M62" s="2">
        <v>0</v>
      </c>
      <c r="N62" s="2">
        <v>0</v>
      </c>
    </row>
    <row r="63" spans="1:15" x14ac:dyDescent="0.25">
      <c r="A63" s="12" t="s">
        <v>65</v>
      </c>
      <c r="C63">
        <v>18</v>
      </c>
      <c r="D63">
        <v>1</v>
      </c>
      <c r="F63">
        <v>2.97</v>
      </c>
      <c r="H63">
        <v>11</v>
      </c>
      <c r="J63">
        <f t="shared" si="1"/>
        <v>0.66710587304535185</v>
      </c>
      <c r="K63" s="2">
        <v>1.2999999999999999E-2</v>
      </c>
      <c r="L63" s="17">
        <v>1.2999999999999999E-2</v>
      </c>
      <c r="O63" t="s">
        <v>2135</v>
      </c>
    </row>
    <row r="64" spans="1:15" x14ac:dyDescent="0.25">
      <c r="A64" s="12" t="s">
        <v>66</v>
      </c>
      <c r="C64">
        <v>18</v>
      </c>
      <c r="D64">
        <v>1</v>
      </c>
      <c r="F64">
        <v>3.39</v>
      </c>
      <c r="H64">
        <v>11</v>
      </c>
      <c r="J64">
        <f t="shared" si="1"/>
        <v>0.71480024936986086</v>
      </c>
      <c r="K64" s="2">
        <v>6.0000000000000001E-3</v>
      </c>
      <c r="L64" s="17">
        <v>6.0000000000000001E-3</v>
      </c>
    </row>
    <row r="65" spans="1:15" x14ac:dyDescent="0.25">
      <c r="A65" s="12" t="s">
        <v>67</v>
      </c>
      <c r="C65">
        <v>18</v>
      </c>
      <c r="D65">
        <v>1</v>
      </c>
      <c r="F65">
        <v>1.2350000000000001</v>
      </c>
      <c r="H65">
        <v>11</v>
      </c>
      <c r="J65">
        <f t="shared" si="1"/>
        <v>0.34895882790396848</v>
      </c>
      <c r="K65" s="2">
        <v>0.24199999999999999</v>
      </c>
      <c r="L65" s="17">
        <v>0.24199999999999999</v>
      </c>
    </row>
    <row r="66" spans="1:15" x14ac:dyDescent="0.25">
      <c r="A66" s="12" t="s">
        <v>68</v>
      </c>
      <c r="C66">
        <v>18</v>
      </c>
      <c r="D66">
        <v>1</v>
      </c>
      <c r="F66">
        <v>2.5150000000000001</v>
      </c>
      <c r="H66">
        <v>11</v>
      </c>
      <c r="J66">
        <f t="shared" ref="J66:J97" si="2">IF(NOT(ISBLANK(F66)),SQRT((F66^2*1/H66)/(F66^2*1/H66+1)),IF(NOT(ISBLANK(G66)),SQRT((G66*H66/I66)/(G66*H66/I66+1)*SQRT(1/H66))))</f>
        <v>0.60422480145622182</v>
      </c>
      <c r="K66" s="2">
        <v>2.9000000000000001E-2</v>
      </c>
      <c r="L66" s="17">
        <v>2.9000000000000001E-2</v>
      </c>
    </row>
    <row r="67" spans="1:15" x14ac:dyDescent="0.25">
      <c r="A67" s="12" t="s">
        <v>69</v>
      </c>
      <c r="C67">
        <v>18</v>
      </c>
      <c r="D67">
        <v>1</v>
      </c>
      <c r="F67">
        <v>1.1559999999999999</v>
      </c>
      <c r="H67">
        <v>11</v>
      </c>
      <c r="J67">
        <f t="shared" si="2"/>
        <v>0.3291279307111476</v>
      </c>
      <c r="K67" s="2">
        <v>0.27200000000000002</v>
      </c>
      <c r="L67" s="17">
        <v>0.27200000000000002</v>
      </c>
    </row>
    <row r="68" spans="1:15" x14ac:dyDescent="0.25">
      <c r="A68" s="12" t="s">
        <v>70</v>
      </c>
      <c r="C68">
        <v>18</v>
      </c>
      <c r="D68">
        <v>1</v>
      </c>
      <c r="F68">
        <v>3.89</v>
      </c>
      <c r="H68">
        <v>11</v>
      </c>
      <c r="J68">
        <f t="shared" si="2"/>
        <v>0.76096108109786664</v>
      </c>
      <c r="K68" s="2">
        <v>3.0000000000000001E-3</v>
      </c>
      <c r="L68" s="17">
        <v>3.0000000000000001E-3</v>
      </c>
    </row>
    <row r="69" spans="1:15" x14ac:dyDescent="0.25">
      <c r="A69" s="12" t="s">
        <v>71</v>
      </c>
      <c r="C69">
        <v>18</v>
      </c>
      <c r="D69">
        <v>1</v>
      </c>
      <c r="F69">
        <v>2.6840000000000002</v>
      </c>
      <c r="H69">
        <v>11</v>
      </c>
      <c r="J69">
        <f t="shared" si="2"/>
        <v>0.62907266722341504</v>
      </c>
      <c r="K69" s="2">
        <v>2.1000000000000001E-2</v>
      </c>
      <c r="L69" s="17">
        <v>2.1000000000000001E-2</v>
      </c>
    </row>
    <row r="70" spans="1:15" x14ac:dyDescent="0.25">
      <c r="A70" s="12" t="s">
        <v>72</v>
      </c>
      <c r="C70">
        <v>18</v>
      </c>
      <c r="D70">
        <v>1</v>
      </c>
      <c r="F70">
        <v>1.2050000000000001</v>
      </c>
      <c r="H70">
        <v>11</v>
      </c>
      <c r="J70">
        <f t="shared" si="2"/>
        <v>0.34148140131358046</v>
      </c>
      <c r="K70" s="2">
        <v>0.253</v>
      </c>
      <c r="L70" s="17">
        <v>0.253</v>
      </c>
    </row>
    <row r="71" spans="1:15" x14ac:dyDescent="0.25">
      <c r="A71" s="12" t="s">
        <v>73</v>
      </c>
      <c r="C71">
        <v>26</v>
      </c>
      <c r="D71">
        <v>1</v>
      </c>
      <c r="F71">
        <v>1.21</v>
      </c>
      <c r="H71">
        <v>58</v>
      </c>
      <c r="J71">
        <f t="shared" si="2"/>
        <v>0.15691264575464375</v>
      </c>
      <c r="K71" s="2">
        <v>0.23119000000000001</v>
      </c>
      <c r="L71" s="17">
        <v>0.23119000000000001</v>
      </c>
      <c r="M71" s="2">
        <v>1</v>
      </c>
      <c r="N71" s="2">
        <v>0</v>
      </c>
    </row>
    <row r="72" spans="1:15" x14ac:dyDescent="0.25">
      <c r="A72" s="12" t="s">
        <v>74</v>
      </c>
      <c r="C72">
        <v>26</v>
      </c>
      <c r="D72">
        <v>1</v>
      </c>
      <c r="F72">
        <v>9.2999999999999999E-2</v>
      </c>
      <c r="H72">
        <v>25</v>
      </c>
      <c r="J72">
        <f t="shared" si="2"/>
        <v>1.8596783406585438E-2</v>
      </c>
      <c r="K72" s="2">
        <v>0.92600000000000005</v>
      </c>
      <c r="L72" s="17">
        <v>0.92600000000000005</v>
      </c>
      <c r="M72" s="2">
        <v>0</v>
      </c>
      <c r="N72" s="2">
        <v>0</v>
      </c>
    </row>
    <row r="73" spans="1:15" x14ac:dyDescent="0.25">
      <c r="A73" s="12" t="s">
        <v>75</v>
      </c>
      <c r="C73">
        <v>26</v>
      </c>
      <c r="D73">
        <v>1</v>
      </c>
      <c r="F73">
        <v>0.73299999999999998</v>
      </c>
      <c r="H73">
        <v>2</v>
      </c>
      <c r="I73">
        <v>57</v>
      </c>
      <c r="J73">
        <f t="shared" si="2"/>
        <v>0.46017074610088826</v>
      </c>
      <c r="K73" s="2">
        <v>0.48499999999999999</v>
      </c>
      <c r="L73" s="17">
        <v>0.48499999999999999</v>
      </c>
      <c r="M73" s="2" t="s">
        <v>2558</v>
      </c>
      <c r="N73" s="2" t="s">
        <v>2558</v>
      </c>
      <c r="O73" t="s">
        <v>2135</v>
      </c>
    </row>
    <row r="74" spans="1:15" x14ac:dyDescent="0.25">
      <c r="A74" s="12" t="s">
        <v>76</v>
      </c>
      <c r="C74">
        <v>26</v>
      </c>
      <c r="D74">
        <v>1</v>
      </c>
      <c r="E74">
        <v>0</v>
      </c>
      <c r="J74" t="b">
        <f t="shared" si="2"/>
        <v>0</v>
      </c>
    </row>
    <row r="75" spans="1:15" x14ac:dyDescent="0.25">
      <c r="A75" s="12" t="s">
        <v>77</v>
      </c>
      <c r="C75">
        <v>26</v>
      </c>
      <c r="D75">
        <v>1</v>
      </c>
      <c r="G75">
        <v>2.012</v>
      </c>
      <c r="H75">
        <v>3</v>
      </c>
      <c r="I75">
        <v>54</v>
      </c>
      <c r="J75">
        <f t="shared" si="2"/>
        <v>0.24092863905108361</v>
      </c>
      <c r="K75" s="2">
        <v>0.123</v>
      </c>
      <c r="L75" s="17">
        <v>0.123</v>
      </c>
      <c r="M75" s="2">
        <v>0</v>
      </c>
      <c r="N75" s="2">
        <v>0</v>
      </c>
    </row>
    <row r="76" spans="1:15" x14ac:dyDescent="0.25">
      <c r="A76" s="12" t="s">
        <v>78</v>
      </c>
      <c r="C76">
        <v>26</v>
      </c>
      <c r="D76">
        <v>1</v>
      </c>
      <c r="G76">
        <v>5.3479999999999999</v>
      </c>
      <c r="H76">
        <v>3</v>
      </c>
      <c r="I76">
        <v>54</v>
      </c>
      <c r="J76">
        <f t="shared" si="2"/>
        <v>0.36365582068798952</v>
      </c>
      <c r="K76" s="2">
        <v>3.0000000000000001E-3</v>
      </c>
      <c r="L76" s="17">
        <v>3.0000000000000001E-3</v>
      </c>
      <c r="M76" s="2" t="s">
        <v>2558</v>
      </c>
      <c r="N76" s="2" t="s">
        <v>2558</v>
      </c>
      <c r="O76" t="s">
        <v>2135</v>
      </c>
    </row>
    <row r="77" spans="1:15" x14ac:dyDescent="0.25">
      <c r="A77" s="12" t="s">
        <v>79</v>
      </c>
      <c r="C77">
        <v>26</v>
      </c>
      <c r="D77">
        <v>1</v>
      </c>
      <c r="G77">
        <v>0.47699999999999998</v>
      </c>
      <c r="H77">
        <v>3</v>
      </c>
      <c r="I77">
        <v>54</v>
      </c>
      <c r="J77">
        <f t="shared" si="2"/>
        <v>0.1220852358238366</v>
      </c>
      <c r="K77" s="2">
        <v>0.7</v>
      </c>
      <c r="L77" s="17">
        <v>0.7</v>
      </c>
      <c r="M77" s="2">
        <v>0</v>
      </c>
      <c r="N77" s="2">
        <v>0</v>
      </c>
    </row>
    <row r="78" spans="1:15" x14ac:dyDescent="0.25">
      <c r="A78" s="12" t="s">
        <v>80</v>
      </c>
      <c r="C78">
        <v>27</v>
      </c>
      <c r="D78">
        <v>1</v>
      </c>
      <c r="G78">
        <v>127.87</v>
      </c>
      <c r="H78">
        <v>1</v>
      </c>
      <c r="I78">
        <v>23</v>
      </c>
      <c r="J78">
        <f t="shared" si="2"/>
        <v>0.92062526122810739</v>
      </c>
      <c r="K78" s="2">
        <v>0</v>
      </c>
      <c r="L78" s="17">
        <v>0</v>
      </c>
      <c r="M78" s="2" t="s">
        <v>2558</v>
      </c>
      <c r="N78" s="2" t="s">
        <v>2558</v>
      </c>
      <c r="O78" t="s">
        <v>2135</v>
      </c>
    </row>
    <row r="79" spans="1:15" x14ac:dyDescent="0.25">
      <c r="A79" s="12" t="s">
        <v>81</v>
      </c>
      <c r="C79">
        <v>27</v>
      </c>
      <c r="D79">
        <v>1</v>
      </c>
      <c r="G79">
        <v>12.795</v>
      </c>
      <c r="H79">
        <v>1</v>
      </c>
      <c r="I79">
        <v>23</v>
      </c>
      <c r="J79">
        <f t="shared" si="2"/>
        <v>0.59787302842881518</v>
      </c>
      <c r="K79" s="2">
        <v>2E-3</v>
      </c>
      <c r="L79" s="17">
        <v>2E-3</v>
      </c>
      <c r="M79" s="2" t="s">
        <v>2558</v>
      </c>
      <c r="N79" s="2" t="s">
        <v>2558</v>
      </c>
      <c r="O79" t="s">
        <v>2135</v>
      </c>
    </row>
    <row r="80" spans="1:15" x14ac:dyDescent="0.25">
      <c r="A80" s="12" t="s">
        <v>82</v>
      </c>
      <c r="C80">
        <v>27</v>
      </c>
      <c r="D80">
        <v>1</v>
      </c>
      <c r="F80">
        <v>6.62</v>
      </c>
      <c r="H80">
        <v>23</v>
      </c>
      <c r="J80">
        <f t="shared" si="2"/>
        <v>0.80982364948415642</v>
      </c>
      <c r="K80" s="2">
        <v>0</v>
      </c>
      <c r="L80" s="17">
        <v>0</v>
      </c>
      <c r="M80" s="2">
        <v>0</v>
      </c>
      <c r="N80" s="2">
        <v>0</v>
      </c>
    </row>
    <row r="81" spans="1:14" x14ac:dyDescent="0.25">
      <c r="A81" s="12" t="s">
        <v>83</v>
      </c>
      <c r="C81">
        <v>27</v>
      </c>
      <c r="D81">
        <v>1</v>
      </c>
      <c r="F81">
        <v>11.164</v>
      </c>
      <c r="H81">
        <v>23</v>
      </c>
      <c r="J81">
        <f t="shared" si="2"/>
        <v>0.91880916080113351</v>
      </c>
      <c r="K81" s="2">
        <v>0</v>
      </c>
      <c r="L81" s="17">
        <v>0</v>
      </c>
      <c r="M81" s="2">
        <v>0</v>
      </c>
      <c r="N81" s="2">
        <v>0</v>
      </c>
    </row>
    <row r="82" spans="1:14" x14ac:dyDescent="0.25">
      <c r="A82" s="12" t="s">
        <v>84</v>
      </c>
      <c r="C82">
        <v>27</v>
      </c>
      <c r="D82">
        <v>1</v>
      </c>
      <c r="F82">
        <v>-2.86</v>
      </c>
      <c r="H82">
        <v>23</v>
      </c>
      <c r="J82">
        <f t="shared" si="2"/>
        <v>0.51218960892114218</v>
      </c>
      <c r="K82" s="2">
        <v>8.9999999999999993E-3</v>
      </c>
      <c r="L82" s="17">
        <v>8.9999999999999993E-3</v>
      </c>
      <c r="M82" s="2">
        <v>0</v>
      </c>
      <c r="N82" s="2">
        <v>0</v>
      </c>
    </row>
    <row r="83" spans="1:14" x14ac:dyDescent="0.25">
      <c r="A83" s="12" t="s">
        <v>85</v>
      </c>
      <c r="C83">
        <v>27</v>
      </c>
      <c r="D83">
        <v>1</v>
      </c>
      <c r="F83">
        <v>-0.14000000000000001</v>
      </c>
      <c r="H83">
        <v>23</v>
      </c>
      <c r="J83">
        <f t="shared" si="2"/>
        <v>2.9179587573978944E-2</v>
      </c>
      <c r="K83" s="2">
        <v>0.89</v>
      </c>
      <c r="L83" s="17">
        <v>0.89</v>
      </c>
      <c r="M83" s="2">
        <v>0</v>
      </c>
      <c r="N83" s="2">
        <v>0</v>
      </c>
    </row>
    <row r="84" spans="1:14" x14ac:dyDescent="0.25">
      <c r="A84" s="12" t="s">
        <v>2396</v>
      </c>
      <c r="C84">
        <v>33</v>
      </c>
      <c r="D84">
        <v>1</v>
      </c>
      <c r="E84">
        <v>0</v>
      </c>
      <c r="J84" t="b">
        <f t="shared" si="2"/>
        <v>0</v>
      </c>
      <c r="K84" s="2">
        <v>8.9999999999999993E-3</v>
      </c>
      <c r="L84" s="17">
        <v>8.9999999999999993E-3</v>
      </c>
    </row>
    <row r="85" spans="1:14" x14ac:dyDescent="0.25">
      <c r="A85" s="12" t="s">
        <v>2397</v>
      </c>
      <c r="C85">
        <v>33</v>
      </c>
      <c r="D85">
        <v>1</v>
      </c>
      <c r="E85">
        <v>0</v>
      </c>
      <c r="J85" t="b">
        <f t="shared" si="2"/>
        <v>0</v>
      </c>
      <c r="K85" s="2">
        <v>2.1000000000000001E-2</v>
      </c>
      <c r="L85" s="17">
        <v>2.1000000000000001E-2</v>
      </c>
    </row>
    <row r="86" spans="1:14" x14ac:dyDescent="0.25">
      <c r="A86" s="12" t="s">
        <v>2398</v>
      </c>
      <c r="C86">
        <v>33</v>
      </c>
      <c r="D86">
        <v>1</v>
      </c>
      <c r="E86">
        <v>0</v>
      </c>
      <c r="J86" t="b">
        <f t="shared" si="2"/>
        <v>0</v>
      </c>
      <c r="K86" s="2">
        <v>0.84199999999999997</v>
      </c>
      <c r="L86" s="17">
        <v>0.84199999999999997</v>
      </c>
    </row>
    <row r="87" spans="1:14" x14ac:dyDescent="0.25">
      <c r="A87" s="12" t="s">
        <v>2399</v>
      </c>
      <c r="C87">
        <v>33</v>
      </c>
      <c r="D87">
        <v>1</v>
      </c>
      <c r="E87">
        <v>0</v>
      </c>
      <c r="J87" t="b">
        <f t="shared" si="2"/>
        <v>0</v>
      </c>
      <c r="K87" s="2">
        <v>6.0000000000000001E-3</v>
      </c>
      <c r="L87" s="17">
        <v>6.0000000000000001E-3</v>
      </c>
    </row>
    <row r="88" spans="1:14" x14ac:dyDescent="0.25">
      <c r="A88" s="12" t="s">
        <v>2400</v>
      </c>
      <c r="C88">
        <v>33</v>
      </c>
      <c r="D88">
        <v>1</v>
      </c>
      <c r="E88">
        <v>0</v>
      </c>
      <c r="J88" t="b">
        <f t="shared" si="2"/>
        <v>0</v>
      </c>
      <c r="K88" s="2">
        <v>0.215</v>
      </c>
      <c r="L88" s="17">
        <v>0.215</v>
      </c>
    </row>
    <row r="89" spans="1:14" x14ac:dyDescent="0.25">
      <c r="A89" s="12" t="s">
        <v>2401</v>
      </c>
      <c r="C89">
        <v>33</v>
      </c>
      <c r="D89">
        <v>1</v>
      </c>
      <c r="E89">
        <v>0</v>
      </c>
      <c r="J89" t="b">
        <f t="shared" si="2"/>
        <v>0</v>
      </c>
      <c r="K89" s="2" t="s">
        <v>2174</v>
      </c>
      <c r="L89" s="17">
        <v>1E-3</v>
      </c>
    </row>
    <row r="90" spans="1:14" x14ac:dyDescent="0.25">
      <c r="A90" s="12" t="s">
        <v>2402</v>
      </c>
      <c r="C90">
        <v>33</v>
      </c>
      <c r="D90">
        <v>1</v>
      </c>
      <c r="F90">
        <v>11</v>
      </c>
      <c r="H90">
        <v>297</v>
      </c>
      <c r="J90">
        <f t="shared" si="2"/>
        <v>0.53802758684897034</v>
      </c>
      <c r="K90" s="2" t="s">
        <v>2174</v>
      </c>
      <c r="L90" s="17">
        <v>1E-3</v>
      </c>
      <c r="M90" s="2">
        <v>0</v>
      </c>
      <c r="N90" s="2">
        <v>0</v>
      </c>
    </row>
    <row r="91" spans="1:14" x14ac:dyDescent="0.25">
      <c r="A91" s="12" t="s">
        <v>2403</v>
      </c>
      <c r="C91">
        <v>33</v>
      </c>
      <c r="D91">
        <v>1</v>
      </c>
      <c r="F91">
        <v>0.51</v>
      </c>
      <c r="H91">
        <v>297</v>
      </c>
      <c r="J91">
        <f t="shared" si="2"/>
        <v>2.9580251782258683E-2</v>
      </c>
      <c r="K91" s="2">
        <v>0.61</v>
      </c>
      <c r="L91" s="17">
        <v>0.61</v>
      </c>
      <c r="M91" s="2">
        <v>0</v>
      </c>
      <c r="N91" s="2">
        <v>0</v>
      </c>
    </row>
    <row r="92" spans="1:14" x14ac:dyDescent="0.25">
      <c r="A92" s="12" t="s">
        <v>2404</v>
      </c>
      <c r="C92">
        <v>33</v>
      </c>
      <c r="D92">
        <v>1</v>
      </c>
      <c r="E92">
        <v>0</v>
      </c>
      <c r="J92" t="b">
        <f t="shared" si="2"/>
        <v>0</v>
      </c>
      <c r="K92" s="2">
        <v>1E-3</v>
      </c>
      <c r="L92" s="17">
        <v>1E-3</v>
      </c>
    </row>
    <row r="93" spans="1:14" x14ac:dyDescent="0.25">
      <c r="A93" s="12" t="s">
        <v>2405</v>
      </c>
      <c r="C93">
        <v>33</v>
      </c>
      <c r="D93">
        <v>1</v>
      </c>
      <c r="E93">
        <v>0</v>
      </c>
      <c r="J93" t="b">
        <f t="shared" si="2"/>
        <v>0</v>
      </c>
      <c r="K93" s="2">
        <v>0.35599999999999998</v>
      </c>
      <c r="L93" s="17">
        <v>0.35599999999999998</v>
      </c>
    </row>
    <row r="94" spans="1:14" x14ac:dyDescent="0.25">
      <c r="A94" s="12" t="s">
        <v>2406</v>
      </c>
      <c r="C94">
        <v>33</v>
      </c>
      <c r="D94">
        <v>1</v>
      </c>
      <c r="E94">
        <v>0</v>
      </c>
      <c r="J94" t="b">
        <f t="shared" si="2"/>
        <v>0</v>
      </c>
      <c r="K94" s="2">
        <v>0.189</v>
      </c>
      <c r="L94" s="17">
        <v>0.189</v>
      </c>
    </row>
    <row r="95" spans="1:14" x14ac:dyDescent="0.25">
      <c r="A95" s="12" t="s">
        <v>2407</v>
      </c>
      <c r="C95">
        <v>33</v>
      </c>
      <c r="D95">
        <v>1</v>
      </c>
      <c r="E95">
        <v>0</v>
      </c>
      <c r="J95" t="b">
        <f t="shared" si="2"/>
        <v>0</v>
      </c>
      <c r="K95" s="2">
        <v>0.1</v>
      </c>
      <c r="L95" s="17">
        <v>0.1</v>
      </c>
    </row>
    <row r="96" spans="1:14" x14ac:dyDescent="0.25">
      <c r="A96" s="12" t="s">
        <v>2408</v>
      </c>
      <c r="C96">
        <v>33</v>
      </c>
      <c r="D96">
        <v>1</v>
      </c>
      <c r="E96">
        <v>0</v>
      </c>
      <c r="J96" t="b">
        <f t="shared" si="2"/>
        <v>0</v>
      </c>
      <c r="K96" s="2">
        <v>9.7000000000000003E-2</v>
      </c>
      <c r="L96" s="17">
        <v>9.7000000000000003E-2</v>
      </c>
    </row>
    <row r="97" spans="1:14" x14ac:dyDescent="0.25">
      <c r="A97" s="12" t="s">
        <v>2409</v>
      </c>
      <c r="C97">
        <v>33</v>
      </c>
      <c r="D97">
        <v>1</v>
      </c>
      <c r="F97">
        <v>-3.07</v>
      </c>
      <c r="H97">
        <v>297</v>
      </c>
      <c r="J97">
        <f t="shared" si="2"/>
        <v>0.17537849906729161</v>
      </c>
      <c r="K97" s="2">
        <v>2E-3</v>
      </c>
      <c r="L97" s="17">
        <v>2E-3</v>
      </c>
      <c r="M97" s="2">
        <v>0</v>
      </c>
      <c r="N97" s="2">
        <v>0</v>
      </c>
    </row>
    <row r="98" spans="1:14" x14ac:dyDescent="0.25">
      <c r="A98" s="12" t="s">
        <v>2410</v>
      </c>
      <c r="C98">
        <v>33</v>
      </c>
      <c r="D98">
        <v>1</v>
      </c>
      <c r="F98">
        <v>6.99</v>
      </c>
      <c r="H98">
        <v>297</v>
      </c>
      <c r="J98">
        <f t="shared" ref="J98:J100" si="3">IF(NOT(ISBLANK(F98)),SQRT((F98^2*1/H98)/(F98^2*1/H98+1)),IF(NOT(ISBLANK(G98)),SQRT((G98*H98/I98)/(G98*H98/I98+1)*SQRT(1/H98))))</f>
        <v>0.3758607226228794</v>
      </c>
      <c r="K98" s="2" t="s">
        <v>2174</v>
      </c>
      <c r="L98" s="17">
        <v>1E-3</v>
      </c>
      <c r="M98" s="2">
        <v>0</v>
      </c>
      <c r="N98" s="2">
        <v>0</v>
      </c>
    </row>
    <row r="99" spans="1:14" x14ac:dyDescent="0.25">
      <c r="A99" s="12" t="s">
        <v>2411</v>
      </c>
      <c r="C99">
        <v>33</v>
      </c>
      <c r="D99">
        <v>1</v>
      </c>
      <c r="E99">
        <v>0</v>
      </c>
      <c r="J99" t="b">
        <f t="shared" si="3"/>
        <v>0</v>
      </c>
      <c r="K99" s="2">
        <v>5.0000000000000001E-3</v>
      </c>
      <c r="L99" s="17">
        <v>5.0000000000000001E-3</v>
      </c>
    </row>
    <row r="100" spans="1:14" x14ac:dyDescent="0.25">
      <c r="A100" s="12" t="s">
        <v>2412</v>
      </c>
      <c r="C100">
        <v>33</v>
      </c>
      <c r="D100">
        <v>1</v>
      </c>
      <c r="E100">
        <v>0</v>
      </c>
      <c r="J100" t="b">
        <f t="shared" si="3"/>
        <v>0</v>
      </c>
      <c r="K100" s="2">
        <v>0.38300000000000001</v>
      </c>
      <c r="L100" s="17">
        <v>0.38300000000000001</v>
      </c>
    </row>
    <row r="101" spans="1:14" x14ac:dyDescent="0.25">
      <c r="A101" s="12" t="s">
        <v>86</v>
      </c>
      <c r="C101">
        <v>34</v>
      </c>
      <c r="D101">
        <v>1</v>
      </c>
      <c r="J101">
        <v>-5.0999999999999997E-2</v>
      </c>
      <c r="K101" s="2">
        <v>0.75600000000000001</v>
      </c>
      <c r="L101" s="17">
        <v>0.75600000000000001</v>
      </c>
    </row>
    <row r="102" spans="1:14" x14ac:dyDescent="0.25">
      <c r="A102" s="12" t="s">
        <v>87</v>
      </c>
      <c r="C102">
        <v>34</v>
      </c>
      <c r="D102">
        <v>1</v>
      </c>
      <c r="J102">
        <v>0.16600000000000001</v>
      </c>
      <c r="K102" s="2">
        <v>0.30599999999999999</v>
      </c>
      <c r="L102" s="17">
        <v>0.30599999999999999</v>
      </c>
    </row>
    <row r="103" spans="1:14" x14ac:dyDescent="0.25">
      <c r="A103" s="12" t="s">
        <v>88</v>
      </c>
      <c r="C103">
        <v>34</v>
      </c>
      <c r="D103">
        <v>1</v>
      </c>
      <c r="J103">
        <v>0.14899999999999999</v>
      </c>
      <c r="K103" s="2">
        <v>0.35799999999999998</v>
      </c>
      <c r="L103" s="17">
        <v>0.35799999999999998</v>
      </c>
    </row>
    <row r="104" spans="1:14" x14ac:dyDescent="0.25">
      <c r="A104" s="12" t="s">
        <v>89</v>
      </c>
      <c r="C104">
        <v>34</v>
      </c>
      <c r="D104">
        <v>1</v>
      </c>
      <c r="J104">
        <v>0.17899999999999999</v>
      </c>
      <c r="K104" s="2">
        <v>0.27</v>
      </c>
      <c r="L104" s="17">
        <v>0.27</v>
      </c>
    </row>
    <row r="105" spans="1:14" x14ac:dyDescent="0.25">
      <c r="A105" s="12" t="s">
        <v>90</v>
      </c>
      <c r="C105">
        <v>34</v>
      </c>
      <c r="D105">
        <v>1</v>
      </c>
      <c r="J105">
        <v>0.40799999999999997</v>
      </c>
      <c r="K105" s="2">
        <v>8.9999999999999993E-3</v>
      </c>
      <c r="L105" s="17">
        <v>8.9999999999999993E-3</v>
      </c>
    </row>
    <row r="106" spans="1:14" x14ac:dyDescent="0.25">
      <c r="A106" s="12" t="s">
        <v>91</v>
      </c>
      <c r="C106">
        <v>34</v>
      </c>
      <c r="D106">
        <v>1</v>
      </c>
      <c r="J106">
        <v>0.44600000000000001</v>
      </c>
      <c r="K106" s="2">
        <v>4.0000000000000001E-3</v>
      </c>
      <c r="L106" s="17">
        <v>4.0000000000000001E-3</v>
      </c>
    </row>
    <row r="107" spans="1:14" x14ac:dyDescent="0.25">
      <c r="A107" s="12" t="s">
        <v>92</v>
      </c>
      <c r="C107">
        <v>34</v>
      </c>
      <c r="D107">
        <v>1</v>
      </c>
      <c r="J107">
        <v>0.33500000000000002</v>
      </c>
      <c r="K107" s="2">
        <v>2.5000000000000001E-2</v>
      </c>
      <c r="L107" s="17">
        <v>2.5000000000000001E-2</v>
      </c>
    </row>
    <row r="108" spans="1:14" ht="14.25" customHeight="1" x14ac:dyDescent="0.25">
      <c r="A108" s="12" t="s">
        <v>93</v>
      </c>
      <c r="C108">
        <v>34</v>
      </c>
      <c r="D108">
        <v>1</v>
      </c>
      <c r="J108">
        <v>0.35799999999999998</v>
      </c>
      <c r="K108" s="2">
        <v>2.3E-2</v>
      </c>
      <c r="L108" s="17">
        <v>2.3E-2</v>
      </c>
    </row>
    <row r="109" spans="1:14" x14ac:dyDescent="0.25">
      <c r="A109" s="12" t="s">
        <v>94</v>
      </c>
      <c r="C109">
        <v>34</v>
      </c>
      <c r="D109">
        <v>1</v>
      </c>
      <c r="G109">
        <v>4.5430000000000001</v>
      </c>
      <c r="H109">
        <v>1</v>
      </c>
      <c r="I109">
        <v>38</v>
      </c>
      <c r="J109">
        <f>IF(NOT(ISBLANK(F109)),SQRT((F109^2*1/H109)/(F109^2*1/H109+1)),IF(NOT(ISBLANK(G109)),SQRT((G109*H109/I109)/(G109*H109/I109+1)*SQRT(1/H109))))</f>
        <v>0.32678138757436287</v>
      </c>
      <c r="K109" s="2">
        <v>0.04</v>
      </c>
      <c r="L109" s="17">
        <v>0.04</v>
      </c>
      <c r="M109" s="2">
        <v>0</v>
      </c>
      <c r="N109" s="2">
        <v>0</v>
      </c>
    </row>
    <row r="110" spans="1:14" x14ac:dyDescent="0.25">
      <c r="A110" s="12" t="s">
        <v>95</v>
      </c>
      <c r="C110">
        <v>34</v>
      </c>
      <c r="D110">
        <v>1</v>
      </c>
      <c r="G110">
        <v>0.58099999999999996</v>
      </c>
      <c r="H110">
        <v>1</v>
      </c>
      <c r="I110">
        <v>38</v>
      </c>
      <c r="J110">
        <f>IF(NOT(ISBLANK(F110)),SQRT((F110^2*1/H110)/(F110^2*1/H110+1)),IF(NOT(ISBLANK(G110)),SQRT((G110*H110/I110)/(G110*H110/I110+1)*SQRT(1/H110))))</f>
        <v>0.12271603825053846</v>
      </c>
      <c r="K110" s="2">
        <v>0.45100000000000001</v>
      </c>
      <c r="L110" s="17">
        <v>0.45100000000000001</v>
      </c>
      <c r="M110" s="2">
        <v>0</v>
      </c>
      <c r="N110" s="2">
        <v>0</v>
      </c>
    </row>
    <row r="111" spans="1:14" x14ac:dyDescent="0.25">
      <c r="A111" s="12" t="s">
        <v>96</v>
      </c>
      <c r="C111">
        <v>34</v>
      </c>
      <c r="D111">
        <v>1</v>
      </c>
      <c r="G111">
        <v>11.537000000000001</v>
      </c>
      <c r="H111">
        <v>1</v>
      </c>
      <c r="I111">
        <v>38</v>
      </c>
      <c r="J111">
        <f>IF(NOT(ISBLANK(F111)),SQRT((F111^2*1/H111)/(F111^2*1/H111+1)),IF(NOT(ISBLANK(G111)),SQRT((G111*H111/I111)/(G111*H111/I111+1)*SQRT(1/H111))))</f>
        <v>0.48259364140697808</v>
      </c>
      <c r="K111" s="2">
        <v>2E-3</v>
      </c>
      <c r="L111" s="17">
        <v>2E-3</v>
      </c>
      <c r="M111" s="2">
        <v>0</v>
      </c>
      <c r="N111" s="2">
        <v>0</v>
      </c>
    </row>
    <row r="112" spans="1:14" x14ac:dyDescent="0.25">
      <c r="A112" s="12" t="s">
        <v>97</v>
      </c>
      <c r="C112">
        <v>36</v>
      </c>
      <c r="D112">
        <v>1</v>
      </c>
      <c r="F112">
        <v>2.44</v>
      </c>
      <c r="H112">
        <v>39</v>
      </c>
      <c r="J112">
        <f>IF(NOT(ISBLANK(F112)),SQRT((F112^2*1/H112)/(F112^2*1/H112+1)),IF(NOT(ISBLANK(G112)),SQRT((G112*H112/I112)/(G112*H112/I112+1)*SQRT(1/H112))))</f>
        <v>0.36392139442630261</v>
      </c>
      <c r="K112" s="2">
        <v>1.9E-2</v>
      </c>
      <c r="L112" s="17">
        <v>1.9E-2</v>
      </c>
      <c r="M112" s="2">
        <v>0</v>
      </c>
      <c r="N112" s="2">
        <v>0</v>
      </c>
    </row>
    <row r="113" spans="1:14" x14ac:dyDescent="0.25">
      <c r="A113" s="12" t="s">
        <v>98</v>
      </c>
      <c r="C113">
        <v>36</v>
      </c>
      <c r="D113">
        <v>1</v>
      </c>
      <c r="J113">
        <v>0.17</v>
      </c>
      <c r="K113" s="2">
        <v>0.13103999999999999</v>
      </c>
      <c r="L113" s="17">
        <v>0.13103999999999999</v>
      </c>
      <c r="M113" s="2">
        <v>1</v>
      </c>
      <c r="N113" s="2">
        <v>0</v>
      </c>
    </row>
    <row r="114" spans="1:14" x14ac:dyDescent="0.25">
      <c r="A114" s="12" t="s">
        <v>99</v>
      </c>
      <c r="C114">
        <v>36</v>
      </c>
      <c r="D114">
        <v>1</v>
      </c>
      <c r="F114">
        <v>0.28000000000000003</v>
      </c>
      <c r="H114">
        <v>39</v>
      </c>
      <c r="J114">
        <f t="shared" ref="J114:J120" si="4">IF(NOT(ISBLANK(F114)),SQRT((F114^2*1/H114)/(F114^2*1/H114+1)),IF(NOT(ISBLANK(G114)),SQRT((G114*H114/I114)/(G114*H114/I114+1)*SQRT(1/H114))))</f>
        <v>4.479088508650643E-2</v>
      </c>
      <c r="K114" s="2">
        <v>0.77700000000000002</v>
      </c>
      <c r="L114" s="17">
        <v>0.77700000000000002</v>
      </c>
      <c r="M114" s="2">
        <v>0</v>
      </c>
      <c r="N114" s="2">
        <v>0</v>
      </c>
    </row>
    <row r="115" spans="1:14" x14ac:dyDescent="0.25">
      <c r="A115" s="12" t="s">
        <v>100</v>
      </c>
      <c r="C115">
        <v>37</v>
      </c>
      <c r="D115">
        <v>1</v>
      </c>
      <c r="G115">
        <v>0.78</v>
      </c>
      <c r="H115">
        <v>1</v>
      </c>
      <c r="I115">
        <v>109</v>
      </c>
      <c r="J115">
        <f t="shared" si="4"/>
        <v>8.4291869890092186E-2</v>
      </c>
      <c r="K115" s="2">
        <v>0.38</v>
      </c>
      <c r="L115" s="17">
        <v>0.38</v>
      </c>
      <c r="M115" s="2">
        <v>0</v>
      </c>
      <c r="N115" s="2">
        <v>0</v>
      </c>
    </row>
    <row r="116" spans="1:14" x14ac:dyDescent="0.25">
      <c r="A116" s="12" t="s">
        <v>101</v>
      </c>
      <c r="C116">
        <v>37</v>
      </c>
      <c r="D116">
        <v>1</v>
      </c>
      <c r="G116">
        <v>1.03</v>
      </c>
      <c r="H116">
        <v>1</v>
      </c>
      <c r="I116">
        <v>109</v>
      </c>
      <c r="J116">
        <f t="shared" si="4"/>
        <v>9.6752691646832367E-2</v>
      </c>
      <c r="K116" s="2">
        <v>0.31</v>
      </c>
      <c r="L116" s="17">
        <v>0.31</v>
      </c>
      <c r="M116" s="2">
        <v>0</v>
      </c>
      <c r="N116" s="2">
        <v>0</v>
      </c>
    </row>
    <row r="117" spans="1:14" x14ac:dyDescent="0.25">
      <c r="A117" s="12" t="s">
        <v>102</v>
      </c>
      <c r="C117">
        <v>37</v>
      </c>
      <c r="D117">
        <v>1</v>
      </c>
      <c r="G117">
        <v>4.3499999999999996</v>
      </c>
      <c r="H117">
        <v>1</v>
      </c>
      <c r="I117">
        <v>109</v>
      </c>
      <c r="J117">
        <f t="shared" si="4"/>
        <v>0.19589974299997126</v>
      </c>
      <c r="K117" s="2">
        <v>0.04</v>
      </c>
      <c r="L117" s="17">
        <v>0.04</v>
      </c>
      <c r="M117" s="2">
        <v>0</v>
      </c>
      <c r="N117" s="2">
        <v>0</v>
      </c>
    </row>
    <row r="118" spans="1:14" x14ac:dyDescent="0.25">
      <c r="A118" s="12" t="s">
        <v>103</v>
      </c>
      <c r="C118">
        <v>37</v>
      </c>
      <c r="D118">
        <v>1</v>
      </c>
      <c r="G118">
        <v>4.79</v>
      </c>
      <c r="H118">
        <v>1</v>
      </c>
      <c r="I118">
        <v>109</v>
      </c>
      <c r="J118">
        <f t="shared" si="4"/>
        <v>0.2051708737656949</v>
      </c>
      <c r="K118" s="2">
        <v>0.03</v>
      </c>
      <c r="L118" s="17">
        <v>0.03</v>
      </c>
      <c r="M118" s="2">
        <v>0</v>
      </c>
      <c r="N118" s="2">
        <v>0</v>
      </c>
    </row>
    <row r="119" spans="1:14" x14ac:dyDescent="0.25">
      <c r="A119" s="12" t="s">
        <v>104</v>
      </c>
      <c r="C119">
        <v>37</v>
      </c>
      <c r="D119">
        <v>1</v>
      </c>
      <c r="G119">
        <v>0.56999999999999995</v>
      </c>
      <c r="H119">
        <v>1</v>
      </c>
      <c r="I119">
        <v>109</v>
      </c>
      <c r="J119">
        <f t="shared" si="4"/>
        <v>7.2125958393879572E-2</v>
      </c>
      <c r="K119" s="2">
        <v>0.45</v>
      </c>
      <c r="L119" s="17">
        <v>0.45</v>
      </c>
      <c r="M119" s="2">
        <v>0</v>
      </c>
      <c r="N119" s="2">
        <v>0</v>
      </c>
    </row>
    <row r="120" spans="1:14" x14ac:dyDescent="0.25">
      <c r="A120" s="12" t="s">
        <v>105</v>
      </c>
      <c r="C120">
        <v>37</v>
      </c>
      <c r="D120">
        <v>1</v>
      </c>
      <c r="G120">
        <v>10.64</v>
      </c>
      <c r="H120">
        <v>1</v>
      </c>
      <c r="I120">
        <v>85</v>
      </c>
      <c r="J120">
        <f t="shared" si="4"/>
        <v>0.33354238530329267</v>
      </c>
      <c r="K120" s="2">
        <v>1.5900000000000001E-3</v>
      </c>
      <c r="L120" s="17">
        <v>1.5900000000000001E-3</v>
      </c>
      <c r="M120" s="2">
        <v>1</v>
      </c>
      <c r="N120" s="2">
        <v>0</v>
      </c>
    </row>
    <row r="121" spans="1:14" x14ac:dyDescent="0.25">
      <c r="A121" s="12" t="s">
        <v>106</v>
      </c>
      <c r="C121">
        <v>41</v>
      </c>
      <c r="D121">
        <v>1</v>
      </c>
      <c r="F121">
        <v>1.05</v>
      </c>
      <c r="H121">
        <v>45.73</v>
      </c>
      <c r="J121">
        <f t="shared" ref="J121" si="5">IF(NOT(ISBLANK(F121)),SQRT((F121^2*1/H121)/(F121^2*1/H121+1)),IF(NOT(ISBLANK(G121)),SQRT((G121*H121/I121)/(G121*H121/I121+1)*SQRT(1/H121))))</f>
        <v>0.15343188766365087</v>
      </c>
      <c r="K121" s="2">
        <v>0.3</v>
      </c>
      <c r="L121" s="17">
        <v>0.3</v>
      </c>
      <c r="M121" s="2">
        <v>0</v>
      </c>
      <c r="N121" s="2">
        <v>0</v>
      </c>
    </row>
    <row r="122" spans="1:14" x14ac:dyDescent="0.25">
      <c r="A122" s="12" t="s">
        <v>107</v>
      </c>
      <c r="C122">
        <v>41</v>
      </c>
      <c r="D122">
        <v>1</v>
      </c>
      <c r="F122">
        <v>0.47</v>
      </c>
      <c r="H122">
        <v>44.58</v>
      </c>
      <c r="J122">
        <f t="shared" ref="J122:J130" si="6">IF(NOT(ISBLANK(F122)),SQRT((F122^2*1/H122)/(F122^2*1/H122+1)),IF(NOT(ISBLANK(G122)),SQRT((G122*H122/I122)/(G122*H122/I122+1)*SQRT(1/H122))))</f>
        <v>7.0218975477407491E-2</v>
      </c>
      <c r="K122" s="2">
        <v>0.65</v>
      </c>
      <c r="L122" s="17">
        <v>0.65</v>
      </c>
      <c r="M122" s="2">
        <v>0</v>
      </c>
      <c r="N122" s="2">
        <v>0</v>
      </c>
    </row>
    <row r="123" spans="1:14" x14ac:dyDescent="0.25">
      <c r="A123" s="12" t="s">
        <v>108</v>
      </c>
      <c r="C123">
        <v>41</v>
      </c>
      <c r="D123">
        <v>1</v>
      </c>
      <c r="F123">
        <v>0.73</v>
      </c>
      <c r="H123">
        <v>36.54</v>
      </c>
      <c r="J123">
        <f t="shared" si="6"/>
        <v>0.11989320784181307</v>
      </c>
      <c r="K123" s="2">
        <v>0.47</v>
      </c>
      <c r="L123" s="17">
        <v>0.47</v>
      </c>
      <c r="M123" s="2">
        <v>0</v>
      </c>
      <c r="N123" s="2">
        <v>0</v>
      </c>
    </row>
    <row r="124" spans="1:14" x14ac:dyDescent="0.25">
      <c r="A124" s="12" t="s">
        <v>109</v>
      </c>
      <c r="C124">
        <v>41</v>
      </c>
      <c r="D124">
        <v>1</v>
      </c>
      <c r="F124">
        <v>0.34</v>
      </c>
      <c r="H124">
        <v>45.95</v>
      </c>
      <c r="J124">
        <f t="shared" si="6"/>
        <v>5.0094558220370455E-2</v>
      </c>
      <c r="K124" s="2">
        <v>0.73</v>
      </c>
      <c r="L124" s="17">
        <v>0.73</v>
      </c>
      <c r="M124" s="2">
        <v>0</v>
      </c>
      <c r="N124" s="2">
        <v>0</v>
      </c>
    </row>
    <row r="125" spans="1:14" x14ac:dyDescent="0.25">
      <c r="A125" s="12" t="s">
        <v>110</v>
      </c>
      <c r="C125">
        <v>41</v>
      </c>
      <c r="D125">
        <v>1</v>
      </c>
      <c r="E125">
        <v>0</v>
      </c>
      <c r="J125" t="b">
        <f t="shared" si="6"/>
        <v>0</v>
      </c>
      <c r="K125" s="2">
        <v>0.38</v>
      </c>
      <c r="L125" s="17">
        <v>0.38</v>
      </c>
      <c r="M125" s="2">
        <v>0</v>
      </c>
      <c r="N125" s="2">
        <v>0</v>
      </c>
    </row>
    <row r="126" spans="1:14" x14ac:dyDescent="0.25">
      <c r="A126" s="12" t="s">
        <v>111</v>
      </c>
      <c r="C126">
        <v>41</v>
      </c>
      <c r="D126">
        <v>1</v>
      </c>
      <c r="F126">
        <v>1.56</v>
      </c>
      <c r="H126">
        <v>34.71</v>
      </c>
      <c r="J126">
        <f t="shared" si="6"/>
        <v>0.25596618844333224</v>
      </c>
      <c r="K126" s="2">
        <v>0.13</v>
      </c>
      <c r="L126" s="17">
        <v>0.13</v>
      </c>
      <c r="M126" s="2">
        <v>0</v>
      </c>
      <c r="N126" s="2">
        <v>0</v>
      </c>
    </row>
    <row r="127" spans="1:14" x14ac:dyDescent="0.25">
      <c r="A127" s="12" t="s">
        <v>112</v>
      </c>
      <c r="C127">
        <v>41</v>
      </c>
      <c r="D127">
        <v>1</v>
      </c>
      <c r="F127">
        <v>2.27</v>
      </c>
      <c r="H127">
        <v>31.21</v>
      </c>
      <c r="J127">
        <f t="shared" si="6"/>
        <v>0.37644072518697608</v>
      </c>
      <c r="K127" s="2">
        <v>0.03</v>
      </c>
      <c r="L127" s="17">
        <v>0.03</v>
      </c>
      <c r="M127" s="2">
        <v>0</v>
      </c>
      <c r="N127" s="2">
        <v>0</v>
      </c>
    </row>
    <row r="128" spans="1:14" x14ac:dyDescent="0.25">
      <c r="A128" s="12" t="s">
        <v>113</v>
      </c>
      <c r="C128">
        <v>41</v>
      </c>
      <c r="D128">
        <v>1</v>
      </c>
      <c r="F128">
        <v>2.42</v>
      </c>
      <c r="H128">
        <v>27.62</v>
      </c>
      <c r="J128">
        <f t="shared" si="6"/>
        <v>0.41825967122489349</v>
      </c>
      <c r="K128" s="2">
        <v>2.1999999999999999E-2</v>
      </c>
      <c r="L128" s="17">
        <v>2.1999999999999999E-2</v>
      </c>
      <c r="M128" s="2">
        <v>0</v>
      </c>
      <c r="N128" s="2">
        <v>0</v>
      </c>
    </row>
    <row r="129" spans="1:14" x14ac:dyDescent="0.25">
      <c r="A129" s="12" t="s">
        <v>114</v>
      </c>
      <c r="C129">
        <v>41</v>
      </c>
      <c r="D129">
        <v>1</v>
      </c>
      <c r="F129">
        <v>2.04</v>
      </c>
      <c r="H129">
        <v>28.27</v>
      </c>
      <c r="J129">
        <f t="shared" si="6"/>
        <v>0.35821682474240918</v>
      </c>
      <c r="K129" s="2">
        <v>0.05</v>
      </c>
      <c r="L129" s="17">
        <v>0.05</v>
      </c>
      <c r="M129" s="2">
        <v>0</v>
      </c>
      <c r="N129" s="2">
        <v>0</v>
      </c>
    </row>
    <row r="130" spans="1:14" x14ac:dyDescent="0.25">
      <c r="A130" s="12" t="s">
        <v>115</v>
      </c>
      <c r="C130">
        <v>41</v>
      </c>
      <c r="D130">
        <v>1</v>
      </c>
      <c r="E130">
        <v>0</v>
      </c>
      <c r="J130" t="b">
        <f t="shared" si="6"/>
        <v>0</v>
      </c>
      <c r="K130" s="2">
        <v>0.01</v>
      </c>
      <c r="L130" s="17">
        <v>0.01</v>
      </c>
    </row>
    <row r="131" spans="1:14" x14ac:dyDescent="0.25">
      <c r="A131" s="12" t="s">
        <v>116</v>
      </c>
      <c r="C131">
        <v>41</v>
      </c>
      <c r="D131">
        <v>1</v>
      </c>
      <c r="J131">
        <v>0.21</v>
      </c>
      <c r="K131" s="2">
        <v>0.32</v>
      </c>
      <c r="L131" s="17">
        <v>0.32</v>
      </c>
    </row>
    <row r="132" spans="1:14" x14ac:dyDescent="0.25">
      <c r="A132" s="12" t="s">
        <v>117</v>
      </c>
      <c r="C132">
        <v>41</v>
      </c>
      <c r="D132">
        <v>1</v>
      </c>
      <c r="J132">
        <v>0.22</v>
      </c>
      <c r="K132" s="2">
        <v>0.3</v>
      </c>
      <c r="L132" s="17">
        <v>0.3</v>
      </c>
    </row>
    <row r="133" spans="1:14" x14ac:dyDescent="0.25">
      <c r="A133" s="12" t="s">
        <v>2514</v>
      </c>
      <c r="C133">
        <v>41</v>
      </c>
      <c r="D133">
        <v>2</v>
      </c>
      <c r="J133">
        <v>0.14000000000000001</v>
      </c>
      <c r="K133" s="2">
        <v>0.5</v>
      </c>
      <c r="L133" s="17">
        <v>0.5</v>
      </c>
    </row>
    <row r="134" spans="1:14" x14ac:dyDescent="0.25">
      <c r="A134" s="12" t="s">
        <v>2515</v>
      </c>
      <c r="C134">
        <v>41</v>
      </c>
      <c r="D134">
        <v>2</v>
      </c>
      <c r="J134">
        <v>0.28999999999999998</v>
      </c>
      <c r="K134" s="2">
        <v>0.17</v>
      </c>
      <c r="L134" s="17">
        <v>0.17</v>
      </c>
    </row>
    <row r="135" spans="1:14" x14ac:dyDescent="0.25">
      <c r="A135" s="12" t="s">
        <v>118</v>
      </c>
      <c r="C135">
        <v>41</v>
      </c>
      <c r="D135">
        <v>1</v>
      </c>
      <c r="J135">
        <v>-0.02</v>
      </c>
      <c r="K135" s="2">
        <v>0.93</v>
      </c>
      <c r="L135" s="17">
        <v>0.93</v>
      </c>
    </row>
    <row r="136" spans="1:14" x14ac:dyDescent="0.25">
      <c r="A136" s="12" t="s">
        <v>119</v>
      </c>
      <c r="C136">
        <v>41</v>
      </c>
      <c r="D136">
        <v>1</v>
      </c>
      <c r="J136">
        <v>0.54</v>
      </c>
      <c r="K136" s="2">
        <v>6.0000000000000001E-3</v>
      </c>
      <c r="L136" s="17">
        <v>6.0000000000000001E-3</v>
      </c>
    </row>
    <row r="137" spans="1:14" x14ac:dyDescent="0.25">
      <c r="A137" s="12" t="s">
        <v>120</v>
      </c>
      <c r="C137">
        <v>41</v>
      </c>
      <c r="D137">
        <v>1</v>
      </c>
      <c r="J137">
        <v>0.26</v>
      </c>
      <c r="K137" s="2">
        <v>0.22</v>
      </c>
      <c r="L137" s="17">
        <v>0.22</v>
      </c>
    </row>
    <row r="138" spans="1:14" x14ac:dyDescent="0.25">
      <c r="A138" s="12" t="s">
        <v>121</v>
      </c>
      <c r="C138">
        <v>41</v>
      </c>
      <c r="D138">
        <v>1</v>
      </c>
      <c r="J138">
        <v>0.3</v>
      </c>
      <c r="K138" s="2">
        <v>0.9</v>
      </c>
      <c r="L138" s="17">
        <v>0.9</v>
      </c>
    </row>
    <row r="139" spans="1:14" x14ac:dyDescent="0.25">
      <c r="A139" s="12" t="s">
        <v>122</v>
      </c>
      <c r="C139">
        <v>41</v>
      </c>
      <c r="D139">
        <v>1</v>
      </c>
      <c r="J139">
        <v>0.23</v>
      </c>
      <c r="K139" s="2">
        <v>0.28999999999999998</v>
      </c>
      <c r="L139" s="17">
        <v>0.28999999999999998</v>
      </c>
    </row>
    <row r="140" spans="1:14" x14ac:dyDescent="0.25">
      <c r="A140" s="12" t="s">
        <v>123</v>
      </c>
      <c r="C140">
        <v>41</v>
      </c>
      <c r="D140">
        <v>1</v>
      </c>
      <c r="J140">
        <v>0.27</v>
      </c>
      <c r="K140" s="2">
        <v>0.2</v>
      </c>
      <c r="L140" s="17">
        <v>0.2</v>
      </c>
    </row>
    <row r="141" spans="1:14" x14ac:dyDescent="0.25">
      <c r="A141" s="12" t="s">
        <v>124</v>
      </c>
      <c r="C141">
        <v>41</v>
      </c>
      <c r="D141">
        <v>1</v>
      </c>
      <c r="F141">
        <v>4.9400000000000004</v>
      </c>
      <c r="H141">
        <v>23</v>
      </c>
      <c r="J141">
        <f t="shared" ref="J141:J175" si="7">IF(NOT(ISBLANK(F141)),SQRT((F141^2*1/H141)/(F141^2*1/H141+1)),IF(NOT(ISBLANK(G141)),SQRT((G141*H141/I141)/(G141*H141/I141+1)*SQRT(1/H141))))</f>
        <v>0.71749897753175607</v>
      </c>
      <c r="K141" s="2" t="s">
        <v>2517</v>
      </c>
      <c r="L141" s="17">
        <v>1E-3</v>
      </c>
      <c r="M141" s="2">
        <v>0</v>
      </c>
      <c r="N141" s="2">
        <v>0</v>
      </c>
    </row>
    <row r="142" spans="1:14" x14ac:dyDescent="0.25">
      <c r="A142" s="12" t="s">
        <v>125</v>
      </c>
      <c r="C142">
        <v>41</v>
      </c>
      <c r="D142">
        <v>1</v>
      </c>
      <c r="F142">
        <v>3.87</v>
      </c>
      <c r="H142">
        <v>23</v>
      </c>
      <c r="J142">
        <f t="shared" si="7"/>
        <v>0.62798780403332122</v>
      </c>
      <c r="K142" s="2">
        <v>1E-3</v>
      </c>
      <c r="L142" s="17">
        <v>1E-3</v>
      </c>
      <c r="M142" s="2">
        <v>0</v>
      </c>
      <c r="N142" s="2">
        <v>0</v>
      </c>
    </row>
    <row r="143" spans="1:14" x14ac:dyDescent="0.25">
      <c r="A143" s="12" t="s">
        <v>126</v>
      </c>
      <c r="C143">
        <v>41</v>
      </c>
      <c r="D143">
        <v>1</v>
      </c>
      <c r="F143">
        <v>3.3</v>
      </c>
      <c r="H143">
        <v>23</v>
      </c>
      <c r="J143">
        <f t="shared" si="7"/>
        <v>0.56686305820987926</v>
      </c>
      <c r="K143" s="2">
        <v>3.0000000000000001E-3</v>
      </c>
      <c r="L143" s="17">
        <v>3.0000000000000001E-3</v>
      </c>
      <c r="M143" s="2">
        <v>0</v>
      </c>
      <c r="N143" s="2">
        <v>0</v>
      </c>
    </row>
    <row r="144" spans="1:14" x14ac:dyDescent="0.25">
      <c r="A144" s="12" t="s">
        <v>127</v>
      </c>
      <c r="C144">
        <v>41</v>
      </c>
      <c r="D144">
        <v>1</v>
      </c>
      <c r="F144">
        <v>2.79</v>
      </c>
      <c r="H144">
        <v>23</v>
      </c>
      <c r="J144">
        <f t="shared" si="7"/>
        <v>0.5028529157668491</v>
      </c>
      <c r="K144" s="2">
        <v>0.01</v>
      </c>
      <c r="L144" s="17">
        <v>0.01</v>
      </c>
      <c r="M144" s="2">
        <v>0</v>
      </c>
      <c r="N144" s="2">
        <v>0</v>
      </c>
    </row>
    <row r="145" spans="1:15" x14ac:dyDescent="0.25">
      <c r="A145" s="12" t="s">
        <v>128</v>
      </c>
      <c r="C145">
        <v>41</v>
      </c>
      <c r="D145">
        <v>1</v>
      </c>
      <c r="F145">
        <v>1.4</v>
      </c>
      <c r="H145">
        <v>23</v>
      </c>
      <c r="J145">
        <f t="shared" si="7"/>
        <v>0.28022426915890247</v>
      </c>
      <c r="K145" s="2">
        <v>0.17499999999999999</v>
      </c>
      <c r="L145" s="17">
        <v>0.17499999999999999</v>
      </c>
      <c r="M145" s="2">
        <v>0</v>
      </c>
      <c r="N145" s="2">
        <v>0</v>
      </c>
    </row>
    <row r="146" spans="1:15" x14ac:dyDescent="0.25">
      <c r="A146" s="12" t="s">
        <v>129</v>
      </c>
      <c r="C146">
        <v>41</v>
      </c>
      <c r="D146">
        <v>1</v>
      </c>
      <c r="F146">
        <v>0.96</v>
      </c>
      <c r="H146">
        <v>23</v>
      </c>
      <c r="J146">
        <f t="shared" si="7"/>
        <v>0.19628003238648062</v>
      </c>
      <c r="K146" s="2">
        <v>0.35</v>
      </c>
      <c r="L146" s="17">
        <v>0.35</v>
      </c>
      <c r="M146" s="2">
        <v>0</v>
      </c>
      <c r="N146" s="2">
        <v>0</v>
      </c>
    </row>
    <row r="147" spans="1:15" x14ac:dyDescent="0.25">
      <c r="A147" s="12" t="s">
        <v>130</v>
      </c>
      <c r="C147">
        <v>41</v>
      </c>
      <c r="D147">
        <v>1</v>
      </c>
      <c r="F147">
        <v>0.25</v>
      </c>
      <c r="H147">
        <v>23</v>
      </c>
      <c r="J147">
        <f t="shared" si="7"/>
        <v>5.2057920629535348E-2</v>
      </c>
      <c r="K147" s="2">
        <v>0.8</v>
      </c>
      <c r="L147" s="17">
        <v>0.8</v>
      </c>
      <c r="M147" s="2">
        <v>0</v>
      </c>
      <c r="N147" s="2">
        <v>0</v>
      </c>
    </row>
    <row r="148" spans="1:15" x14ac:dyDescent="0.25">
      <c r="A148" s="12" t="s">
        <v>131</v>
      </c>
      <c r="C148">
        <v>41</v>
      </c>
      <c r="D148">
        <v>1</v>
      </c>
      <c r="F148">
        <v>1.36</v>
      </c>
      <c r="H148">
        <v>23</v>
      </c>
      <c r="J148">
        <f t="shared" si="7"/>
        <v>0.27282188621533676</v>
      </c>
      <c r="K148" s="2">
        <v>0.19</v>
      </c>
      <c r="L148" s="17">
        <v>0.19</v>
      </c>
      <c r="M148" s="2">
        <v>0</v>
      </c>
      <c r="N148" s="2">
        <v>0</v>
      </c>
    </row>
    <row r="149" spans="1:15" x14ac:dyDescent="0.25">
      <c r="A149" s="12" t="s">
        <v>132</v>
      </c>
      <c r="C149">
        <v>41</v>
      </c>
      <c r="D149">
        <v>1</v>
      </c>
      <c r="F149">
        <v>0.93</v>
      </c>
      <c r="H149">
        <v>23</v>
      </c>
      <c r="J149">
        <f t="shared" si="7"/>
        <v>0.19037202918814358</v>
      </c>
      <c r="K149" s="2">
        <v>0.36203000000000002</v>
      </c>
      <c r="L149" s="17">
        <v>0.36203000000000002</v>
      </c>
      <c r="M149" s="2">
        <v>1</v>
      </c>
      <c r="N149" s="2">
        <v>0</v>
      </c>
    </row>
    <row r="150" spans="1:15" x14ac:dyDescent="0.25">
      <c r="A150" s="12" t="s">
        <v>133</v>
      </c>
      <c r="C150">
        <v>41</v>
      </c>
      <c r="D150">
        <v>1</v>
      </c>
      <c r="F150">
        <v>1.29</v>
      </c>
      <c r="H150">
        <v>23</v>
      </c>
      <c r="J150">
        <f t="shared" si="7"/>
        <v>0.2597509077868938</v>
      </c>
      <c r="K150" s="2">
        <v>0.21</v>
      </c>
      <c r="L150" s="17">
        <v>0.21</v>
      </c>
      <c r="M150" s="2">
        <v>0</v>
      </c>
      <c r="N150" s="2">
        <v>0</v>
      </c>
    </row>
    <row r="151" spans="1:15" x14ac:dyDescent="0.25">
      <c r="A151" s="12" t="s">
        <v>134</v>
      </c>
      <c r="C151">
        <v>42</v>
      </c>
      <c r="D151">
        <v>1</v>
      </c>
      <c r="F151">
        <v>9.33</v>
      </c>
      <c r="H151">
        <v>265</v>
      </c>
      <c r="J151">
        <f t="shared" si="7"/>
        <v>0.49725613257495821</v>
      </c>
      <c r="K151" s="2">
        <v>1E-3</v>
      </c>
      <c r="L151" s="17">
        <v>1E-3</v>
      </c>
      <c r="M151" s="2" t="s">
        <v>2558</v>
      </c>
      <c r="N151" s="2" t="s">
        <v>2558</v>
      </c>
      <c r="O151" t="s">
        <v>2135</v>
      </c>
    </row>
    <row r="152" spans="1:15" x14ac:dyDescent="0.25">
      <c r="A152" s="12" t="s">
        <v>135</v>
      </c>
      <c r="C152">
        <v>42</v>
      </c>
      <c r="D152">
        <v>1</v>
      </c>
      <c r="F152">
        <v>5.83</v>
      </c>
      <c r="H152">
        <v>265</v>
      </c>
      <c r="J152">
        <f t="shared" si="7"/>
        <v>0.33716386378719226</v>
      </c>
      <c r="K152" s="2">
        <v>1E-3</v>
      </c>
      <c r="L152" s="17">
        <v>1E-3</v>
      </c>
      <c r="M152" s="2" t="s">
        <v>2558</v>
      </c>
      <c r="N152" s="2" t="s">
        <v>2558</v>
      </c>
    </row>
    <row r="153" spans="1:15" x14ac:dyDescent="0.25">
      <c r="A153" s="12" t="s">
        <v>136</v>
      </c>
      <c r="C153">
        <v>42</v>
      </c>
      <c r="D153">
        <v>1</v>
      </c>
      <c r="G153">
        <v>17.02</v>
      </c>
      <c r="H153">
        <v>2</v>
      </c>
      <c r="I153">
        <v>267</v>
      </c>
      <c r="J153">
        <f t="shared" si="7"/>
        <v>0.28276468855294934</v>
      </c>
      <c r="K153" s="2">
        <v>1E-3</v>
      </c>
      <c r="L153" s="17">
        <v>1E-3</v>
      </c>
      <c r="M153" s="2" t="s">
        <v>2558</v>
      </c>
      <c r="N153" s="2" t="s">
        <v>2558</v>
      </c>
    </row>
    <row r="154" spans="1:15" x14ac:dyDescent="0.25">
      <c r="A154" s="12" t="s">
        <v>137</v>
      </c>
      <c r="C154">
        <v>42</v>
      </c>
      <c r="D154">
        <v>1</v>
      </c>
      <c r="G154">
        <v>4.2300000000000004</v>
      </c>
      <c r="H154">
        <v>2</v>
      </c>
      <c r="I154">
        <v>267</v>
      </c>
      <c r="J154">
        <f t="shared" si="7"/>
        <v>0.14736637852717341</v>
      </c>
      <c r="K154" s="2">
        <v>1.4999999999999999E-2</v>
      </c>
      <c r="L154" s="17">
        <v>1.4999999999999999E-2</v>
      </c>
      <c r="M154" s="2" t="s">
        <v>2558</v>
      </c>
      <c r="N154" s="2" t="s">
        <v>2558</v>
      </c>
    </row>
    <row r="155" spans="1:15" x14ac:dyDescent="0.25">
      <c r="A155" s="12" t="s">
        <v>138</v>
      </c>
      <c r="C155">
        <v>42</v>
      </c>
      <c r="D155">
        <v>1</v>
      </c>
      <c r="G155">
        <v>31.7</v>
      </c>
      <c r="H155">
        <v>1</v>
      </c>
      <c r="I155">
        <v>267</v>
      </c>
      <c r="J155">
        <f t="shared" si="7"/>
        <v>0.32577069907574147</v>
      </c>
      <c r="K155" s="2">
        <v>1E-3</v>
      </c>
      <c r="L155" s="17">
        <v>1E-3</v>
      </c>
      <c r="M155" s="2" t="s">
        <v>2558</v>
      </c>
      <c r="N155" s="2" t="s">
        <v>2558</v>
      </c>
    </row>
    <row r="156" spans="1:15" x14ac:dyDescent="0.25">
      <c r="A156" s="12" t="s">
        <v>139</v>
      </c>
      <c r="C156">
        <v>42</v>
      </c>
      <c r="D156">
        <v>1</v>
      </c>
      <c r="F156">
        <v>1.9</v>
      </c>
      <c r="H156">
        <v>267</v>
      </c>
      <c r="J156">
        <f t="shared" si="7"/>
        <v>0.11549991917408067</v>
      </c>
      <c r="K156" s="2">
        <v>0.03</v>
      </c>
      <c r="L156" s="17">
        <v>0.03</v>
      </c>
      <c r="M156" s="2" t="s">
        <v>2558</v>
      </c>
      <c r="N156" s="2" t="s">
        <v>2558</v>
      </c>
    </row>
    <row r="157" spans="1:15" x14ac:dyDescent="0.25">
      <c r="A157" s="12" t="s">
        <v>140</v>
      </c>
      <c r="C157">
        <v>42</v>
      </c>
      <c r="D157">
        <v>1</v>
      </c>
      <c r="F157">
        <v>5.27</v>
      </c>
      <c r="H157">
        <v>267</v>
      </c>
      <c r="J157">
        <f t="shared" si="7"/>
        <v>0.30694943490006515</v>
      </c>
      <c r="K157" s="2">
        <v>1E-3</v>
      </c>
      <c r="L157" s="17">
        <v>1E-3</v>
      </c>
      <c r="M157" s="2" t="s">
        <v>2558</v>
      </c>
      <c r="N157" s="2" t="s">
        <v>2558</v>
      </c>
    </row>
    <row r="158" spans="1:15" x14ac:dyDescent="0.25">
      <c r="A158" s="12" t="s">
        <v>141</v>
      </c>
      <c r="C158">
        <v>43</v>
      </c>
      <c r="D158">
        <v>1</v>
      </c>
      <c r="E158">
        <v>0</v>
      </c>
      <c r="J158" t="b">
        <f t="shared" si="7"/>
        <v>0</v>
      </c>
    </row>
    <row r="159" spans="1:15" x14ac:dyDescent="0.25">
      <c r="A159" s="12" t="s">
        <v>142</v>
      </c>
      <c r="C159">
        <v>43</v>
      </c>
      <c r="D159">
        <v>1</v>
      </c>
      <c r="E159">
        <v>0</v>
      </c>
      <c r="J159" t="b">
        <f t="shared" si="7"/>
        <v>0</v>
      </c>
    </row>
    <row r="160" spans="1:15" x14ac:dyDescent="0.25">
      <c r="A160" s="12" t="s">
        <v>143</v>
      </c>
      <c r="C160">
        <v>43</v>
      </c>
      <c r="D160">
        <v>1</v>
      </c>
      <c r="E160">
        <v>0</v>
      </c>
      <c r="J160" t="b">
        <f t="shared" si="7"/>
        <v>0</v>
      </c>
      <c r="K160" s="2">
        <v>0.40616000000000002</v>
      </c>
      <c r="L160" s="17">
        <v>0.40616000000000002</v>
      </c>
      <c r="M160" s="2">
        <v>1</v>
      </c>
      <c r="N160" s="2">
        <v>0</v>
      </c>
    </row>
    <row r="161" spans="1:15" x14ac:dyDescent="0.25">
      <c r="A161" s="12" t="s">
        <v>144</v>
      </c>
      <c r="C161">
        <v>43</v>
      </c>
      <c r="D161">
        <v>1</v>
      </c>
      <c r="E161">
        <v>0</v>
      </c>
      <c r="J161" t="b">
        <f t="shared" si="7"/>
        <v>0</v>
      </c>
      <c r="K161" s="2" t="s">
        <v>2517</v>
      </c>
      <c r="L161" s="17">
        <v>1E-3</v>
      </c>
    </row>
    <row r="162" spans="1:15" x14ac:dyDescent="0.25">
      <c r="A162" s="12" t="s">
        <v>145</v>
      </c>
      <c r="C162">
        <v>43</v>
      </c>
      <c r="D162">
        <v>1</v>
      </c>
      <c r="E162">
        <v>0</v>
      </c>
      <c r="J162" t="b">
        <f t="shared" si="7"/>
        <v>0</v>
      </c>
      <c r="K162" s="15">
        <v>0.41188999999999998</v>
      </c>
      <c r="L162" s="18">
        <v>0.41188999999999998</v>
      </c>
      <c r="M162" s="2">
        <v>1</v>
      </c>
      <c r="N162" s="2">
        <v>0</v>
      </c>
    </row>
    <row r="163" spans="1:15" x14ac:dyDescent="0.25">
      <c r="A163" s="12" t="s">
        <v>146</v>
      </c>
      <c r="C163">
        <v>43</v>
      </c>
      <c r="D163">
        <v>1</v>
      </c>
      <c r="E163">
        <v>0</v>
      </c>
      <c r="J163" t="b">
        <f t="shared" si="7"/>
        <v>0</v>
      </c>
      <c r="K163" s="2">
        <v>0.55230000000000001</v>
      </c>
      <c r="L163" s="17">
        <v>0.55230000000000001</v>
      </c>
      <c r="M163" s="2">
        <v>1</v>
      </c>
      <c r="N163" s="2">
        <v>0</v>
      </c>
    </row>
    <row r="164" spans="1:15" x14ac:dyDescent="0.25">
      <c r="A164" s="12" t="s">
        <v>147</v>
      </c>
      <c r="C164">
        <v>43</v>
      </c>
      <c r="D164">
        <v>2</v>
      </c>
      <c r="E164">
        <v>0</v>
      </c>
      <c r="J164" t="b">
        <f t="shared" si="7"/>
        <v>0</v>
      </c>
      <c r="K164" s="2" t="s">
        <v>2517</v>
      </c>
      <c r="L164" s="17">
        <v>1E-3</v>
      </c>
      <c r="M164" s="2">
        <v>1</v>
      </c>
      <c r="N164" s="2">
        <v>0</v>
      </c>
      <c r="O164" t="s">
        <v>2140</v>
      </c>
    </row>
    <row r="165" spans="1:15" x14ac:dyDescent="0.25">
      <c r="A165" s="12" t="s">
        <v>148</v>
      </c>
      <c r="C165">
        <v>43</v>
      </c>
      <c r="D165">
        <v>1</v>
      </c>
      <c r="E165">
        <v>0</v>
      </c>
      <c r="J165" t="b">
        <f t="shared" si="7"/>
        <v>0</v>
      </c>
      <c r="K165" s="2">
        <v>1.1089999999999999E-2</v>
      </c>
      <c r="L165" s="17">
        <v>1.1089999999999999E-2</v>
      </c>
      <c r="M165" s="2">
        <v>1</v>
      </c>
      <c r="N165" s="2">
        <v>1</v>
      </c>
    </row>
    <row r="166" spans="1:15" x14ac:dyDescent="0.25">
      <c r="A166" s="12" t="s">
        <v>149</v>
      </c>
      <c r="C166">
        <v>43</v>
      </c>
      <c r="D166">
        <v>1</v>
      </c>
      <c r="E166">
        <v>0</v>
      </c>
      <c r="J166" t="b">
        <f t="shared" si="7"/>
        <v>0</v>
      </c>
      <c r="K166" s="2">
        <v>1.4E-2</v>
      </c>
      <c r="L166" s="17">
        <v>1.4E-2</v>
      </c>
      <c r="M166" s="2">
        <v>0</v>
      </c>
      <c r="N166" s="2">
        <v>0</v>
      </c>
    </row>
    <row r="167" spans="1:15" x14ac:dyDescent="0.25">
      <c r="A167" s="12" t="s">
        <v>150</v>
      </c>
      <c r="C167">
        <v>43</v>
      </c>
      <c r="D167">
        <v>1</v>
      </c>
      <c r="E167">
        <v>0</v>
      </c>
      <c r="J167" t="b">
        <f t="shared" si="7"/>
        <v>0</v>
      </c>
      <c r="K167" s="2">
        <v>0.33500000000000002</v>
      </c>
      <c r="L167" s="17">
        <v>0.33500000000000002</v>
      </c>
    </row>
    <row r="168" spans="1:15" x14ac:dyDescent="0.25">
      <c r="A168" s="12" t="s">
        <v>151</v>
      </c>
      <c r="C168">
        <v>43</v>
      </c>
      <c r="D168">
        <v>2</v>
      </c>
      <c r="E168">
        <v>0</v>
      </c>
      <c r="J168" t="b">
        <f t="shared" si="7"/>
        <v>0</v>
      </c>
      <c r="K168" s="2" t="s">
        <v>2517</v>
      </c>
      <c r="L168" s="17">
        <v>1E-3</v>
      </c>
    </row>
    <row r="169" spans="1:15" x14ac:dyDescent="0.25">
      <c r="A169" s="12" t="s">
        <v>152</v>
      </c>
      <c r="C169">
        <v>43</v>
      </c>
      <c r="D169">
        <v>0</v>
      </c>
      <c r="J169" t="b">
        <f t="shared" si="7"/>
        <v>0</v>
      </c>
      <c r="K169" s="2">
        <v>5.1999999999999998E-2</v>
      </c>
      <c r="L169" s="17">
        <v>5.1999999999999998E-2</v>
      </c>
      <c r="M169" s="2" t="s">
        <v>2558</v>
      </c>
      <c r="N169" s="2" t="s">
        <v>2558</v>
      </c>
    </row>
    <row r="170" spans="1:15" x14ac:dyDescent="0.25">
      <c r="A170" s="12" t="s">
        <v>153</v>
      </c>
      <c r="C170">
        <v>43</v>
      </c>
      <c r="D170">
        <v>0</v>
      </c>
      <c r="J170" t="b">
        <f t="shared" si="7"/>
        <v>0</v>
      </c>
      <c r="K170" s="2">
        <v>5.0999999999999997E-2</v>
      </c>
      <c r="L170" s="17">
        <v>5.0999999999999997E-2</v>
      </c>
      <c r="M170" s="2" t="s">
        <v>2558</v>
      </c>
      <c r="N170" s="2" t="s">
        <v>2558</v>
      </c>
    </row>
    <row r="171" spans="1:15" x14ac:dyDescent="0.25">
      <c r="A171" s="12" t="s">
        <v>154</v>
      </c>
      <c r="C171">
        <v>43</v>
      </c>
      <c r="D171">
        <v>1</v>
      </c>
      <c r="E171">
        <v>0</v>
      </c>
      <c r="J171" t="b">
        <f t="shared" si="7"/>
        <v>0</v>
      </c>
      <c r="K171" s="2" t="s">
        <v>2518</v>
      </c>
      <c r="L171" s="17" t="s">
        <v>2518</v>
      </c>
      <c r="M171" s="2">
        <v>1</v>
      </c>
      <c r="N171" s="2">
        <v>0</v>
      </c>
    </row>
    <row r="172" spans="1:15" x14ac:dyDescent="0.25">
      <c r="A172" s="12" t="s">
        <v>155</v>
      </c>
      <c r="C172">
        <v>43</v>
      </c>
      <c r="D172">
        <v>1</v>
      </c>
      <c r="E172">
        <v>0</v>
      </c>
      <c r="J172" t="b">
        <f t="shared" si="7"/>
        <v>0</v>
      </c>
      <c r="K172" s="2">
        <v>0.40616000000000002</v>
      </c>
      <c r="L172" s="17">
        <v>0.40616000000000002</v>
      </c>
      <c r="M172" s="2">
        <v>1</v>
      </c>
      <c r="N172" s="2">
        <v>0</v>
      </c>
    </row>
    <row r="173" spans="1:15" x14ac:dyDescent="0.25">
      <c r="A173" s="12" t="s">
        <v>156</v>
      </c>
      <c r="C173">
        <v>43</v>
      </c>
      <c r="D173">
        <v>0</v>
      </c>
      <c r="J173" t="b">
        <f t="shared" si="7"/>
        <v>0</v>
      </c>
      <c r="K173" s="2">
        <v>0.17757999999999999</v>
      </c>
      <c r="L173" s="17">
        <v>0.17757999999999999</v>
      </c>
      <c r="M173" s="2">
        <v>1</v>
      </c>
      <c r="N173" s="2">
        <v>0</v>
      </c>
    </row>
    <row r="174" spans="1:15" x14ac:dyDescent="0.25">
      <c r="A174" s="12" t="s">
        <v>157</v>
      </c>
      <c r="C174">
        <v>43</v>
      </c>
      <c r="D174">
        <v>2</v>
      </c>
      <c r="E174">
        <v>0</v>
      </c>
      <c r="J174" t="b">
        <f t="shared" si="7"/>
        <v>0</v>
      </c>
      <c r="K174" s="2" t="s">
        <v>2519</v>
      </c>
      <c r="L174" s="17">
        <v>1E-3</v>
      </c>
      <c r="O174" t="s">
        <v>2140</v>
      </c>
    </row>
    <row r="175" spans="1:15" x14ac:dyDescent="0.25">
      <c r="A175" s="12" t="s">
        <v>158</v>
      </c>
      <c r="C175">
        <v>43</v>
      </c>
      <c r="D175">
        <v>1</v>
      </c>
      <c r="E175">
        <v>0</v>
      </c>
      <c r="J175" t="b">
        <f t="shared" si="7"/>
        <v>0</v>
      </c>
      <c r="K175" s="2">
        <v>0.16112000000000001</v>
      </c>
      <c r="L175" s="17">
        <v>0.16112000000000001</v>
      </c>
      <c r="M175" s="2">
        <v>1</v>
      </c>
      <c r="N175" s="2">
        <v>0</v>
      </c>
    </row>
    <row r="176" spans="1:15" x14ac:dyDescent="0.25">
      <c r="A176" s="12" t="s">
        <v>159</v>
      </c>
      <c r="C176">
        <v>44</v>
      </c>
      <c r="D176">
        <v>1</v>
      </c>
      <c r="J176">
        <v>0.95</v>
      </c>
      <c r="K176" s="2" t="s">
        <v>2520</v>
      </c>
      <c r="L176" s="17">
        <v>0.01</v>
      </c>
      <c r="M176" s="2">
        <v>0</v>
      </c>
      <c r="N176" s="2">
        <v>0</v>
      </c>
    </row>
    <row r="177" spans="1:15" x14ac:dyDescent="0.25">
      <c r="A177" s="12" t="s">
        <v>160</v>
      </c>
      <c r="C177">
        <v>44</v>
      </c>
      <c r="D177">
        <v>1</v>
      </c>
      <c r="J177">
        <v>0.2</v>
      </c>
      <c r="K177" s="2" t="s">
        <v>2520</v>
      </c>
      <c r="L177" s="17">
        <v>0.01</v>
      </c>
      <c r="M177" s="2">
        <v>0</v>
      </c>
      <c r="N177" s="2">
        <v>0</v>
      </c>
    </row>
    <row r="178" spans="1:15" x14ac:dyDescent="0.25">
      <c r="A178" s="12" t="s">
        <v>2577</v>
      </c>
      <c r="C178">
        <v>48</v>
      </c>
      <c r="D178">
        <v>1</v>
      </c>
      <c r="E178">
        <v>0</v>
      </c>
      <c r="J178" t="b">
        <f t="shared" ref="J178:J185" si="8">IF(NOT(ISBLANK(F178)),SQRT((F178^2*1/H178)/(F178^2*1/H178+1)),IF(NOT(ISBLANK(G178)),SQRT((G178*H178/I178)/(G178*H178/I178+1)*SQRT(1/H178))))</f>
        <v>0</v>
      </c>
      <c r="K178" s="2" t="s">
        <v>2578</v>
      </c>
      <c r="L178" s="17">
        <v>1E-3</v>
      </c>
      <c r="M178" s="2" t="s">
        <v>2558</v>
      </c>
      <c r="N178" s="2" t="s">
        <v>2558</v>
      </c>
    </row>
    <row r="179" spans="1:15" x14ac:dyDescent="0.25">
      <c r="A179" s="12" t="s">
        <v>2579</v>
      </c>
      <c r="C179">
        <v>48</v>
      </c>
      <c r="D179">
        <v>1</v>
      </c>
      <c r="E179">
        <v>0</v>
      </c>
      <c r="J179" t="b">
        <f t="shared" si="8"/>
        <v>0</v>
      </c>
      <c r="K179" s="2" t="s">
        <v>2580</v>
      </c>
      <c r="L179" s="17">
        <v>4.9000000000000002E-2</v>
      </c>
      <c r="M179" s="2" t="s">
        <v>2558</v>
      </c>
      <c r="N179" s="2" t="s">
        <v>2558</v>
      </c>
    </row>
    <row r="180" spans="1:15" x14ac:dyDescent="0.25">
      <c r="A180" s="12" t="s">
        <v>2581</v>
      </c>
      <c r="C180">
        <v>48</v>
      </c>
      <c r="D180">
        <v>1</v>
      </c>
      <c r="E180">
        <v>0</v>
      </c>
      <c r="J180" t="b">
        <f t="shared" si="8"/>
        <v>0</v>
      </c>
      <c r="K180" s="2">
        <v>0.32</v>
      </c>
      <c r="L180" s="17">
        <v>0.32</v>
      </c>
      <c r="M180" s="2" t="s">
        <v>2558</v>
      </c>
      <c r="N180" s="2" t="s">
        <v>2558</v>
      </c>
    </row>
    <row r="181" spans="1:15" x14ac:dyDescent="0.25">
      <c r="A181" s="12" t="s">
        <v>2582</v>
      </c>
      <c r="C181">
        <v>48</v>
      </c>
      <c r="D181">
        <v>1</v>
      </c>
      <c r="E181">
        <v>0</v>
      </c>
      <c r="J181" t="b">
        <f t="shared" si="8"/>
        <v>0</v>
      </c>
      <c r="K181" s="2">
        <v>0.67</v>
      </c>
      <c r="L181" s="17">
        <v>0.67</v>
      </c>
      <c r="M181" s="2" t="s">
        <v>2558</v>
      </c>
      <c r="N181" s="2" t="s">
        <v>2558</v>
      </c>
    </row>
    <row r="182" spans="1:15" x14ac:dyDescent="0.25">
      <c r="A182" s="11" t="s">
        <v>2583</v>
      </c>
      <c r="C182">
        <v>48</v>
      </c>
      <c r="D182">
        <v>1</v>
      </c>
      <c r="E182">
        <v>0</v>
      </c>
      <c r="J182" t="b">
        <f t="shared" si="8"/>
        <v>0</v>
      </c>
      <c r="K182" s="2">
        <v>0.36</v>
      </c>
      <c r="L182" s="17">
        <v>0.36</v>
      </c>
      <c r="M182" s="2" t="s">
        <v>2558</v>
      </c>
      <c r="N182" s="2" t="s">
        <v>2558</v>
      </c>
    </row>
    <row r="183" spans="1:15" x14ac:dyDescent="0.25">
      <c r="A183" s="11" t="s">
        <v>2584</v>
      </c>
      <c r="C183">
        <v>48</v>
      </c>
      <c r="D183">
        <v>1</v>
      </c>
      <c r="E183">
        <v>0</v>
      </c>
      <c r="J183" t="b">
        <f t="shared" si="8"/>
        <v>0</v>
      </c>
      <c r="K183" s="2">
        <v>0.67</v>
      </c>
      <c r="L183" s="17">
        <v>0.67</v>
      </c>
      <c r="M183" s="2" t="s">
        <v>2558</v>
      </c>
      <c r="N183" s="2" t="s">
        <v>2558</v>
      </c>
    </row>
    <row r="184" spans="1:15" x14ac:dyDescent="0.25">
      <c r="A184" s="11" t="s">
        <v>2585</v>
      </c>
      <c r="C184">
        <v>48</v>
      </c>
      <c r="D184">
        <v>1</v>
      </c>
      <c r="E184">
        <v>0</v>
      </c>
      <c r="J184" t="b">
        <f t="shared" si="8"/>
        <v>0</v>
      </c>
      <c r="K184" s="2" t="s">
        <v>2517</v>
      </c>
      <c r="L184" s="17">
        <v>1E-3</v>
      </c>
      <c r="M184" s="2" t="s">
        <v>2558</v>
      </c>
      <c r="N184" s="2" t="s">
        <v>2558</v>
      </c>
    </row>
    <row r="185" spans="1:15" x14ac:dyDescent="0.25">
      <c r="A185" s="11" t="s">
        <v>2586</v>
      </c>
      <c r="C185">
        <v>48</v>
      </c>
      <c r="D185">
        <v>1</v>
      </c>
      <c r="E185">
        <v>0</v>
      </c>
      <c r="J185" t="b">
        <f t="shared" si="8"/>
        <v>0</v>
      </c>
      <c r="K185" s="2">
        <v>0.53</v>
      </c>
      <c r="L185" s="17">
        <v>0.53</v>
      </c>
      <c r="M185" s="2" t="s">
        <v>2558</v>
      </c>
      <c r="N185" s="2" t="s">
        <v>2558</v>
      </c>
    </row>
    <row r="186" spans="1:15" x14ac:dyDescent="0.25">
      <c r="A186" s="12" t="s">
        <v>161</v>
      </c>
      <c r="C186">
        <v>49</v>
      </c>
      <c r="D186">
        <v>1</v>
      </c>
      <c r="G186">
        <v>7.88</v>
      </c>
      <c r="H186">
        <v>1</v>
      </c>
      <c r="I186">
        <v>26</v>
      </c>
      <c r="J186">
        <f t="shared" ref="J186:J215" si="9">IF(NOT(ISBLANK(F186)),SQRT((F186^2*1/H186)/(F186^2*1/H186+1)),IF(NOT(ISBLANK(G186)),SQRT((G186*H186/I186)/(G186*H186/I186+1)*SQRT(1/H186))))</f>
        <v>0.48227128902927641</v>
      </c>
      <c r="K186" s="2">
        <v>0.01</v>
      </c>
      <c r="L186" s="17">
        <v>0.01</v>
      </c>
      <c r="M186" s="2" t="s">
        <v>2558</v>
      </c>
      <c r="N186" s="2" t="s">
        <v>2558</v>
      </c>
      <c r="O186" t="s">
        <v>2135</v>
      </c>
    </row>
    <row r="187" spans="1:15" x14ac:dyDescent="0.25">
      <c r="A187" s="12" t="s">
        <v>162</v>
      </c>
      <c r="C187">
        <v>49</v>
      </c>
      <c r="D187">
        <v>1</v>
      </c>
      <c r="G187">
        <v>6.97</v>
      </c>
      <c r="H187">
        <v>1</v>
      </c>
      <c r="I187">
        <v>26</v>
      </c>
      <c r="J187">
        <f t="shared" si="9"/>
        <v>0.4597872409557579</v>
      </c>
      <c r="K187" s="2">
        <v>0.01</v>
      </c>
      <c r="L187" s="17">
        <v>0.01</v>
      </c>
      <c r="M187" s="2" t="s">
        <v>2558</v>
      </c>
      <c r="N187" s="2" t="s">
        <v>2558</v>
      </c>
    </row>
    <row r="188" spans="1:15" x14ac:dyDescent="0.25">
      <c r="A188" s="12" t="s">
        <v>163</v>
      </c>
      <c r="C188">
        <v>49</v>
      </c>
      <c r="D188">
        <v>1</v>
      </c>
      <c r="F188">
        <v>3.34</v>
      </c>
      <c r="H188">
        <v>46</v>
      </c>
      <c r="J188">
        <f t="shared" si="9"/>
        <v>0.44179121197357485</v>
      </c>
      <c r="K188" s="2">
        <v>4.0000000000000001E-3</v>
      </c>
      <c r="L188" s="17">
        <v>4.0000000000000001E-3</v>
      </c>
      <c r="M188" s="2" t="s">
        <v>2558</v>
      </c>
      <c r="N188" s="2" t="s">
        <v>2558</v>
      </c>
    </row>
    <row r="189" spans="1:15" x14ac:dyDescent="0.25">
      <c r="A189" s="12" t="s">
        <v>164</v>
      </c>
      <c r="C189">
        <v>49</v>
      </c>
      <c r="D189">
        <v>1</v>
      </c>
      <c r="F189">
        <v>0.92</v>
      </c>
      <c r="H189">
        <v>18</v>
      </c>
      <c r="J189">
        <f t="shared" si="9"/>
        <v>0.21192081970138085</v>
      </c>
      <c r="K189" s="2" t="s">
        <v>2521</v>
      </c>
      <c r="L189" s="17">
        <v>0.25</v>
      </c>
      <c r="M189" s="2" t="s">
        <v>2558</v>
      </c>
      <c r="N189" s="2" t="s">
        <v>2558</v>
      </c>
    </row>
    <row r="190" spans="1:15" x14ac:dyDescent="0.25">
      <c r="A190" s="12" t="s">
        <v>165</v>
      </c>
      <c r="C190">
        <v>49</v>
      </c>
      <c r="D190">
        <v>1</v>
      </c>
      <c r="F190">
        <v>0.61099999999999999</v>
      </c>
      <c r="H190">
        <v>33</v>
      </c>
      <c r="J190">
        <f t="shared" si="9"/>
        <v>0.1057648839931036</v>
      </c>
      <c r="K190" s="2" t="s">
        <v>2521</v>
      </c>
      <c r="L190" s="17">
        <v>0.25</v>
      </c>
      <c r="M190" s="2" t="s">
        <v>2558</v>
      </c>
      <c r="N190" s="2" t="s">
        <v>2558</v>
      </c>
    </row>
    <row r="191" spans="1:15" x14ac:dyDescent="0.25">
      <c r="A191" s="12" t="s">
        <v>166</v>
      </c>
      <c r="C191">
        <v>49</v>
      </c>
      <c r="D191">
        <v>1</v>
      </c>
      <c r="F191">
        <v>0.45</v>
      </c>
      <c r="H191">
        <v>34</v>
      </c>
      <c r="J191">
        <f t="shared" si="9"/>
        <v>7.6945564119909868E-2</v>
      </c>
      <c r="K191" s="2">
        <v>0.65</v>
      </c>
      <c r="L191" s="17">
        <v>0.65</v>
      </c>
      <c r="M191" s="2" t="s">
        <v>2558</v>
      </c>
      <c r="N191" s="2" t="s">
        <v>2558</v>
      </c>
    </row>
    <row r="192" spans="1:15" x14ac:dyDescent="0.25">
      <c r="A192" s="12" t="s">
        <v>167</v>
      </c>
      <c r="C192">
        <v>49</v>
      </c>
      <c r="D192">
        <v>1</v>
      </c>
      <c r="G192">
        <v>1.24</v>
      </c>
      <c r="H192">
        <v>1</v>
      </c>
      <c r="I192">
        <v>33</v>
      </c>
      <c r="J192">
        <f t="shared" si="9"/>
        <v>0.19030226817100218</v>
      </c>
      <c r="K192" s="2" t="s">
        <v>2521</v>
      </c>
      <c r="L192" s="17">
        <v>0.25</v>
      </c>
      <c r="M192" s="2" t="s">
        <v>2558</v>
      </c>
      <c r="N192" s="2" t="s">
        <v>2558</v>
      </c>
    </row>
    <row r="193" spans="1:15" x14ac:dyDescent="0.25">
      <c r="A193" s="12" t="s">
        <v>168</v>
      </c>
      <c r="C193">
        <v>49</v>
      </c>
      <c r="D193">
        <v>1</v>
      </c>
      <c r="G193">
        <v>1.03</v>
      </c>
      <c r="H193">
        <v>1</v>
      </c>
      <c r="I193">
        <v>33</v>
      </c>
      <c r="J193">
        <f t="shared" si="9"/>
        <v>0.17397531752477424</v>
      </c>
      <c r="K193" s="2" t="s">
        <v>2521</v>
      </c>
      <c r="L193" s="17">
        <v>0.25</v>
      </c>
      <c r="M193" s="2" t="s">
        <v>2558</v>
      </c>
      <c r="N193" s="2" t="s">
        <v>2558</v>
      </c>
    </row>
    <row r="194" spans="1:15" x14ac:dyDescent="0.25">
      <c r="A194" s="12" t="s">
        <v>169</v>
      </c>
      <c r="C194">
        <v>49</v>
      </c>
      <c r="D194">
        <v>1</v>
      </c>
      <c r="G194">
        <v>0.62</v>
      </c>
      <c r="H194">
        <v>1</v>
      </c>
      <c r="I194">
        <v>33</v>
      </c>
      <c r="J194">
        <f t="shared" si="9"/>
        <v>0.13579913080073225</v>
      </c>
      <c r="K194" s="2" t="s">
        <v>2521</v>
      </c>
      <c r="L194" s="17">
        <v>0.25</v>
      </c>
      <c r="M194" s="2" t="s">
        <v>2558</v>
      </c>
      <c r="N194" s="2" t="s">
        <v>2558</v>
      </c>
    </row>
    <row r="195" spans="1:15" x14ac:dyDescent="0.25">
      <c r="A195" s="12" t="s">
        <v>170</v>
      </c>
      <c r="C195">
        <v>49</v>
      </c>
      <c r="D195">
        <v>1</v>
      </c>
      <c r="G195">
        <v>1.18</v>
      </c>
      <c r="H195">
        <v>1</v>
      </c>
      <c r="I195">
        <v>33</v>
      </c>
      <c r="J195">
        <f t="shared" si="9"/>
        <v>0.18580396371320745</v>
      </c>
      <c r="K195" s="2" t="s">
        <v>2521</v>
      </c>
      <c r="L195" s="17">
        <v>0.25</v>
      </c>
      <c r="M195" s="2" t="s">
        <v>2558</v>
      </c>
      <c r="N195" s="2" t="s">
        <v>2558</v>
      </c>
    </row>
    <row r="196" spans="1:15" x14ac:dyDescent="0.25">
      <c r="A196" s="12" t="s">
        <v>171</v>
      </c>
      <c r="C196">
        <v>49</v>
      </c>
      <c r="D196">
        <v>1</v>
      </c>
      <c r="G196">
        <v>278.08</v>
      </c>
      <c r="H196">
        <v>1</v>
      </c>
      <c r="I196">
        <v>33</v>
      </c>
      <c r="J196">
        <f t="shared" si="9"/>
        <v>0.94547234926511414</v>
      </c>
      <c r="K196" s="2" t="s">
        <v>2141</v>
      </c>
      <c r="L196" s="17">
        <v>1E-3</v>
      </c>
      <c r="M196" s="2" t="s">
        <v>2558</v>
      </c>
      <c r="N196" s="2" t="s">
        <v>2558</v>
      </c>
    </row>
    <row r="197" spans="1:15" x14ac:dyDescent="0.25">
      <c r="A197" s="12" t="s">
        <v>172</v>
      </c>
      <c r="C197">
        <v>49</v>
      </c>
      <c r="D197">
        <v>1</v>
      </c>
      <c r="G197">
        <v>6.71</v>
      </c>
      <c r="H197">
        <v>1</v>
      </c>
      <c r="I197">
        <v>33</v>
      </c>
      <c r="J197">
        <f t="shared" si="9"/>
        <v>0.41106577241613967</v>
      </c>
      <c r="K197" s="2">
        <v>1.4E-2</v>
      </c>
      <c r="L197" s="17">
        <v>1.4E-2</v>
      </c>
      <c r="M197" s="2" t="s">
        <v>2558</v>
      </c>
      <c r="N197" s="2" t="s">
        <v>2558</v>
      </c>
    </row>
    <row r="198" spans="1:15" x14ac:dyDescent="0.25">
      <c r="A198" s="12" t="s">
        <v>173</v>
      </c>
      <c r="C198">
        <v>49</v>
      </c>
      <c r="D198">
        <v>1</v>
      </c>
      <c r="F198">
        <v>2.2999999999999998</v>
      </c>
      <c r="H198">
        <v>33</v>
      </c>
      <c r="J198">
        <f t="shared" si="9"/>
        <v>0.37169365954694655</v>
      </c>
      <c r="K198" s="2">
        <v>2.8000000000000001E-2</v>
      </c>
      <c r="L198" s="17">
        <v>2.8000000000000001E-2</v>
      </c>
      <c r="M198" s="2" t="s">
        <v>2558</v>
      </c>
      <c r="N198" s="2" t="s">
        <v>2558</v>
      </c>
    </row>
    <row r="199" spans="1:15" x14ac:dyDescent="0.25">
      <c r="A199" s="12" t="s">
        <v>174</v>
      </c>
      <c r="C199">
        <v>49</v>
      </c>
      <c r="D199">
        <v>1</v>
      </c>
      <c r="F199">
        <v>1.59</v>
      </c>
      <c r="H199">
        <v>33</v>
      </c>
      <c r="J199">
        <f t="shared" si="9"/>
        <v>0.26675411830469692</v>
      </c>
      <c r="K199" s="2">
        <v>0.123</v>
      </c>
      <c r="L199" s="17">
        <v>0.123</v>
      </c>
      <c r="M199" s="2" t="s">
        <v>2558</v>
      </c>
      <c r="N199" s="2" t="s">
        <v>2558</v>
      </c>
    </row>
    <row r="200" spans="1:15" x14ac:dyDescent="0.25">
      <c r="A200" s="12" t="s">
        <v>175</v>
      </c>
      <c r="C200">
        <v>49</v>
      </c>
      <c r="D200">
        <v>1</v>
      </c>
      <c r="G200">
        <v>5.43</v>
      </c>
      <c r="H200">
        <v>1</v>
      </c>
      <c r="I200">
        <v>26</v>
      </c>
      <c r="J200">
        <f t="shared" si="9"/>
        <v>0.41564994204726452</v>
      </c>
      <c r="K200" s="2">
        <v>2.8000000000000001E-2</v>
      </c>
      <c r="L200" s="17">
        <v>2.8000000000000001E-2</v>
      </c>
      <c r="M200" s="2" t="s">
        <v>2558</v>
      </c>
      <c r="N200" s="2" t="s">
        <v>2558</v>
      </c>
    </row>
    <row r="201" spans="1:15" x14ac:dyDescent="0.25">
      <c r="A201" s="12" t="s">
        <v>176</v>
      </c>
      <c r="C201">
        <v>49</v>
      </c>
      <c r="D201">
        <v>1</v>
      </c>
      <c r="G201">
        <v>4.75</v>
      </c>
      <c r="H201">
        <v>1</v>
      </c>
      <c r="I201">
        <v>17</v>
      </c>
      <c r="J201">
        <f t="shared" si="9"/>
        <v>0.46732301954611777</v>
      </c>
      <c r="K201" s="2">
        <v>0.04</v>
      </c>
      <c r="L201" s="17">
        <v>0.04</v>
      </c>
      <c r="M201" s="2" t="s">
        <v>2558</v>
      </c>
      <c r="N201" s="2" t="s">
        <v>2558</v>
      </c>
    </row>
    <row r="202" spans="1:15" x14ac:dyDescent="0.25">
      <c r="A202" s="12" t="s">
        <v>177</v>
      </c>
      <c r="C202">
        <v>49</v>
      </c>
      <c r="D202">
        <v>1</v>
      </c>
      <c r="G202">
        <v>6.9</v>
      </c>
      <c r="H202">
        <v>1</v>
      </c>
      <c r="I202">
        <v>16</v>
      </c>
      <c r="J202">
        <f t="shared" si="9"/>
        <v>0.5489171555600374</v>
      </c>
      <c r="K202" s="2">
        <v>0.02</v>
      </c>
      <c r="L202" s="17">
        <v>0.02</v>
      </c>
      <c r="M202" s="2" t="s">
        <v>2558</v>
      </c>
      <c r="N202" s="2" t="s">
        <v>2558</v>
      </c>
    </row>
    <row r="203" spans="1:15" x14ac:dyDescent="0.25">
      <c r="A203" s="12" t="s">
        <v>178</v>
      </c>
      <c r="C203">
        <v>49</v>
      </c>
      <c r="D203">
        <v>1</v>
      </c>
      <c r="G203">
        <v>4.99</v>
      </c>
      <c r="H203">
        <v>1</v>
      </c>
      <c r="I203">
        <v>16</v>
      </c>
      <c r="J203">
        <f t="shared" si="9"/>
        <v>0.48757794602917154</v>
      </c>
      <c r="K203" s="2">
        <v>0.04</v>
      </c>
      <c r="L203" s="17">
        <v>0.04</v>
      </c>
      <c r="M203" s="2" t="s">
        <v>2558</v>
      </c>
      <c r="N203" s="2" t="s">
        <v>2558</v>
      </c>
    </row>
    <row r="204" spans="1:15" x14ac:dyDescent="0.25">
      <c r="A204" s="12" t="s">
        <v>179</v>
      </c>
      <c r="C204">
        <v>49</v>
      </c>
      <c r="D204">
        <v>2</v>
      </c>
      <c r="G204">
        <v>4.16</v>
      </c>
      <c r="H204">
        <v>1</v>
      </c>
      <c r="I204">
        <v>15</v>
      </c>
      <c r="J204">
        <f t="shared" si="9"/>
        <v>0.46596029649779958</v>
      </c>
      <c r="K204" s="2">
        <v>4.8000000000000001E-2</v>
      </c>
      <c r="L204" s="17">
        <v>4.8000000000000001E-2</v>
      </c>
      <c r="M204" s="2" t="s">
        <v>2558</v>
      </c>
      <c r="N204" s="2" t="s">
        <v>2558</v>
      </c>
      <c r="O204" t="s">
        <v>2142</v>
      </c>
    </row>
    <row r="205" spans="1:15" x14ac:dyDescent="0.25">
      <c r="A205" s="12" t="s">
        <v>180</v>
      </c>
      <c r="C205">
        <v>49</v>
      </c>
      <c r="D205">
        <v>1</v>
      </c>
      <c r="G205">
        <v>0.46</v>
      </c>
      <c r="H205">
        <v>1</v>
      </c>
      <c r="I205">
        <v>16</v>
      </c>
      <c r="J205">
        <f t="shared" si="9"/>
        <v>0.16717217788716601</v>
      </c>
      <c r="K205" s="2" t="s">
        <v>2521</v>
      </c>
      <c r="L205" s="17">
        <v>0.25</v>
      </c>
      <c r="M205" s="2" t="s">
        <v>2558</v>
      </c>
      <c r="N205" s="2" t="s">
        <v>2558</v>
      </c>
    </row>
    <row r="206" spans="1:15" x14ac:dyDescent="0.25">
      <c r="A206" s="12" t="s">
        <v>181</v>
      </c>
      <c r="C206">
        <v>49</v>
      </c>
      <c r="D206">
        <v>1</v>
      </c>
      <c r="G206">
        <v>0.47</v>
      </c>
      <c r="H206">
        <v>1</v>
      </c>
      <c r="I206">
        <v>16</v>
      </c>
      <c r="J206">
        <f t="shared" si="9"/>
        <v>0.16892819023113415</v>
      </c>
      <c r="K206" s="2" t="s">
        <v>2521</v>
      </c>
      <c r="L206" s="17">
        <v>0.25</v>
      </c>
      <c r="M206" s="2" t="s">
        <v>2558</v>
      </c>
      <c r="N206" s="2" t="s">
        <v>2558</v>
      </c>
    </row>
    <row r="207" spans="1:15" x14ac:dyDescent="0.25">
      <c r="A207" s="12" t="s">
        <v>182</v>
      </c>
      <c r="C207">
        <v>49</v>
      </c>
      <c r="D207">
        <v>1</v>
      </c>
      <c r="G207">
        <v>0.61</v>
      </c>
      <c r="H207">
        <v>1</v>
      </c>
      <c r="I207">
        <v>16</v>
      </c>
      <c r="J207">
        <f t="shared" si="9"/>
        <v>0.19163732553820009</v>
      </c>
      <c r="K207" s="2" t="s">
        <v>2521</v>
      </c>
      <c r="L207" s="17">
        <v>0.25</v>
      </c>
      <c r="M207" s="2" t="s">
        <v>2558</v>
      </c>
      <c r="N207" s="2" t="s">
        <v>2558</v>
      </c>
    </row>
    <row r="208" spans="1:15" x14ac:dyDescent="0.25">
      <c r="A208" s="12" t="s">
        <v>183</v>
      </c>
      <c r="C208">
        <v>49</v>
      </c>
      <c r="D208">
        <v>1</v>
      </c>
      <c r="G208">
        <v>0.72</v>
      </c>
      <c r="H208">
        <v>1</v>
      </c>
      <c r="I208">
        <v>16</v>
      </c>
      <c r="J208">
        <f t="shared" si="9"/>
        <v>0.2075143391598224</v>
      </c>
      <c r="K208" s="2" t="s">
        <v>2521</v>
      </c>
      <c r="L208" s="17">
        <v>0.25</v>
      </c>
      <c r="M208" s="2" t="s">
        <v>2558</v>
      </c>
      <c r="N208" s="2" t="s">
        <v>2558</v>
      </c>
    </row>
    <row r="209" spans="1:15" x14ac:dyDescent="0.25">
      <c r="A209" s="12" t="s">
        <v>184</v>
      </c>
      <c r="C209">
        <v>49</v>
      </c>
      <c r="D209">
        <v>1</v>
      </c>
      <c r="G209">
        <v>10.57</v>
      </c>
      <c r="H209">
        <v>1</v>
      </c>
      <c r="I209">
        <v>31</v>
      </c>
      <c r="J209">
        <f t="shared" si="9"/>
        <v>0.50425182813981251</v>
      </c>
      <c r="K209" s="2">
        <v>3.0000000000000001E-3</v>
      </c>
      <c r="L209" s="17">
        <v>3.0000000000000001E-3</v>
      </c>
      <c r="M209" s="2" t="s">
        <v>2558</v>
      </c>
      <c r="N209" s="2" t="s">
        <v>2558</v>
      </c>
    </row>
    <row r="210" spans="1:15" x14ac:dyDescent="0.25">
      <c r="A210" s="12" t="s">
        <v>185</v>
      </c>
      <c r="C210">
        <v>49</v>
      </c>
      <c r="D210">
        <v>1</v>
      </c>
      <c r="G210">
        <v>4.51</v>
      </c>
      <c r="H210">
        <v>1</v>
      </c>
      <c r="I210">
        <v>31</v>
      </c>
      <c r="J210">
        <f t="shared" si="9"/>
        <v>0.35637968102673684</v>
      </c>
      <c r="K210" s="2">
        <v>0.04</v>
      </c>
      <c r="L210" s="17">
        <v>0.04</v>
      </c>
      <c r="M210" s="2" t="s">
        <v>2558</v>
      </c>
      <c r="N210" s="2" t="s">
        <v>2558</v>
      </c>
    </row>
    <row r="211" spans="1:15" x14ac:dyDescent="0.25">
      <c r="A211" s="12" t="s">
        <v>186</v>
      </c>
      <c r="C211">
        <v>49</v>
      </c>
      <c r="D211">
        <v>1</v>
      </c>
      <c r="G211">
        <v>1E-3</v>
      </c>
      <c r="H211">
        <v>1</v>
      </c>
      <c r="I211">
        <v>31</v>
      </c>
      <c r="J211">
        <f t="shared" si="9"/>
        <v>5.6795267379394212E-3</v>
      </c>
      <c r="K211" s="2" t="s">
        <v>2521</v>
      </c>
      <c r="L211" s="17">
        <v>0.25</v>
      </c>
      <c r="M211" s="2" t="s">
        <v>2558</v>
      </c>
      <c r="N211" s="2" t="s">
        <v>2558</v>
      </c>
    </row>
    <row r="212" spans="1:15" x14ac:dyDescent="0.25">
      <c r="A212" s="12" t="s">
        <v>187</v>
      </c>
      <c r="C212">
        <v>49</v>
      </c>
      <c r="D212">
        <v>1</v>
      </c>
      <c r="G212">
        <v>0.55000000000000004</v>
      </c>
      <c r="H212">
        <v>1</v>
      </c>
      <c r="I212">
        <v>31</v>
      </c>
      <c r="J212">
        <f t="shared" si="9"/>
        <v>0.13203274818282767</v>
      </c>
      <c r="K212" s="2" t="s">
        <v>2521</v>
      </c>
      <c r="L212" s="17">
        <v>0.25</v>
      </c>
      <c r="M212" s="2" t="s">
        <v>2558</v>
      </c>
      <c r="N212" s="2" t="s">
        <v>2558</v>
      </c>
    </row>
    <row r="213" spans="1:15" x14ac:dyDescent="0.25">
      <c r="A213" s="12" t="s">
        <v>188</v>
      </c>
      <c r="C213">
        <v>51</v>
      </c>
      <c r="D213">
        <v>1</v>
      </c>
      <c r="G213">
        <v>1.75</v>
      </c>
      <c r="H213">
        <v>89</v>
      </c>
      <c r="I213">
        <v>89</v>
      </c>
      <c r="J213">
        <f t="shared" si="9"/>
        <v>0.25971986937055713</v>
      </c>
      <c r="K213" s="2">
        <v>5.0000000000000001E-3</v>
      </c>
      <c r="L213" s="17">
        <v>5.0000000000000001E-3</v>
      </c>
      <c r="M213" s="2">
        <v>0</v>
      </c>
      <c r="N213" s="2">
        <f>IF(M213=0, 0, "")</f>
        <v>0</v>
      </c>
    </row>
    <row r="214" spans="1:15" x14ac:dyDescent="0.25">
      <c r="A214" s="12" t="s">
        <v>189</v>
      </c>
      <c r="C214">
        <v>52</v>
      </c>
      <c r="D214">
        <v>1</v>
      </c>
      <c r="G214">
        <v>3.44</v>
      </c>
      <c r="H214">
        <v>3</v>
      </c>
      <c r="I214">
        <v>204</v>
      </c>
      <c r="J214">
        <f t="shared" si="9"/>
        <v>0.16673554163895912</v>
      </c>
      <c r="K214" s="2">
        <v>1.7999999999999999E-2</v>
      </c>
      <c r="L214" s="17">
        <v>1.7999999999999999E-2</v>
      </c>
      <c r="M214" s="2">
        <v>0</v>
      </c>
      <c r="N214" s="2">
        <f t="shared" ref="N214" si="10">IF(M214=0, 0, "")</f>
        <v>0</v>
      </c>
    </row>
    <row r="215" spans="1:15" x14ac:dyDescent="0.25">
      <c r="A215" s="12" t="s">
        <v>190</v>
      </c>
      <c r="C215">
        <v>52</v>
      </c>
      <c r="D215">
        <v>0</v>
      </c>
      <c r="J215" t="b">
        <f t="shared" si="9"/>
        <v>0</v>
      </c>
    </row>
    <row r="216" spans="1:15" x14ac:dyDescent="0.25">
      <c r="A216" s="12" t="s">
        <v>191</v>
      </c>
      <c r="C216">
        <v>52</v>
      </c>
      <c r="D216">
        <v>1</v>
      </c>
      <c r="F216">
        <v>0.31</v>
      </c>
      <c r="H216">
        <v>204</v>
      </c>
      <c r="J216">
        <f t="shared" ref="J216:J237" si="11">IF(NOT(ISBLANK(F216)),SQRT((F216^2*1/H216)/(F216^2*1/H216+1)),IF(NOT(ISBLANK(G216)),SQRT((G216*H216/I216)/(G216*H216/I216+1)*SQRT(1/H216))))</f>
        <v>2.1699230884391713E-2</v>
      </c>
      <c r="K216" s="2">
        <v>0.75700000000000001</v>
      </c>
      <c r="L216" s="17">
        <v>0.75700000000000001</v>
      </c>
      <c r="M216" s="2">
        <v>0</v>
      </c>
      <c r="N216" s="2">
        <f t="shared" ref="N216:N264" si="12">IF(M216=0, 0)</f>
        <v>0</v>
      </c>
    </row>
    <row r="217" spans="1:15" x14ac:dyDescent="0.25">
      <c r="A217" s="12" t="s">
        <v>192</v>
      </c>
      <c r="C217">
        <v>52</v>
      </c>
      <c r="D217">
        <v>1</v>
      </c>
      <c r="F217">
        <v>0.71</v>
      </c>
      <c r="H217">
        <v>204</v>
      </c>
      <c r="J217">
        <f t="shared" si="11"/>
        <v>4.9648637992741163E-2</v>
      </c>
      <c r="K217" s="2">
        <v>0.47699999999999998</v>
      </c>
      <c r="L217" s="17">
        <v>0.47699999999999998</v>
      </c>
      <c r="M217" s="2">
        <v>0</v>
      </c>
      <c r="N217" s="2">
        <f t="shared" si="12"/>
        <v>0</v>
      </c>
    </row>
    <row r="218" spans="1:15" x14ac:dyDescent="0.25">
      <c r="A218" s="12" t="s">
        <v>193</v>
      </c>
      <c r="C218">
        <v>52</v>
      </c>
      <c r="D218">
        <v>1</v>
      </c>
      <c r="F218">
        <v>2.27</v>
      </c>
      <c r="H218">
        <v>204</v>
      </c>
      <c r="J218">
        <f t="shared" si="11"/>
        <v>0.15696177882818865</v>
      </c>
      <c r="K218" s="2">
        <v>2.4E-2</v>
      </c>
      <c r="L218" s="17">
        <v>2.4E-2</v>
      </c>
      <c r="M218" s="2">
        <v>0</v>
      </c>
      <c r="N218" s="2">
        <f t="shared" si="12"/>
        <v>0</v>
      </c>
    </row>
    <row r="219" spans="1:15" x14ac:dyDescent="0.25">
      <c r="A219" s="12" t="s">
        <v>194</v>
      </c>
      <c r="C219">
        <v>52</v>
      </c>
      <c r="D219">
        <v>1</v>
      </c>
      <c r="F219">
        <v>2.9</v>
      </c>
      <c r="H219">
        <v>204</v>
      </c>
      <c r="J219">
        <f t="shared" si="11"/>
        <v>0.19898050027494205</v>
      </c>
      <c r="K219" s="2">
        <v>4.0000000000000001E-3</v>
      </c>
      <c r="L219" s="17">
        <v>4.0000000000000001E-3</v>
      </c>
      <c r="M219" s="2">
        <v>0</v>
      </c>
      <c r="N219" s="2">
        <f t="shared" si="12"/>
        <v>0</v>
      </c>
    </row>
    <row r="220" spans="1:15" x14ac:dyDescent="0.25">
      <c r="A220" s="12" t="s">
        <v>195</v>
      </c>
      <c r="C220">
        <v>52</v>
      </c>
      <c r="D220">
        <v>1</v>
      </c>
      <c r="F220">
        <v>3.23</v>
      </c>
      <c r="H220">
        <v>54</v>
      </c>
      <c r="J220">
        <f t="shared" si="11"/>
        <v>0.40239139328645696</v>
      </c>
      <c r="K220" s="2">
        <v>2E-3</v>
      </c>
      <c r="L220" s="17">
        <v>2E-3</v>
      </c>
      <c r="M220" s="2">
        <v>0</v>
      </c>
      <c r="N220" s="2">
        <f t="shared" si="12"/>
        <v>0</v>
      </c>
    </row>
    <row r="221" spans="1:15" x14ac:dyDescent="0.25">
      <c r="A221" s="12" t="s">
        <v>196</v>
      </c>
      <c r="C221">
        <v>52</v>
      </c>
      <c r="D221">
        <v>1</v>
      </c>
      <c r="F221">
        <v>2.04</v>
      </c>
      <c r="H221">
        <v>51</v>
      </c>
      <c r="J221">
        <f t="shared" si="11"/>
        <v>0.27467032417472503</v>
      </c>
      <c r="K221" s="2">
        <v>0.47</v>
      </c>
      <c r="L221" s="17">
        <v>0.47</v>
      </c>
      <c r="M221" s="2">
        <v>0</v>
      </c>
      <c r="N221" s="2">
        <f t="shared" si="12"/>
        <v>0</v>
      </c>
    </row>
    <row r="222" spans="1:15" x14ac:dyDescent="0.25">
      <c r="A222" s="12" t="s">
        <v>197</v>
      </c>
      <c r="C222">
        <v>52</v>
      </c>
      <c r="D222">
        <v>1</v>
      </c>
      <c r="F222">
        <v>12.07</v>
      </c>
      <c r="H222">
        <v>1</v>
      </c>
      <c r="I222">
        <v>204</v>
      </c>
      <c r="J222">
        <f t="shared" si="11"/>
        <v>0.99658550345689012</v>
      </c>
      <c r="K222" s="2">
        <v>1E-3</v>
      </c>
      <c r="L222" s="17">
        <v>1E-3</v>
      </c>
      <c r="M222" s="2">
        <v>0</v>
      </c>
      <c r="N222" s="2">
        <f t="shared" si="12"/>
        <v>0</v>
      </c>
    </row>
    <row r="223" spans="1:15" x14ac:dyDescent="0.25">
      <c r="A223" s="12" t="s">
        <v>198</v>
      </c>
      <c r="C223">
        <v>52</v>
      </c>
      <c r="D223">
        <v>2</v>
      </c>
      <c r="F223">
        <v>3.44</v>
      </c>
      <c r="H223">
        <v>3</v>
      </c>
      <c r="I223">
        <v>204</v>
      </c>
      <c r="J223">
        <f t="shared" si="11"/>
        <v>0.89317212497253751</v>
      </c>
      <c r="K223" s="2">
        <v>1.7999999999999999E-2</v>
      </c>
      <c r="L223" s="17">
        <v>1.7999999999999999E-2</v>
      </c>
      <c r="M223" s="2">
        <v>0</v>
      </c>
      <c r="N223" s="2">
        <f t="shared" si="12"/>
        <v>0</v>
      </c>
      <c r="O223" t="s">
        <v>2143</v>
      </c>
    </row>
    <row r="224" spans="1:15" x14ac:dyDescent="0.25">
      <c r="A224" s="12" t="s">
        <v>199</v>
      </c>
      <c r="C224">
        <v>52</v>
      </c>
      <c r="D224">
        <v>1</v>
      </c>
      <c r="G224">
        <v>1.7</v>
      </c>
      <c r="H224">
        <v>3</v>
      </c>
      <c r="I224">
        <v>188</v>
      </c>
      <c r="J224">
        <f t="shared" si="11"/>
        <v>0.12348483832877979</v>
      </c>
      <c r="K224" s="2">
        <v>0.17</v>
      </c>
      <c r="L224" s="17">
        <v>0.17</v>
      </c>
      <c r="M224" s="2">
        <v>0</v>
      </c>
      <c r="N224" s="2">
        <f t="shared" si="12"/>
        <v>0</v>
      </c>
    </row>
    <row r="225" spans="1:15" x14ac:dyDescent="0.25">
      <c r="A225" s="12" t="s">
        <v>200</v>
      </c>
      <c r="C225">
        <v>52</v>
      </c>
      <c r="D225">
        <v>1</v>
      </c>
      <c r="G225">
        <v>39.06</v>
      </c>
      <c r="H225">
        <v>2</v>
      </c>
      <c r="I225">
        <v>187</v>
      </c>
      <c r="J225">
        <f t="shared" si="11"/>
        <v>0.45645962891256409</v>
      </c>
      <c r="K225" s="2" t="s">
        <v>2519</v>
      </c>
      <c r="L225" s="17">
        <v>1E-3</v>
      </c>
      <c r="M225" s="2">
        <v>0</v>
      </c>
      <c r="N225" s="2">
        <f t="shared" si="12"/>
        <v>0</v>
      </c>
    </row>
    <row r="226" spans="1:15" x14ac:dyDescent="0.25">
      <c r="A226" s="12" t="s">
        <v>201</v>
      </c>
      <c r="C226">
        <v>52</v>
      </c>
      <c r="D226">
        <v>1</v>
      </c>
      <c r="G226">
        <v>1.21</v>
      </c>
      <c r="H226">
        <v>6</v>
      </c>
      <c r="I226">
        <v>374</v>
      </c>
      <c r="J226">
        <f t="shared" si="11"/>
        <v>8.8169804126297324E-2</v>
      </c>
      <c r="K226" s="2">
        <v>0.30199999999999999</v>
      </c>
      <c r="L226" s="17">
        <v>0.30199999999999999</v>
      </c>
      <c r="M226" s="2">
        <v>0</v>
      </c>
      <c r="N226" s="2">
        <f t="shared" si="12"/>
        <v>0</v>
      </c>
    </row>
    <row r="227" spans="1:15" x14ac:dyDescent="0.25">
      <c r="A227" s="12" t="s">
        <v>202</v>
      </c>
      <c r="C227">
        <v>52</v>
      </c>
      <c r="D227">
        <v>1</v>
      </c>
      <c r="G227">
        <v>0.31</v>
      </c>
      <c r="H227">
        <v>3</v>
      </c>
      <c r="I227">
        <v>187</v>
      </c>
      <c r="J227">
        <f t="shared" si="11"/>
        <v>5.3451894643251799E-2</v>
      </c>
      <c r="K227" s="2">
        <v>0.82099999999999995</v>
      </c>
      <c r="L227" s="17">
        <v>0.82099999999999995</v>
      </c>
      <c r="M227" s="2">
        <v>0</v>
      </c>
      <c r="N227" s="2">
        <f t="shared" si="12"/>
        <v>0</v>
      </c>
    </row>
    <row r="228" spans="1:15" x14ac:dyDescent="0.25">
      <c r="A228" s="12" t="s">
        <v>203</v>
      </c>
      <c r="C228">
        <v>52</v>
      </c>
      <c r="D228">
        <v>1</v>
      </c>
      <c r="G228">
        <v>0.35</v>
      </c>
      <c r="H228">
        <v>3</v>
      </c>
      <c r="I228">
        <v>187</v>
      </c>
      <c r="J228">
        <f t="shared" si="11"/>
        <v>5.677768316190103E-2</v>
      </c>
      <c r="K228" s="2">
        <v>0.79</v>
      </c>
      <c r="L228" s="17">
        <v>0.79</v>
      </c>
      <c r="M228" s="2">
        <v>0</v>
      </c>
      <c r="N228" s="2">
        <f t="shared" si="12"/>
        <v>0</v>
      </c>
    </row>
    <row r="229" spans="1:15" x14ac:dyDescent="0.25">
      <c r="A229" s="12" t="s">
        <v>204</v>
      </c>
      <c r="C229">
        <v>52</v>
      </c>
      <c r="D229">
        <v>1</v>
      </c>
      <c r="G229">
        <v>1.32</v>
      </c>
      <c r="H229">
        <v>3</v>
      </c>
      <c r="I229">
        <v>187</v>
      </c>
      <c r="J229">
        <f t="shared" si="11"/>
        <v>0.10941984022474126</v>
      </c>
      <c r="K229" s="2">
        <v>0.26900000000000002</v>
      </c>
      <c r="L229" s="17">
        <v>0.26900000000000002</v>
      </c>
      <c r="M229" s="2">
        <v>0</v>
      </c>
      <c r="N229" s="2">
        <f t="shared" si="12"/>
        <v>0</v>
      </c>
    </row>
    <row r="230" spans="1:15" x14ac:dyDescent="0.25">
      <c r="A230" s="12" t="s">
        <v>205</v>
      </c>
      <c r="C230">
        <v>52</v>
      </c>
      <c r="D230">
        <v>1</v>
      </c>
      <c r="G230">
        <v>1.43</v>
      </c>
      <c r="H230">
        <v>3</v>
      </c>
      <c r="I230">
        <v>187</v>
      </c>
      <c r="J230">
        <f t="shared" si="11"/>
        <v>0.11378950254919888</v>
      </c>
      <c r="K230" s="2">
        <v>0.23499999999999999</v>
      </c>
      <c r="L230" s="17">
        <v>0.23499999999999999</v>
      </c>
      <c r="M230" s="2">
        <v>0</v>
      </c>
      <c r="N230" s="2">
        <f t="shared" si="12"/>
        <v>0</v>
      </c>
    </row>
    <row r="231" spans="1:15" x14ac:dyDescent="0.25">
      <c r="A231" s="12" t="s">
        <v>206</v>
      </c>
      <c r="C231">
        <v>52</v>
      </c>
      <c r="D231">
        <v>1</v>
      </c>
      <c r="G231">
        <v>78.599999999999994</v>
      </c>
      <c r="H231">
        <v>1.9</v>
      </c>
      <c r="I231">
        <v>355.75</v>
      </c>
      <c r="J231">
        <f t="shared" si="11"/>
        <v>0.46314319588260611</v>
      </c>
      <c r="K231" s="2" t="s">
        <v>2517</v>
      </c>
      <c r="L231" s="17">
        <v>1E-3</v>
      </c>
      <c r="M231" s="2">
        <v>0</v>
      </c>
      <c r="N231" s="2">
        <f t="shared" si="12"/>
        <v>0</v>
      </c>
    </row>
    <row r="232" spans="1:15" x14ac:dyDescent="0.25">
      <c r="A232" s="12" t="s">
        <v>207</v>
      </c>
      <c r="C232">
        <v>52</v>
      </c>
      <c r="D232">
        <v>1</v>
      </c>
      <c r="G232">
        <v>1.36</v>
      </c>
      <c r="H232">
        <v>5.71</v>
      </c>
      <c r="I232">
        <v>335.75</v>
      </c>
      <c r="J232">
        <f t="shared" si="11"/>
        <v>9.7264699430619314E-2</v>
      </c>
      <c r="K232" s="2">
        <v>0.23499999999999999</v>
      </c>
      <c r="L232" s="17">
        <v>0.23499999999999999</v>
      </c>
      <c r="M232" s="2">
        <v>0</v>
      </c>
      <c r="N232" s="2">
        <f t="shared" si="12"/>
        <v>0</v>
      </c>
    </row>
    <row r="233" spans="1:15" x14ac:dyDescent="0.25">
      <c r="A233" s="12" t="s">
        <v>208</v>
      </c>
      <c r="C233">
        <v>52</v>
      </c>
      <c r="D233">
        <v>1</v>
      </c>
      <c r="G233">
        <v>225.01</v>
      </c>
      <c r="H233">
        <v>1.79</v>
      </c>
      <c r="I233">
        <v>334.56</v>
      </c>
      <c r="J233">
        <f t="shared" si="11"/>
        <v>0.63897495161003548</v>
      </c>
      <c r="K233" s="2" t="s">
        <v>2517</v>
      </c>
      <c r="L233" s="17">
        <v>1E-3</v>
      </c>
      <c r="M233" s="2">
        <v>0</v>
      </c>
      <c r="N233" s="2">
        <f t="shared" si="12"/>
        <v>0</v>
      </c>
    </row>
    <row r="234" spans="1:15" x14ac:dyDescent="0.25">
      <c r="A234" s="12" t="s">
        <v>209</v>
      </c>
      <c r="C234">
        <v>52</v>
      </c>
      <c r="D234">
        <v>1</v>
      </c>
      <c r="G234">
        <v>607.16</v>
      </c>
      <c r="H234">
        <v>1.64</v>
      </c>
      <c r="I234">
        <v>307.47000000000003</v>
      </c>
      <c r="J234">
        <f t="shared" si="11"/>
        <v>0.77242253635383773</v>
      </c>
      <c r="K234" s="2" t="s">
        <v>2517</v>
      </c>
      <c r="L234" s="17">
        <v>1E-3</v>
      </c>
      <c r="M234" s="2">
        <v>0</v>
      </c>
      <c r="N234" s="2">
        <f t="shared" si="12"/>
        <v>0</v>
      </c>
    </row>
    <row r="235" spans="1:15" x14ac:dyDescent="0.25">
      <c r="A235" s="12" t="s">
        <v>210</v>
      </c>
      <c r="C235">
        <v>52</v>
      </c>
      <c r="D235">
        <v>1</v>
      </c>
      <c r="G235">
        <v>693.12</v>
      </c>
      <c r="H235">
        <v>1.69</v>
      </c>
      <c r="I235">
        <v>315.89</v>
      </c>
      <c r="J235">
        <f t="shared" si="11"/>
        <v>0.77836273208924378</v>
      </c>
      <c r="K235" s="2" t="s">
        <v>2517</v>
      </c>
      <c r="L235" s="17">
        <v>1E-3</v>
      </c>
      <c r="M235" s="2">
        <v>0</v>
      </c>
      <c r="N235" s="2">
        <f t="shared" si="12"/>
        <v>0</v>
      </c>
    </row>
    <row r="236" spans="1:15" x14ac:dyDescent="0.25">
      <c r="A236" s="12" t="s">
        <v>211</v>
      </c>
      <c r="C236">
        <v>52</v>
      </c>
      <c r="D236">
        <v>1</v>
      </c>
      <c r="G236">
        <v>1.05</v>
      </c>
      <c r="H236">
        <v>5.37</v>
      </c>
      <c r="I236">
        <v>334.56</v>
      </c>
      <c r="J236">
        <f t="shared" si="11"/>
        <v>8.4571108636447997E-2</v>
      </c>
      <c r="K236" s="2">
        <v>0.38900000000000001</v>
      </c>
      <c r="L236" s="17">
        <v>0.38900000000000001</v>
      </c>
      <c r="M236" s="2">
        <v>0</v>
      </c>
      <c r="N236" s="2">
        <f t="shared" si="12"/>
        <v>0</v>
      </c>
      <c r="O236" t="s">
        <v>2143</v>
      </c>
    </row>
    <row r="237" spans="1:15" x14ac:dyDescent="0.25">
      <c r="A237" s="12" t="s">
        <v>212</v>
      </c>
      <c r="C237">
        <v>52</v>
      </c>
      <c r="D237">
        <v>1</v>
      </c>
      <c r="G237">
        <v>0.18</v>
      </c>
      <c r="H237">
        <v>4.93</v>
      </c>
      <c r="I237">
        <v>307.47000000000003</v>
      </c>
      <c r="J237">
        <f t="shared" si="11"/>
        <v>3.6001516480371649E-2</v>
      </c>
      <c r="K237" s="2">
        <v>0.96699999999999997</v>
      </c>
      <c r="L237" s="17">
        <v>0.96699999999999997</v>
      </c>
      <c r="M237" s="2">
        <v>0</v>
      </c>
      <c r="N237" s="2">
        <f t="shared" si="12"/>
        <v>0</v>
      </c>
    </row>
    <row r="238" spans="1:15" x14ac:dyDescent="0.25">
      <c r="A238" s="12" t="s">
        <v>213</v>
      </c>
      <c r="C238">
        <v>56</v>
      </c>
      <c r="D238">
        <v>1</v>
      </c>
      <c r="J238">
        <v>0.12</v>
      </c>
      <c r="K238" s="2" t="s">
        <v>2522</v>
      </c>
      <c r="L238" s="17">
        <v>2E-3</v>
      </c>
    </row>
    <row r="239" spans="1:15" x14ac:dyDescent="0.25">
      <c r="A239" s="12" t="s">
        <v>214</v>
      </c>
      <c r="C239">
        <v>56</v>
      </c>
      <c r="D239">
        <v>1</v>
      </c>
      <c r="G239">
        <v>1298.6199999999999</v>
      </c>
      <c r="H239">
        <v>1</v>
      </c>
      <c r="I239">
        <v>723</v>
      </c>
      <c r="J239">
        <f t="shared" ref="J239:J270" si="13">IF(NOT(ISBLANK(F239)),SQRT((F239^2*1/H239)/(F239^2*1/H239+1)),IF(NOT(ISBLANK(G239)),SQRT((G239*H239/I239)/(G239*H239/I239+1)*SQRT(1/H239))))</f>
        <v>0.80147740036026838</v>
      </c>
      <c r="K239" s="2" t="s">
        <v>2517</v>
      </c>
      <c r="L239" s="17">
        <v>1E-3</v>
      </c>
      <c r="M239" s="2" t="s">
        <v>2558</v>
      </c>
      <c r="N239" s="2" t="s">
        <v>2558</v>
      </c>
      <c r="O239" t="s">
        <v>2135</v>
      </c>
    </row>
    <row r="240" spans="1:15" x14ac:dyDescent="0.25">
      <c r="A240" s="12" t="s">
        <v>215</v>
      </c>
      <c r="C240">
        <v>56</v>
      </c>
      <c r="D240">
        <v>1</v>
      </c>
      <c r="G240">
        <v>12.27</v>
      </c>
      <c r="H240">
        <v>1</v>
      </c>
      <c r="I240">
        <v>723</v>
      </c>
      <c r="J240">
        <f t="shared" si="13"/>
        <v>0.12918106423974587</v>
      </c>
      <c r="K240" s="2" t="s">
        <v>2517</v>
      </c>
      <c r="L240" s="17">
        <v>1E-3</v>
      </c>
      <c r="M240" s="2" t="s">
        <v>2558</v>
      </c>
      <c r="N240" s="2" t="s">
        <v>2558</v>
      </c>
      <c r="O240" t="s">
        <v>2135</v>
      </c>
    </row>
    <row r="241" spans="1:15" x14ac:dyDescent="0.25">
      <c r="A241" s="12" t="s">
        <v>216</v>
      </c>
      <c r="C241">
        <v>60</v>
      </c>
      <c r="D241">
        <v>1</v>
      </c>
      <c r="G241">
        <v>4.45</v>
      </c>
      <c r="H241">
        <v>1</v>
      </c>
      <c r="I241">
        <v>85</v>
      </c>
      <c r="J241">
        <f t="shared" si="13"/>
        <v>0.22304363435972738</v>
      </c>
      <c r="K241" s="2">
        <v>3.7999999999999999E-2</v>
      </c>
      <c r="L241" s="17">
        <v>3.7999999999999999E-2</v>
      </c>
      <c r="M241" s="2">
        <v>0</v>
      </c>
      <c r="N241" s="2">
        <f t="shared" si="12"/>
        <v>0</v>
      </c>
    </row>
    <row r="242" spans="1:15" x14ac:dyDescent="0.25">
      <c r="A242" s="12" t="s">
        <v>217</v>
      </c>
      <c r="C242">
        <v>60</v>
      </c>
      <c r="D242">
        <v>1</v>
      </c>
      <c r="G242">
        <v>3.08</v>
      </c>
      <c r="H242">
        <v>1</v>
      </c>
      <c r="I242">
        <v>85</v>
      </c>
      <c r="J242">
        <f t="shared" si="13"/>
        <v>0.18699788960715444</v>
      </c>
      <c r="K242" s="2">
        <v>8.3000000000000004E-2</v>
      </c>
      <c r="L242" s="17">
        <v>8.3000000000000004E-2</v>
      </c>
      <c r="M242" s="2">
        <v>0</v>
      </c>
      <c r="N242" s="2">
        <f t="shared" si="12"/>
        <v>0</v>
      </c>
    </row>
    <row r="243" spans="1:15" x14ac:dyDescent="0.25">
      <c r="A243" s="12" t="s">
        <v>218</v>
      </c>
      <c r="C243">
        <v>60</v>
      </c>
      <c r="D243">
        <v>1</v>
      </c>
      <c r="G243">
        <v>0.20100000000000001</v>
      </c>
      <c r="H243">
        <v>1</v>
      </c>
      <c r="I243">
        <v>85</v>
      </c>
      <c r="J243">
        <f t="shared" si="13"/>
        <v>4.8570847638172911E-2</v>
      </c>
      <c r="K243" s="2" t="s">
        <v>2523</v>
      </c>
      <c r="L243" s="17" t="s">
        <v>2573</v>
      </c>
      <c r="N243" s="2">
        <f t="shared" si="12"/>
        <v>0</v>
      </c>
      <c r="O243" t="s">
        <v>2135</v>
      </c>
    </row>
    <row r="244" spans="1:15" x14ac:dyDescent="0.25">
      <c r="A244" s="12" t="s">
        <v>219</v>
      </c>
      <c r="C244">
        <v>61</v>
      </c>
      <c r="D244">
        <v>1</v>
      </c>
      <c r="G244">
        <v>9.7799999999999994</v>
      </c>
      <c r="H244">
        <v>2</v>
      </c>
      <c r="I244">
        <v>177</v>
      </c>
      <c r="J244">
        <f t="shared" si="13"/>
        <v>0.26526463545179169</v>
      </c>
      <c r="K244" s="2" t="s">
        <v>2156</v>
      </c>
      <c r="L244" s="17">
        <v>0.01</v>
      </c>
      <c r="M244" s="2">
        <v>0</v>
      </c>
      <c r="N244" s="2">
        <f t="shared" si="12"/>
        <v>0</v>
      </c>
    </row>
    <row r="245" spans="1:15" x14ac:dyDescent="0.25">
      <c r="A245" s="12" t="s">
        <v>220</v>
      </c>
      <c r="C245">
        <v>61</v>
      </c>
      <c r="D245">
        <v>1</v>
      </c>
      <c r="G245">
        <v>14.68</v>
      </c>
      <c r="H245">
        <v>2</v>
      </c>
      <c r="I245">
        <v>177</v>
      </c>
      <c r="J245">
        <f t="shared" si="13"/>
        <v>0.31718144046248442</v>
      </c>
      <c r="K245" s="2" t="s">
        <v>2156</v>
      </c>
      <c r="L245" s="17">
        <v>0.01</v>
      </c>
      <c r="M245" s="2">
        <v>0</v>
      </c>
      <c r="N245" s="2">
        <f t="shared" si="12"/>
        <v>0</v>
      </c>
    </row>
    <row r="246" spans="1:15" x14ac:dyDescent="0.25">
      <c r="A246" s="12" t="s">
        <v>221</v>
      </c>
      <c r="C246">
        <v>61</v>
      </c>
      <c r="D246">
        <v>1</v>
      </c>
      <c r="G246">
        <v>0.76</v>
      </c>
      <c r="H246">
        <v>2</v>
      </c>
      <c r="I246">
        <v>177</v>
      </c>
      <c r="J246">
        <f t="shared" si="13"/>
        <v>7.7592698509564337E-2</v>
      </c>
      <c r="K246" s="2">
        <v>0.46917999999999999</v>
      </c>
      <c r="L246" s="17">
        <v>0.46917999999999999</v>
      </c>
      <c r="M246" s="2">
        <v>1</v>
      </c>
      <c r="N246" s="2">
        <v>0</v>
      </c>
    </row>
    <row r="247" spans="1:15" x14ac:dyDescent="0.25">
      <c r="A247" s="12" t="s">
        <v>222</v>
      </c>
      <c r="C247">
        <v>61</v>
      </c>
      <c r="D247">
        <v>1</v>
      </c>
      <c r="G247">
        <v>8.56</v>
      </c>
      <c r="H247">
        <v>2</v>
      </c>
      <c r="I247">
        <v>177</v>
      </c>
      <c r="J247">
        <f t="shared" si="13"/>
        <v>0.24972340039468918</v>
      </c>
      <c r="K247" s="2">
        <v>0.17502999999999999</v>
      </c>
      <c r="L247" s="17">
        <v>0.17502999999999999</v>
      </c>
      <c r="M247" s="2">
        <v>0</v>
      </c>
      <c r="N247" s="2">
        <f t="shared" si="12"/>
        <v>0</v>
      </c>
    </row>
    <row r="248" spans="1:15" x14ac:dyDescent="0.25">
      <c r="A248" s="12" t="s">
        <v>223</v>
      </c>
      <c r="C248">
        <v>61</v>
      </c>
      <c r="D248">
        <v>1</v>
      </c>
      <c r="G248">
        <v>0.8</v>
      </c>
      <c r="H248">
        <v>2</v>
      </c>
      <c r="I248">
        <v>177</v>
      </c>
      <c r="J248">
        <f t="shared" si="13"/>
        <v>7.9590597518283124E-2</v>
      </c>
      <c r="K248" s="2">
        <v>0.45</v>
      </c>
      <c r="L248" s="17">
        <v>0.45</v>
      </c>
      <c r="M248" s="2">
        <v>0</v>
      </c>
      <c r="N248" s="2">
        <f t="shared" si="12"/>
        <v>0</v>
      </c>
    </row>
    <row r="249" spans="1:15" x14ac:dyDescent="0.25">
      <c r="A249" s="12" t="s">
        <v>224</v>
      </c>
      <c r="C249">
        <v>61</v>
      </c>
      <c r="D249">
        <v>1</v>
      </c>
      <c r="G249">
        <v>1.76</v>
      </c>
      <c r="H249">
        <v>2</v>
      </c>
      <c r="I249">
        <v>178</v>
      </c>
      <c r="J249">
        <f t="shared" si="13"/>
        <v>0.11709856996101232</v>
      </c>
      <c r="K249" s="2">
        <v>0.17502999999999999</v>
      </c>
      <c r="L249" s="17">
        <v>0.17502999999999999</v>
      </c>
      <c r="M249" s="2">
        <v>1</v>
      </c>
      <c r="N249" s="2">
        <v>0</v>
      </c>
    </row>
    <row r="250" spans="1:15" x14ac:dyDescent="0.25">
      <c r="A250" s="12" t="s">
        <v>225</v>
      </c>
      <c r="C250">
        <v>61</v>
      </c>
      <c r="D250">
        <v>1</v>
      </c>
      <c r="G250">
        <v>94.92</v>
      </c>
      <c r="H250">
        <v>2</v>
      </c>
      <c r="I250">
        <v>177</v>
      </c>
      <c r="J250">
        <f t="shared" si="13"/>
        <v>0.60492010838836141</v>
      </c>
      <c r="K250" s="2" t="s">
        <v>2524</v>
      </c>
      <c r="L250" s="17">
        <v>0.01</v>
      </c>
      <c r="M250" s="2">
        <v>0</v>
      </c>
      <c r="N250" s="2">
        <f t="shared" si="12"/>
        <v>0</v>
      </c>
    </row>
    <row r="251" spans="1:15" x14ac:dyDescent="0.25">
      <c r="A251" s="12" t="s">
        <v>226</v>
      </c>
      <c r="C251">
        <v>61</v>
      </c>
      <c r="D251">
        <v>1</v>
      </c>
      <c r="G251">
        <v>1.27</v>
      </c>
      <c r="H251">
        <v>2</v>
      </c>
      <c r="I251">
        <v>177</v>
      </c>
      <c r="J251">
        <f t="shared" si="13"/>
        <v>0.10001813426456009</v>
      </c>
      <c r="K251" s="2">
        <v>0.28000000000000003</v>
      </c>
      <c r="L251" s="17">
        <v>0.28000000000000003</v>
      </c>
      <c r="M251" s="2">
        <v>0</v>
      </c>
      <c r="N251" s="2">
        <f t="shared" si="12"/>
        <v>0</v>
      </c>
    </row>
    <row r="252" spans="1:15" x14ac:dyDescent="0.25">
      <c r="A252" s="12" t="s">
        <v>227</v>
      </c>
      <c r="C252">
        <v>61</v>
      </c>
      <c r="D252">
        <v>1</v>
      </c>
      <c r="G252">
        <v>2.04</v>
      </c>
      <c r="H252">
        <v>2</v>
      </c>
      <c r="I252">
        <v>178</v>
      </c>
      <c r="J252">
        <f t="shared" si="13"/>
        <v>0.12587557292671309</v>
      </c>
      <c r="K252" s="2">
        <v>0.13306000000000001</v>
      </c>
      <c r="L252" s="17">
        <v>0.13306000000000001</v>
      </c>
      <c r="M252" s="2">
        <v>1</v>
      </c>
      <c r="N252" s="2">
        <v>0</v>
      </c>
    </row>
    <row r="253" spans="1:15" x14ac:dyDescent="0.25">
      <c r="A253" s="12" t="s">
        <v>228</v>
      </c>
      <c r="C253">
        <v>61</v>
      </c>
      <c r="D253">
        <v>1</v>
      </c>
      <c r="G253">
        <v>20.62</v>
      </c>
      <c r="H253">
        <v>2</v>
      </c>
      <c r="I253">
        <v>177</v>
      </c>
      <c r="J253">
        <f t="shared" si="13"/>
        <v>0.36553978570687495</v>
      </c>
      <c r="K253" s="2" t="s">
        <v>2524</v>
      </c>
      <c r="L253" s="17">
        <v>0.01</v>
      </c>
      <c r="M253" s="2">
        <v>0</v>
      </c>
      <c r="N253" s="2">
        <f t="shared" si="12"/>
        <v>0</v>
      </c>
    </row>
    <row r="254" spans="1:15" x14ac:dyDescent="0.25">
      <c r="A254" s="12" t="s">
        <v>229</v>
      </c>
      <c r="C254">
        <v>61</v>
      </c>
      <c r="D254">
        <v>1</v>
      </c>
      <c r="G254">
        <v>2.72</v>
      </c>
      <c r="H254">
        <v>2</v>
      </c>
      <c r="I254">
        <v>177</v>
      </c>
      <c r="J254">
        <f t="shared" si="13"/>
        <v>0.14520511635205846</v>
      </c>
      <c r="K254" s="2">
        <v>7.0000000000000007E-2</v>
      </c>
      <c r="L254" s="17">
        <v>7.0000000000000007E-2</v>
      </c>
      <c r="M254" s="2">
        <v>0</v>
      </c>
      <c r="N254" s="2">
        <f t="shared" si="12"/>
        <v>0</v>
      </c>
    </row>
    <row r="255" spans="1:15" x14ac:dyDescent="0.25">
      <c r="A255" s="12" t="s">
        <v>230</v>
      </c>
      <c r="C255">
        <v>61</v>
      </c>
      <c r="D255">
        <v>1</v>
      </c>
      <c r="G255">
        <v>0.86</v>
      </c>
      <c r="H255">
        <v>2</v>
      </c>
      <c r="I255">
        <v>178</v>
      </c>
      <c r="J255">
        <f t="shared" si="13"/>
        <v>8.2263753144777227E-2</v>
      </c>
      <c r="K255" s="2">
        <v>0.42491000000000001</v>
      </c>
      <c r="L255" s="17">
        <v>0.42491000000000001</v>
      </c>
      <c r="M255" s="2">
        <v>1</v>
      </c>
      <c r="N255" s="2">
        <v>0</v>
      </c>
    </row>
    <row r="256" spans="1:15" x14ac:dyDescent="0.25">
      <c r="A256" s="12" t="s">
        <v>231</v>
      </c>
      <c r="C256">
        <v>61</v>
      </c>
      <c r="D256">
        <v>1</v>
      </c>
      <c r="G256">
        <v>6.72</v>
      </c>
      <c r="H256">
        <v>2</v>
      </c>
      <c r="I256">
        <v>177</v>
      </c>
      <c r="J256">
        <f t="shared" si="13"/>
        <v>0.22338965069664729</v>
      </c>
      <c r="K256" s="2" t="s">
        <v>2524</v>
      </c>
      <c r="L256" s="17">
        <v>0.01</v>
      </c>
      <c r="M256" s="2">
        <v>0</v>
      </c>
      <c r="N256" s="2">
        <f t="shared" si="12"/>
        <v>0</v>
      </c>
    </row>
    <row r="257" spans="1:15" x14ac:dyDescent="0.25">
      <c r="A257" s="12" t="s">
        <v>232</v>
      </c>
      <c r="C257">
        <v>61</v>
      </c>
      <c r="D257">
        <v>1</v>
      </c>
      <c r="G257">
        <v>0.67</v>
      </c>
      <c r="H257">
        <v>2</v>
      </c>
      <c r="I257">
        <v>178</v>
      </c>
      <c r="J257">
        <f t="shared" si="13"/>
        <v>7.2686928517328525E-2</v>
      </c>
      <c r="K257" s="2">
        <v>0.51298999999999995</v>
      </c>
      <c r="L257" s="17">
        <v>0.51298999999999995</v>
      </c>
      <c r="M257" s="2">
        <v>0</v>
      </c>
      <c r="N257" s="2">
        <f t="shared" si="12"/>
        <v>0</v>
      </c>
    </row>
    <row r="258" spans="1:15" x14ac:dyDescent="0.25">
      <c r="A258" s="12" t="s">
        <v>233</v>
      </c>
      <c r="C258">
        <v>61</v>
      </c>
      <c r="D258">
        <v>1</v>
      </c>
      <c r="G258">
        <v>6.06</v>
      </c>
      <c r="H258">
        <v>2</v>
      </c>
      <c r="I258">
        <v>177</v>
      </c>
      <c r="J258">
        <f t="shared" si="13"/>
        <v>0.21287520607821722</v>
      </c>
      <c r="K258" s="2" t="s">
        <v>2524</v>
      </c>
      <c r="L258" s="17">
        <v>0.01</v>
      </c>
      <c r="M258" s="2">
        <v>0</v>
      </c>
      <c r="N258" s="2">
        <f t="shared" si="12"/>
        <v>0</v>
      </c>
    </row>
    <row r="259" spans="1:15" x14ac:dyDescent="0.25">
      <c r="A259" s="12" t="s">
        <v>234</v>
      </c>
      <c r="C259">
        <v>61</v>
      </c>
      <c r="D259">
        <v>1</v>
      </c>
      <c r="G259">
        <v>0.63</v>
      </c>
      <c r="H259">
        <v>2</v>
      </c>
      <c r="I259">
        <v>178</v>
      </c>
      <c r="J259">
        <f t="shared" si="13"/>
        <v>7.0499506610367912E-2</v>
      </c>
      <c r="K259" s="2">
        <v>0.53378000000000003</v>
      </c>
      <c r="L259" s="17">
        <v>0.53378000000000003</v>
      </c>
      <c r="M259" s="2">
        <v>1</v>
      </c>
      <c r="N259" s="2">
        <v>0</v>
      </c>
    </row>
    <row r="260" spans="1:15" x14ac:dyDescent="0.25">
      <c r="A260" s="12" t="s">
        <v>235</v>
      </c>
      <c r="C260">
        <v>61</v>
      </c>
      <c r="D260">
        <v>1</v>
      </c>
      <c r="G260">
        <v>4.0999999999999996</v>
      </c>
      <c r="H260">
        <v>2</v>
      </c>
      <c r="I260">
        <v>177</v>
      </c>
      <c r="J260">
        <f t="shared" si="13"/>
        <v>0.17694118688493932</v>
      </c>
      <c r="K260" s="2">
        <v>0.02</v>
      </c>
      <c r="L260" s="17">
        <v>0.02</v>
      </c>
      <c r="M260" s="2">
        <v>0</v>
      </c>
      <c r="N260" s="2">
        <f t="shared" si="12"/>
        <v>0</v>
      </c>
    </row>
    <row r="261" spans="1:15" x14ac:dyDescent="0.25">
      <c r="A261" s="12" t="s">
        <v>236</v>
      </c>
      <c r="C261">
        <v>61</v>
      </c>
      <c r="D261">
        <v>1</v>
      </c>
      <c r="G261">
        <v>2.0099999999999998</v>
      </c>
      <c r="H261">
        <v>2</v>
      </c>
      <c r="I261">
        <v>177</v>
      </c>
      <c r="J261">
        <f t="shared" si="13"/>
        <v>0.12531188051382597</v>
      </c>
      <c r="K261" s="2">
        <v>0.14000000000000001</v>
      </c>
      <c r="L261" s="17">
        <v>0.14000000000000001</v>
      </c>
      <c r="M261" s="2">
        <v>0</v>
      </c>
      <c r="N261" s="2">
        <f t="shared" si="12"/>
        <v>0</v>
      </c>
    </row>
    <row r="262" spans="1:15" x14ac:dyDescent="0.25">
      <c r="A262" s="12" t="s">
        <v>237</v>
      </c>
      <c r="C262">
        <v>61</v>
      </c>
      <c r="D262">
        <v>1</v>
      </c>
      <c r="G262">
        <v>0.08</v>
      </c>
      <c r="H262">
        <v>2</v>
      </c>
      <c r="I262">
        <v>178</v>
      </c>
      <c r="J262">
        <f t="shared" si="13"/>
        <v>2.5199817199259785E-2</v>
      </c>
      <c r="K262" s="2">
        <v>0.92315000000000003</v>
      </c>
      <c r="L262" s="17">
        <v>0.92315000000000003</v>
      </c>
      <c r="M262" s="2">
        <v>1</v>
      </c>
      <c r="N262" s="2">
        <v>0</v>
      </c>
    </row>
    <row r="263" spans="1:15" x14ac:dyDescent="0.25">
      <c r="A263" s="12" t="s">
        <v>238</v>
      </c>
      <c r="C263">
        <v>61</v>
      </c>
      <c r="D263">
        <v>1</v>
      </c>
      <c r="G263">
        <v>8.7100000000000009</v>
      </c>
      <c r="H263">
        <v>2</v>
      </c>
      <c r="I263">
        <v>177</v>
      </c>
      <c r="J263">
        <f t="shared" si="13"/>
        <v>0.251707471502358</v>
      </c>
      <c r="K263" s="2">
        <v>8.7100000000000009</v>
      </c>
      <c r="L263" s="17">
        <v>8.7100000000000009</v>
      </c>
      <c r="M263" s="2" t="s">
        <v>2558</v>
      </c>
      <c r="N263" s="2" t="s">
        <v>2558</v>
      </c>
      <c r="O263" t="s">
        <v>2135</v>
      </c>
    </row>
    <row r="264" spans="1:15" x14ac:dyDescent="0.25">
      <c r="A264" s="12" t="s">
        <v>239</v>
      </c>
      <c r="C264">
        <v>61</v>
      </c>
      <c r="D264">
        <v>1</v>
      </c>
      <c r="G264">
        <v>0.91</v>
      </c>
      <c r="H264">
        <v>2</v>
      </c>
      <c r="I264">
        <v>178</v>
      </c>
      <c r="J264">
        <f t="shared" si="13"/>
        <v>8.4597825173117397E-2</v>
      </c>
      <c r="K264" s="2">
        <v>0.46</v>
      </c>
      <c r="L264" s="17">
        <v>0.46</v>
      </c>
      <c r="M264" s="2">
        <v>0</v>
      </c>
      <c r="N264" s="2">
        <f t="shared" si="12"/>
        <v>0</v>
      </c>
    </row>
    <row r="265" spans="1:15" x14ac:dyDescent="0.25">
      <c r="A265" s="12" t="s">
        <v>240</v>
      </c>
      <c r="C265">
        <v>65</v>
      </c>
      <c r="D265">
        <v>1</v>
      </c>
      <c r="G265">
        <v>24.99</v>
      </c>
      <c r="H265">
        <v>1</v>
      </c>
      <c r="I265">
        <v>436</v>
      </c>
      <c r="J265">
        <f t="shared" si="13"/>
        <v>0.23282916239039142</v>
      </c>
      <c r="K265" s="2" t="s">
        <v>2517</v>
      </c>
      <c r="L265" s="17">
        <v>1E-3</v>
      </c>
      <c r="M265" s="2" t="s">
        <v>2558</v>
      </c>
      <c r="N265" s="2" t="s">
        <v>2558</v>
      </c>
      <c r="O265" t="s">
        <v>2135</v>
      </c>
    </row>
    <row r="266" spans="1:15" x14ac:dyDescent="0.25">
      <c r="A266" s="12" t="s">
        <v>241</v>
      </c>
      <c r="C266">
        <v>65</v>
      </c>
      <c r="D266">
        <v>1</v>
      </c>
      <c r="G266">
        <v>0.74299999999999999</v>
      </c>
      <c r="H266">
        <v>1</v>
      </c>
      <c r="I266">
        <v>436</v>
      </c>
      <c r="J266">
        <f t="shared" si="13"/>
        <v>4.1245961342743574E-2</v>
      </c>
      <c r="K266" s="2">
        <v>0.39</v>
      </c>
      <c r="L266" s="17">
        <v>0.39</v>
      </c>
      <c r="M266" s="2" t="s">
        <v>2558</v>
      </c>
      <c r="N266" s="2" t="s">
        <v>2558</v>
      </c>
    </row>
    <row r="267" spans="1:15" x14ac:dyDescent="0.25">
      <c r="A267" s="12" t="s">
        <v>242</v>
      </c>
      <c r="C267">
        <v>65</v>
      </c>
      <c r="D267">
        <v>1</v>
      </c>
      <c r="G267">
        <v>9.66</v>
      </c>
      <c r="H267">
        <v>1</v>
      </c>
      <c r="I267">
        <v>436</v>
      </c>
      <c r="J267">
        <f t="shared" si="13"/>
        <v>0.14722675339162905</v>
      </c>
      <c r="K267" s="2">
        <v>2E-3</v>
      </c>
      <c r="L267" s="17">
        <v>2E-3</v>
      </c>
      <c r="M267" s="2" t="s">
        <v>2558</v>
      </c>
      <c r="N267" s="2" t="s">
        <v>2558</v>
      </c>
    </row>
    <row r="268" spans="1:15" x14ac:dyDescent="0.25">
      <c r="A268" s="12" t="s">
        <v>243</v>
      </c>
      <c r="C268">
        <v>65</v>
      </c>
      <c r="D268">
        <v>1</v>
      </c>
      <c r="G268">
        <v>1.61</v>
      </c>
      <c r="H268">
        <v>1</v>
      </c>
      <c r="I268">
        <v>436</v>
      </c>
      <c r="J268">
        <f t="shared" si="13"/>
        <v>6.0655378784034875E-2</v>
      </c>
      <c r="K268" s="2">
        <v>0.21</v>
      </c>
      <c r="L268" s="17">
        <v>0.21</v>
      </c>
      <c r="M268" s="2" t="s">
        <v>2558</v>
      </c>
      <c r="N268" s="2" t="s">
        <v>2558</v>
      </c>
    </row>
    <row r="269" spans="1:15" x14ac:dyDescent="0.25">
      <c r="A269" s="12" t="s">
        <v>244</v>
      </c>
      <c r="C269">
        <v>65</v>
      </c>
      <c r="D269">
        <v>1</v>
      </c>
      <c r="G269">
        <v>0.12</v>
      </c>
      <c r="H269">
        <v>1</v>
      </c>
      <c r="I269">
        <v>436</v>
      </c>
      <c r="J269">
        <f t="shared" si="13"/>
        <v>1.6587755346700421E-2</v>
      </c>
      <c r="K269" s="2">
        <v>0.73</v>
      </c>
      <c r="L269" s="17">
        <v>0.73</v>
      </c>
      <c r="M269" s="2" t="s">
        <v>2558</v>
      </c>
      <c r="N269" s="2" t="s">
        <v>2558</v>
      </c>
    </row>
    <row r="270" spans="1:15" x14ac:dyDescent="0.25">
      <c r="A270" s="12" t="s">
        <v>245</v>
      </c>
      <c r="C270">
        <v>65</v>
      </c>
      <c r="D270">
        <v>1</v>
      </c>
      <c r="G270">
        <v>0.4</v>
      </c>
      <c r="H270">
        <v>1</v>
      </c>
      <c r="I270">
        <v>436</v>
      </c>
      <c r="J270">
        <f t="shared" si="13"/>
        <v>3.027524209883363E-2</v>
      </c>
      <c r="K270" s="2">
        <v>0.53</v>
      </c>
      <c r="L270" s="17">
        <v>0.53</v>
      </c>
      <c r="M270" s="2" t="s">
        <v>2558</v>
      </c>
      <c r="N270" s="2" t="s">
        <v>2558</v>
      </c>
    </row>
    <row r="271" spans="1:15" x14ac:dyDescent="0.25">
      <c r="A271" s="12" t="s">
        <v>246</v>
      </c>
      <c r="C271">
        <v>65</v>
      </c>
      <c r="D271">
        <v>1</v>
      </c>
      <c r="G271">
        <v>0.74</v>
      </c>
      <c r="H271">
        <v>1</v>
      </c>
      <c r="I271">
        <v>436</v>
      </c>
      <c r="J271">
        <f t="shared" ref="J271:J301" si="14">IF(NOT(ISBLANK(F271)),SQRT((F271^2*1/H271)/(F271^2*1/H271+1)),IF(NOT(ISBLANK(G271)),SQRT((G271*H271/I271)/(G271*H271/I271+1)*SQRT(1/H271))))</f>
        <v>4.1162749392347535E-2</v>
      </c>
      <c r="K271" s="2">
        <v>0.39</v>
      </c>
      <c r="L271" s="17">
        <v>0.39</v>
      </c>
      <c r="M271" s="2" t="s">
        <v>2558</v>
      </c>
      <c r="N271" s="2" t="s">
        <v>2558</v>
      </c>
    </row>
    <row r="272" spans="1:15" x14ac:dyDescent="0.25">
      <c r="A272" s="12" t="s">
        <v>247</v>
      </c>
      <c r="C272">
        <v>65</v>
      </c>
      <c r="D272">
        <v>1</v>
      </c>
      <c r="G272">
        <v>16.478999999999999</v>
      </c>
      <c r="H272">
        <v>1</v>
      </c>
      <c r="I272">
        <v>436</v>
      </c>
      <c r="J272">
        <f t="shared" si="14"/>
        <v>0.19083859604049205</v>
      </c>
      <c r="K272" s="2" t="s">
        <v>2519</v>
      </c>
      <c r="L272" s="17">
        <v>1E-3</v>
      </c>
      <c r="M272" s="2" t="s">
        <v>2558</v>
      </c>
      <c r="N272" s="2" t="s">
        <v>2558</v>
      </c>
    </row>
    <row r="273" spans="1:15" x14ac:dyDescent="0.25">
      <c r="A273" s="12" t="s">
        <v>248</v>
      </c>
      <c r="C273">
        <v>65</v>
      </c>
      <c r="D273">
        <v>1</v>
      </c>
      <c r="G273">
        <v>23.07</v>
      </c>
      <c r="H273">
        <v>1</v>
      </c>
      <c r="I273">
        <v>436</v>
      </c>
      <c r="J273">
        <f t="shared" si="14"/>
        <v>0.22417353531195067</v>
      </c>
      <c r="K273" s="2" t="s">
        <v>2519</v>
      </c>
      <c r="L273" s="17">
        <v>1E-3</v>
      </c>
      <c r="M273" s="2" t="s">
        <v>2558</v>
      </c>
      <c r="N273" s="2" t="s">
        <v>2558</v>
      </c>
    </row>
    <row r="274" spans="1:15" x14ac:dyDescent="0.25">
      <c r="A274" s="12" t="s">
        <v>249</v>
      </c>
      <c r="C274">
        <v>65</v>
      </c>
      <c r="D274">
        <v>1</v>
      </c>
      <c r="G274">
        <v>20.68</v>
      </c>
      <c r="H274">
        <v>1</v>
      </c>
      <c r="I274">
        <v>436</v>
      </c>
      <c r="J274">
        <f t="shared" si="14"/>
        <v>0.21279884725077494</v>
      </c>
      <c r="K274" s="2" t="s">
        <v>2519</v>
      </c>
      <c r="L274" s="17">
        <v>1E-3</v>
      </c>
      <c r="M274" s="2" t="s">
        <v>2558</v>
      </c>
      <c r="N274" s="2" t="s">
        <v>2558</v>
      </c>
    </row>
    <row r="275" spans="1:15" x14ac:dyDescent="0.25">
      <c r="A275" s="12" t="s">
        <v>250</v>
      </c>
      <c r="C275">
        <v>65</v>
      </c>
      <c r="D275">
        <v>1</v>
      </c>
      <c r="G275">
        <v>4.97</v>
      </c>
      <c r="H275">
        <v>1</v>
      </c>
      <c r="I275">
        <v>436</v>
      </c>
      <c r="J275">
        <f t="shared" si="14"/>
        <v>0.10616311966905916</v>
      </c>
      <c r="K275" s="2">
        <v>2.5999999999999999E-2</v>
      </c>
      <c r="L275" s="17">
        <v>2.5999999999999999E-2</v>
      </c>
      <c r="M275" s="2" t="s">
        <v>2558</v>
      </c>
      <c r="N275" s="2" t="s">
        <v>2558</v>
      </c>
    </row>
    <row r="276" spans="1:15" x14ac:dyDescent="0.25">
      <c r="A276" s="12" t="s">
        <v>251</v>
      </c>
      <c r="C276">
        <v>65</v>
      </c>
      <c r="D276">
        <v>1</v>
      </c>
      <c r="G276">
        <v>4.38</v>
      </c>
      <c r="H276">
        <v>1</v>
      </c>
      <c r="I276">
        <v>436</v>
      </c>
      <c r="J276">
        <f t="shared" si="14"/>
        <v>9.9729412740050122E-2</v>
      </c>
      <c r="K276" s="2">
        <v>3.6999999999999998E-2</v>
      </c>
      <c r="L276" s="17">
        <v>3.6999999999999998E-2</v>
      </c>
      <c r="M276" s="2" t="s">
        <v>2558</v>
      </c>
      <c r="N276" s="2" t="s">
        <v>2558</v>
      </c>
    </row>
    <row r="277" spans="1:15" x14ac:dyDescent="0.25">
      <c r="A277" s="12" t="s">
        <v>252</v>
      </c>
      <c r="C277">
        <v>65</v>
      </c>
      <c r="D277">
        <v>1</v>
      </c>
      <c r="G277">
        <v>13.38</v>
      </c>
      <c r="H277">
        <v>1</v>
      </c>
      <c r="I277">
        <v>436</v>
      </c>
      <c r="J277">
        <f t="shared" si="14"/>
        <v>0.1725524725382786</v>
      </c>
      <c r="K277" s="2" t="s">
        <v>2519</v>
      </c>
      <c r="L277" s="17">
        <v>1E-3</v>
      </c>
      <c r="M277" s="2" t="s">
        <v>2558</v>
      </c>
      <c r="N277" s="2" t="s">
        <v>2558</v>
      </c>
    </row>
    <row r="278" spans="1:15" x14ac:dyDescent="0.25">
      <c r="A278" s="12" t="s">
        <v>253</v>
      </c>
      <c r="C278">
        <v>65</v>
      </c>
      <c r="D278">
        <v>1</v>
      </c>
      <c r="G278">
        <v>4.91</v>
      </c>
      <c r="H278">
        <v>3</v>
      </c>
      <c r="I278">
        <v>436</v>
      </c>
      <c r="J278">
        <f t="shared" si="14"/>
        <v>0.13736080495399883</v>
      </c>
      <c r="K278" s="2">
        <v>2E-3</v>
      </c>
      <c r="L278" s="17">
        <v>2E-3</v>
      </c>
      <c r="M278" s="2" t="s">
        <v>2558</v>
      </c>
      <c r="N278" s="2" t="s">
        <v>2558</v>
      </c>
    </row>
    <row r="279" spans="1:15" x14ac:dyDescent="0.25">
      <c r="A279" s="12" t="s">
        <v>254</v>
      </c>
      <c r="C279">
        <v>65</v>
      </c>
      <c r="D279">
        <v>2</v>
      </c>
      <c r="F279">
        <v>1.58</v>
      </c>
      <c r="H279">
        <v>438</v>
      </c>
      <c r="J279">
        <f t="shared" si="14"/>
        <v>7.5281091141678039E-2</v>
      </c>
      <c r="K279" s="2">
        <v>0.11</v>
      </c>
      <c r="L279" s="17">
        <v>0.11</v>
      </c>
      <c r="M279" s="2" t="s">
        <v>2558</v>
      </c>
      <c r="N279" s="2" t="s">
        <v>2558</v>
      </c>
      <c r="O279" t="s">
        <v>2144</v>
      </c>
    </row>
    <row r="280" spans="1:15" x14ac:dyDescent="0.25">
      <c r="A280" s="12" t="s">
        <v>255</v>
      </c>
      <c r="C280">
        <v>65</v>
      </c>
      <c r="D280">
        <v>2</v>
      </c>
      <c r="F280">
        <v>0.19</v>
      </c>
      <c r="H280">
        <v>438</v>
      </c>
      <c r="J280">
        <f t="shared" si="14"/>
        <v>9.0781770643993519E-3</v>
      </c>
      <c r="K280" s="2">
        <v>0.85</v>
      </c>
      <c r="L280" s="17">
        <v>0.85</v>
      </c>
      <c r="M280" s="2" t="s">
        <v>2558</v>
      </c>
      <c r="N280" s="2" t="s">
        <v>2558</v>
      </c>
      <c r="O280" t="s">
        <v>2144</v>
      </c>
    </row>
    <row r="281" spans="1:15" x14ac:dyDescent="0.25">
      <c r="A281" s="12" t="s">
        <v>256</v>
      </c>
      <c r="C281">
        <v>65</v>
      </c>
      <c r="D281">
        <v>1</v>
      </c>
      <c r="F281">
        <v>3.4950000000000001</v>
      </c>
      <c r="H281">
        <v>438</v>
      </c>
      <c r="J281">
        <f t="shared" si="14"/>
        <v>0.16471653119187193</v>
      </c>
      <c r="K281" s="2" t="s">
        <v>2519</v>
      </c>
      <c r="L281" s="17">
        <v>1E-3</v>
      </c>
      <c r="M281" s="2" t="s">
        <v>2558</v>
      </c>
      <c r="N281" s="2" t="s">
        <v>2558</v>
      </c>
      <c r="O281" t="s">
        <v>2144</v>
      </c>
    </row>
    <row r="282" spans="1:15" x14ac:dyDescent="0.25">
      <c r="A282" s="12" t="s">
        <v>257</v>
      </c>
      <c r="C282">
        <v>65</v>
      </c>
      <c r="D282">
        <v>1</v>
      </c>
      <c r="F282">
        <v>-1.36</v>
      </c>
      <c r="H282">
        <v>438</v>
      </c>
      <c r="J282">
        <f t="shared" si="14"/>
        <v>6.4846539879122561E-2</v>
      </c>
      <c r="K282" s="2">
        <v>0.17</v>
      </c>
      <c r="L282" s="17">
        <v>0.17</v>
      </c>
      <c r="M282" s="2" t="s">
        <v>2558</v>
      </c>
      <c r="N282" s="2" t="s">
        <v>2558</v>
      </c>
      <c r="O282" t="s">
        <v>2144</v>
      </c>
    </row>
    <row r="283" spans="1:15" x14ac:dyDescent="0.25">
      <c r="A283" s="12" t="s">
        <v>258</v>
      </c>
      <c r="C283">
        <v>65</v>
      </c>
      <c r="D283">
        <v>1</v>
      </c>
      <c r="F283">
        <v>3.5950000000000002</v>
      </c>
      <c r="H283">
        <v>438</v>
      </c>
      <c r="J283">
        <f t="shared" si="14"/>
        <v>0.16929619889370109</v>
      </c>
      <c r="K283" s="2" t="s">
        <v>2519</v>
      </c>
      <c r="L283" s="17">
        <v>1E-3</v>
      </c>
      <c r="M283" s="2" t="s">
        <v>2558</v>
      </c>
      <c r="N283" s="2" t="s">
        <v>2558</v>
      </c>
      <c r="O283" t="s">
        <v>2144</v>
      </c>
    </row>
    <row r="284" spans="1:15" x14ac:dyDescent="0.25">
      <c r="A284" s="12" t="s">
        <v>259</v>
      </c>
      <c r="C284">
        <v>65</v>
      </c>
      <c r="D284">
        <v>1</v>
      </c>
      <c r="G284">
        <v>7.1550000000000002</v>
      </c>
      <c r="H284">
        <v>3</v>
      </c>
      <c r="I284">
        <v>436</v>
      </c>
      <c r="J284">
        <f t="shared" si="14"/>
        <v>0.16459104269230432</v>
      </c>
      <c r="K284" s="2" t="s">
        <v>2519</v>
      </c>
      <c r="L284" s="17">
        <v>1E-3</v>
      </c>
      <c r="M284" s="2" t="s">
        <v>2558</v>
      </c>
      <c r="N284" s="2" t="s">
        <v>2558</v>
      </c>
    </row>
    <row r="285" spans="1:15" x14ac:dyDescent="0.25">
      <c r="A285" s="12" t="s">
        <v>260</v>
      </c>
      <c r="C285">
        <v>65</v>
      </c>
      <c r="D285">
        <v>2</v>
      </c>
      <c r="F285">
        <v>-1.22</v>
      </c>
      <c r="H285">
        <v>438</v>
      </c>
      <c r="J285">
        <f t="shared" si="14"/>
        <v>5.8195060276053437E-2</v>
      </c>
      <c r="K285" s="2">
        <v>0.223</v>
      </c>
      <c r="L285" s="17">
        <v>0.223</v>
      </c>
      <c r="M285" s="2" t="s">
        <v>2558</v>
      </c>
      <c r="N285" s="2" t="s">
        <v>2558</v>
      </c>
      <c r="O285" t="s">
        <v>2144</v>
      </c>
    </row>
    <row r="286" spans="1:15" x14ac:dyDescent="0.25">
      <c r="A286" s="12" t="s">
        <v>261</v>
      </c>
      <c r="C286">
        <v>65</v>
      </c>
      <c r="D286">
        <v>1</v>
      </c>
      <c r="F286">
        <v>-1.77</v>
      </c>
      <c r="H286">
        <v>438</v>
      </c>
      <c r="J286">
        <f t="shared" si="14"/>
        <v>8.4273016961133249E-2</v>
      </c>
      <c r="K286" s="2">
        <v>0.08</v>
      </c>
      <c r="L286" s="17">
        <v>0.08</v>
      </c>
      <c r="M286" s="2" t="s">
        <v>2558</v>
      </c>
      <c r="N286" s="2" t="s">
        <v>2558</v>
      </c>
      <c r="O286" t="s">
        <v>2144</v>
      </c>
    </row>
    <row r="287" spans="1:15" x14ac:dyDescent="0.25">
      <c r="A287" s="12" t="s">
        <v>262</v>
      </c>
      <c r="C287">
        <v>65</v>
      </c>
      <c r="D287">
        <v>1</v>
      </c>
      <c r="F287">
        <v>-3.74</v>
      </c>
      <c r="H287">
        <v>438</v>
      </c>
      <c r="J287">
        <f t="shared" si="14"/>
        <v>0.17591721542803387</v>
      </c>
      <c r="K287" s="2" t="s">
        <v>2517</v>
      </c>
      <c r="L287" s="17">
        <v>1E-3</v>
      </c>
      <c r="M287" s="2" t="s">
        <v>2558</v>
      </c>
      <c r="N287" s="2" t="s">
        <v>2558</v>
      </c>
      <c r="O287" t="s">
        <v>2144</v>
      </c>
    </row>
    <row r="288" spans="1:15" x14ac:dyDescent="0.25">
      <c r="A288" s="12" t="s">
        <v>263</v>
      </c>
      <c r="C288">
        <v>65</v>
      </c>
      <c r="D288">
        <v>1</v>
      </c>
      <c r="F288" s="3">
        <v>-1219</v>
      </c>
      <c r="H288">
        <v>438</v>
      </c>
      <c r="J288">
        <f t="shared" si="14"/>
        <v>0.999852653200343</v>
      </c>
      <c r="K288" s="2">
        <v>0.223</v>
      </c>
      <c r="L288" s="17">
        <v>0.223</v>
      </c>
      <c r="M288" s="2" t="s">
        <v>2558</v>
      </c>
      <c r="N288" s="2" t="s">
        <v>2558</v>
      </c>
      <c r="O288" t="s">
        <v>2144</v>
      </c>
    </row>
    <row r="289" spans="1:15" x14ac:dyDescent="0.25">
      <c r="A289" s="12" t="s">
        <v>264</v>
      </c>
      <c r="C289">
        <v>65</v>
      </c>
      <c r="D289">
        <v>1</v>
      </c>
      <c r="F289">
        <v>2.0110000000000001</v>
      </c>
      <c r="H289">
        <v>438</v>
      </c>
      <c r="J289">
        <f t="shared" si="14"/>
        <v>9.5648741704306317E-2</v>
      </c>
      <c r="K289" s="2">
        <v>4.4999999999999998E-2</v>
      </c>
      <c r="L289" s="17">
        <v>4.4999999999999998E-2</v>
      </c>
      <c r="M289" s="2" t="s">
        <v>2558</v>
      </c>
      <c r="N289" s="2" t="s">
        <v>2558</v>
      </c>
      <c r="O289" t="s">
        <v>2144</v>
      </c>
    </row>
    <row r="290" spans="1:15" x14ac:dyDescent="0.25">
      <c r="A290" s="12" t="s">
        <v>265</v>
      </c>
      <c r="C290">
        <v>65</v>
      </c>
      <c r="D290">
        <v>1</v>
      </c>
      <c r="F290">
        <v>4.6630000000000003</v>
      </c>
      <c r="H290">
        <v>438</v>
      </c>
      <c r="J290">
        <f t="shared" si="14"/>
        <v>0.21747412091126286</v>
      </c>
      <c r="K290" s="2" t="s">
        <v>2517</v>
      </c>
      <c r="L290" s="17">
        <v>1E-3</v>
      </c>
      <c r="M290" s="2" t="s">
        <v>2558</v>
      </c>
      <c r="N290" s="2" t="s">
        <v>2558</v>
      </c>
      <c r="O290" t="s">
        <v>2144</v>
      </c>
    </row>
    <row r="291" spans="1:15" x14ac:dyDescent="0.25">
      <c r="A291" s="12" t="s">
        <v>266</v>
      </c>
      <c r="C291">
        <v>65</v>
      </c>
      <c r="D291">
        <v>1</v>
      </c>
      <c r="F291">
        <v>3.895</v>
      </c>
      <c r="H291">
        <v>438</v>
      </c>
      <c r="J291">
        <f t="shared" si="14"/>
        <v>0.18296852835919256</v>
      </c>
      <c r="K291" s="2" t="s">
        <v>2517</v>
      </c>
      <c r="L291" s="17">
        <v>1E-3</v>
      </c>
      <c r="M291" s="2" t="s">
        <v>2558</v>
      </c>
      <c r="N291" s="2" t="s">
        <v>2558</v>
      </c>
      <c r="O291" t="s">
        <v>2144</v>
      </c>
    </row>
    <row r="292" spans="1:15" x14ac:dyDescent="0.25">
      <c r="A292" s="12" t="s">
        <v>267</v>
      </c>
      <c r="C292">
        <v>65</v>
      </c>
      <c r="D292">
        <v>1</v>
      </c>
      <c r="F292">
        <v>3.2519999999999998</v>
      </c>
      <c r="H292">
        <v>438</v>
      </c>
      <c r="J292">
        <f t="shared" si="14"/>
        <v>0.15354396809142706</v>
      </c>
      <c r="K292" s="2">
        <v>1E-3</v>
      </c>
      <c r="L292" s="17">
        <v>1E-3</v>
      </c>
      <c r="M292" s="2" t="s">
        <v>2558</v>
      </c>
      <c r="N292" s="2" t="s">
        <v>2558</v>
      </c>
      <c r="O292" t="s">
        <v>2144</v>
      </c>
    </row>
    <row r="293" spans="1:15" x14ac:dyDescent="0.25">
      <c r="A293" s="12" t="s">
        <v>268</v>
      </c>
      <c r="C293">
        <v>65</v>
      </c>
      <c r="D293">
        <v>1</v>
      </c>
      <c r="F293">
        <v>4.2039999999999997</v>
      </c>
      <c r="H293">
        <v>438</v>
      </c>
      <c r="J293">
        <f t="shared" si="14"/>
        <v>0.1969408308424184</v>
      </c>
      <c r="K293" s="2" t="s">
        <v>2517</v>
      </c>
      <c r="L293" s="17">
        <v>1E-3</v>
      </c>
      <c r="M293" s="2" t="s">
        <v>2558</v>
      </c>
      <c r="N293" s="2" t="s">
        <v>2558</v>
      </c>
    </row>
    <row r="294" spans="1:15" x14ac:dyDescent="0.25">
      <c r="A294" s="12" t="s">
        <v>269</v>
      </c>
      <c r="C294">
        <v>72</v>
      </c>
      <c r="D294">
        <v>1</v>
      </c>
      <c r="G294">
        <v>210.26</v>
      </c>
      <c r="H294">
        <v>1</v>
      </c>
      <c r="I294">
        <v>582</v>
      </c>
      <c r="J294">
        <f t="shared" si="14"/>
        <v>0.51516276468911415</v>
      </c>
      <c r="K294" s="2" t="s">
        <v>2517</v>
      </c>
      <c r="L294" s="17">
        <v>1E-3</v>
      </c>
      <c r="M294" s="2">
        <v>0</v>
      </c>
      <c r="N294" s="2">
        <f t="shared" ref="N294:N340" si="15">IF(M294=0, 0)</f>
        <v>0</v>
      </c>
    </row>
    <row r="295" spans="1:15" x14ac:dyDescent="0.25">
      <c r="A295" s="12" t="s">
        <v>270</v>
      </c>
      <c r="C295">
        <v>72</v>
      </c>
      <c r="D295">
        <v>1</v>
      </c>
      <c r="G295">
        <v>2.29</v>
      </c>
      <c r="H295">
        <v>1</v>
      </c>
      <c r="I295">
        <v>582</v>
      </c>
      <c r="J295">
        <f t="shared" si="14"/>
        <v>6.2604206373047352E-2</v>
      </c>
      <c r="K295" s="2">
        <v>0.13</v>
      </c>
      <c r="L295" s="17">
        <v>0.13</v>
      </c>
      <c r="M295" s="2">
        <v>0</v>
      </c>
      <c r="N295" s="2">
        <f t="shared" si="15"/>
        <v>0</v>
      </c>
    </row>
    <row r="296" spans="1:15" x14ac:dyDescent="0.25">
      <c r="A296" s="12" t="s">
        <v>271</v>
      </c>
      <c r="C296">
        <v>72</v>
      </c>
      <c r="D296">
        <v>1</v>
      </c>
      <c r="G296">
        <v>1.1499999999999999</v>
      </c>
      <c r="H296">
        <v>1</v>
      </c>
      <c r="I296">
        <v>582</v>
      </c>
      <c r="J296">
        <f t="shared" si="14"/>
        <v>4.4407751103330922E-2</v>
      </c>
      <c r="K296" s="2">
        <v>0.28399999999999997</v>
      </c>
      <c r="L296" s="17">
        <v>0.28399999999999997</v>
      </c>
      <c r="M296" s="2">
        <v>0</v>
      </c>
      <c r="N296" s="2">
        <f t="shared" si="15"/>
        <v>0</v>
      </c>
    </row>
    <row r="297" spans="1:15" x14ac:dyDescent="0.25">
      <c r="A297" s="12" t="s">
        <v>272</v>
      </c>
      <c r="C297">
        <v>72</v>
      </c>
      <c r="D297">
        <v>1</v>
      </c>
      <c r="G297">
        <v>329.41</v>
      </c>
      <c r="H297">
        <v>1</v>
      </c>
      <c r="I297">
        <v>582</v>
      </c>
      <c r="J297">
        <f t="shared" si="14"/>
        <v>0.60118964947401321</v>
      </c>
      <c r="K297" s="2" t="s">
        <v>2517</v>
      </c>
      <c r="L297" s="17">
        <v>1E-3</v>
      </c>
      <c r="M297" s="2">
        <v>0</v>
      </c>
      <c r="N297" s="2">
        <f t="shared" si="15"/>
        <v>0</v>
      </c>
    </row>
    <row r="298" spans="1:15" x14ac:dyDescent="0.25">
      <c r="A298" s="12" t="s">
        <v>273</v>
      </c>
      <c r="C298">
        <v>72</v>
      </c>
      <c r="D298">
        <v>1</v>
      </c>
      <c r="G298">
        <v>2.67</v>
      </c>
      <c r="H298">
        <v>2</v>
      </c>
      <c r="I298">
        <v>582</v>
      </c>
      <c r="J298">
        <f t="shared" si="14"/>
        <v>8.0180422458559858E-2</v>
      </c>
      <c r="K298" s="2">
        <v>7.0000000000000007E-2</v>
      </c>
      <c r="L298" s="17">
        <v>7.0000000000000007E-2</v>
      </c>
      <c r="M298" s="2">
        <v>0</v>
      </c>
      <c r="N298" s="2">
        <f t="shared" si="15"/>
        <v>0</v>
      </c>
    </row>
    <row r="299" spans="1:15" x14ac:dyDescent="0.25">
      <c r="A299" s="12" t="s">
        <v>274</v>
      </c>
      <c r="C299">
        <v>72</v>
      </c>
      <c r="D299">
        <v>1</v>
      </c>
      <c r="G299">
        <v>1.2</v>
      </c>
      <c r="H299">
        <v>1</v>
      </c>
      <c r="I299">
        <v>582</v>
      </c>
      <c r="J299">
        <f t="shared" si="14"/>
        <v>4.5360921162651446E-2</v>
      </c>
      <c r="K299" s="2">
        <v>0.27400000000000002</v>
      </c>
      <c r="L299" s="17">
        <v>0.27400000000000002</v>
      </c>
      <c r="M299" s="2">
        <v>0</v>
      </c>
      <c r="N299" s="2">
        <f t="shared" si="15"/>
        <v>0</v>
      </c>
    </row>
    <row r="300" spans="1:15" x14ac:dyDescent="0.25">
      <c r="A300" s="12" t="s">
        <v>275</v>
      </c>
      <c r="C300">
        <v>72</v>
      </c>
      <c r="D300">
        <v>1</v>
      </c>
      <c r="G300">
        <v>0.75</v>
      </c>
      <c r="H300">
        <v>2</v>
      </c>
      <c r="I300">
        <v>582</v>
      </c>
      <c r="J300">
        <f t="shared" si="14"/>
        <v>4.2635140688864252E-2</v>
      </c>
      <c r="K300" s="2">
        <v>0.47499999999999998</v>
      </c>
      <c r="L300" s="17">
        <v>0.47499999999999998</v>
      </c>
      <c r="M300" s="2">
        <v>0</v>
      </c>
      <c r="N300" s="2">
        <f t="shared" si="15"/>
        <v>0</v>
      </c>
    </row>
    <row r="301" spans="1:15" x14ac:dyDescent="0.25">
      <c r="A301" s="12" t="s">
        <v>276</v>
      </c>
      <c r="C301">
        <v>72</v>
      </c>
      <c r="D301">
        <v>1</v>
      </c>
      <c r="G301">
        <v>0.98</v>
      </c>
      <c r="H301">
        <v>1</v>
      </c>
      <c r="I301">
        <v>582</v>
      </c>
      <c r="J301">
        <f t="shared" si="14"/>
        <v>4.1000222154866803E-2</v>
      </c>
      <c r="K301" s="2">
        <v>0.32300000000000001</v>
      </c>
      <c r="L301" s="17">
        <v>0.32300000000000001</v>
      </c>
      <c r="M301" s="2">
        <v>0</v>
      </c>
      <c r="N301" s="2">
        <f t="shared" si="15"/>
        <v>0</v>
      </c>
    </row>
    <row r="302" spans="1:15" x14ac:dyDescent="0.25">
      <c r="A302" s="12" t="s">
        <v>277</v>
      </c>
      <c r="C302">
        <v>72</v>
      </c>
      <c r="D302">
        <v>1</v>
      </c>
      <c r="G302">
        <v>0.16</v>
      </c>
      <c r="H302">
        <v>2</v>
      </c>
      <c r="I302">
        <v>582</v>
      </c>
      <c r="J302">
        <f t="shared" ref="J302:J313" si="16">IF(NOT(ISBLANK(F302)),SQRT((F302^2*1/H302)/(F302^2*1/H302+1)),IF(NOT(ISBLANK(G302)),SQRT((G302*H302/I302)/(G302*H302/I302+1)*SQRT(1/H302))))</f>
        <v>1.9712269908247357E-2</v>
      </c>
      <c r="K302" s="2">
        <v>0.85299999999999998</v>
      </c>
      <c r="L302" s="17">
        <v>0.85299999999999998</v>
      </c>
      <c r="M302" s="2">
        <v>0</v>
      </c>
      <c r="N302" s="2">
        <f t="shared" si="15"/>
        <v>0</v>
      </c>
    </row>
    <row r="303" spans="1:15" x14ac:dyDescent="0.25">
      <c r="A303" s="12" t="s">
        <v>278</v>
      </c>
      <c r="C303">
        <v>72</v>
      </c>
      <c r="D303">
        <v>1</v>
      </c>
      <c r="G303">
        <v>16.25</v>
      </c>
      <c r="H303">
        <v>2</v>
      </c>
      <c r="I303">
        <v>582</v>
      </c>
      <c r="J303">
        <f t="shared" si="16"/>
        <v>0.19338520178921187</v>
      </c>
      <c r="K303" s="2" t="s">
        <v>2516</v>
      </c>
      <c r="L303" s="17">
        <v>1E-3</v>
      </c>
      <c r="M303" s="2" t="s">
        <v>2558</v>
      </c>
      <c r="N303" s="2" t="s">
        <v>2558</v>
      </c>
      <c r="O303" t="s">
        <v>2559</v>
      </c>
    </row>
    <row r="304" spans="1:15" x14ac:dyDescent="0.25">
      <c r="A304" s="12" t="s">
        <v>279</v>
      </c>
      <c r="C304">
        <v>72</v>
      </c>
      <c r="D304">
        <v>1</v>
      </c>
      <c r="G304">
        <v>13.79</v>
      </c>
      <c r="H304">
        <v>2</v>
      </c>
      <c r="I304">
        <v>582</v>
      </c>
      <c r="J304">
        <f t="shared" si="16"/>
        <v>0.17886455122018971</v>
      </c>
      <c r="K304" s="2" t="s">
        <v>2516</v>
      </c>
      <c r="L304" s="17">
        <v>1E-3</v>
      </c>
      <c r="M304" s="2" t="s">
        <v>2558</v>
      </c>
      <c r="N304" s="2" t="s">
        <v>2558</v>
      </c>
      <c r="O304" t="s">
        <v>2559</v>
      </c>
    </row>
    <row r="305" spans="1:14" x14ac:dyDescent="0.25">
      <c r="A305" s="12" t="s">
        <v>280</v>
      </c>
      <c r="C305">
        <v>72</v>
      </c>
      <c r="D305">
        <v>1</v>
      </c>
      <c r="G305">
        <v>1.94</v>
      </c>
      <c r="H305">
        <v>1</v>
      </c>
      <c r="I305">
        <v>581</v>
      </c>
      <c r="J305">
        <f t="shared" si="16"/>
        <v>5.7688458814918304E-2</v>
      </c>
      <c r="K305" s="2">
        <v>0.16500000000000001</v>
      </c>
      <c r="L305" s="17">
        <v>0.16500000000000001</v>
      </c>
      <c r="M305" s="2">
        <v>0</v>
      </c>
      <c r="N305" s="2">
        <f t="shared" si="15"/>
        <v>0</v>
      </c>
    </row>
    <row r="306" spans="1:14" x14ac:dyDescent="0.25">
      <c r="A306" s="12" t="s">
        <v>281</v>
      </c>
      <c r="C306">
        <v>72</v>
      </c>
      <c r="D306">
        <v>2</v>
      </c>
      <c r="G306">
        <v>0.47</v>
      </c>
      <c r="H306">
        <v>2</v>
      </c>
      <c r="I306">
        <v>581</v>
      </c>
      <c r="J306">
        <f t="shared" si="16"/>
        <v>3.3796157316547171E-2</v>
      </c>
      <c r="K306" s="2">
        <v>0.627</v>
      </c>
      <c r="L306" s="17">
        <v>0.627</v>
      </c>
      <c r="M306" s="2">
        <v>0</v>
      </c>
      <c r="N306" s="2">
        <f t="shared" si="15"/>
        <v>0</v>
      </c>
    </row>
    <row r="307" spans="1:14" x14ac:dyDescent="0.25">
      <c r="A307" s="12" t="s">
        <v>282</v>
      </c>
      <c r="C307">
        <v>72</v>
      </c>
      <c r="D307">
        <v>1</v>
      </c>
      <c r="G307">
        <v>20.69</v>
      </c>
      <c r="H307">
        <v>1</v>
      </c>
      <c r="I307">
        <v>571</v>
      </c>
      <c r="J307">
        <f t="shared" si="16"/>
        <v>0.18699635044347784</v>
      </c>
      <c r="K307" s="2" t="s">
        <v>2174</v>
      </c>
      <c r="L307" s="17">
        <v>1E-3</v>
      </c>
      <c r="M307" s="2">
        <v>0</v>
      </c>
      <c r="N307" s="2">
        <f t="shared" si="15"/>
        <v>0</v>
      </c>
    </row>
    <row r="308" spans="1:14" x14ac:dyDescent="0.25">
      <c r="A308" s="12" t="s">
        <v>283</v>
      </c>
      <c r="C308">
        <v>72</v>
      </c>
      <c r="D308">
        <v>1</v>
      </c>
      <c r="G308">
        <v>0.38</v>
      </c>
      <c r="H308">
        <v>1</v>
      </c>
      <c r="I308">
        <v>571</v>
      </c>
      <c r="J308">
        <f t="shared" si="16"/>
        <v>2.5788689959069914E-2</v>
      </c>
      <c r="K308" s="2">
        <v>0.53600000000000003</v>
      </c>
      <c r="L308" s="17">
        <v>0.53600000000000003</v>
      </c>
      <c r="M308" s="2">
        <v>0</v>
      </c>
      <c r="N308" s="2">
        <f t="shared" si="15"/>
        <v>0</v>
      </c>
    </row>
    <row r="309" spans="1:14" x14ac:dyDescent="0.25">
      <c r="A309" s="12" t="s">
        <v>284</v>
      </c>
      <c r="C309">
        <v>72</v>
      </c>
      <c r="D309">
        <v>1</v>
      </c>
      <c r="G309">
        <v>0.08</v>
      </c>
      <c r="H309">
        <v>1</v>
      </c>
      <c r="I309">
        <v>571</v>
      </c>
      <c r="J309">
        <f t="shared" si="16"/>
        <v>1.183577002673661E-2</v>
      </c>
      <c r="K309" s="2">
        <v>0.77700000000000002</v>
      </c>
      <c r="L309" s="17">
        <v>0.77700000000000002</v>
      </c>
      <c r="M309" s="2">
        <v>0</v>
      </c>
      <c r="N309" s="2">
        <f t="shared" si="15"/>
        <v>0</v>
      </c>
    </row>
    <row r="310" spans="1:14" x14ac:dyDescent="0.25">
      <c r="A310" s="12" t="s">
        <v>285</v>
      </c>
      <c r="C310">
        <v>72</v>
      </c>
      <c r="D310">
        <v>1</v>
      </c>
      <c r="E310">
        <v>0</v>
      </c>
      <c r="J310" t="b">
        <f t="shared" si="16"/>
        <v>0</v>
      </c>
    </row>
    <row r="311" spans="1:14" x14ac:dyDescent="0.25">
      <c r="A311" s="12" t="s">
        <v>286</v>
      </c>
      <c r="C311">
        <v>77</v>
      </c>
      <c r="D311">
        <v>1</v>
      </c>
      <c r="G311">
        <v>30.86</v>
      </c>
      <c r="H311">
        <v>5</v>
      </c>
      <c r="I311">
        <v>16</v>
      </c>
      <c r="J311">
        <f t="shared" si="16"/>
        <v>0.63655090212960741</v>
      </c>
      <c r="K311" s="2" t="s">
        <v>2519</v>
      </c>
      <c r="L311" s="17">
        <v>1E-3</v>
      </c>
      <c r="M311" s="2">
        <v>0</v>
      </c>
      <c r="N311" s="2">
        <f t="shared" si="15"/>
        <v>0</v>
      </c>
    </row>
    <row r="312" spans="1:14" x14ac:dyDescent="0.25">
      <c r="A312" s="12" t="s">
        <v>287</v>
      </c>
      <c r="C312">
        <v>77</v>
      </c>
      <c r="D312">
        <v>1</v>
      </c>
      <c r="G312">
        <v>31.05</v>
      </c>
      <c r="H312">
        <v>5</v>
      </c>
      <c r="I312">
        <v>16</v>
      </c>
      <c r="J312">
        <f t="shared" si="16"/>
        <v>0.63673395973706604</v>
      </c>
      <c r="K312" s="2" t="s">
        <v>2519</v>
      </c>
      <c r="L312" s="17">
        <v>1E-3</v>
      </c>
      <c r="M312" s="2">
        <v>0</v>
      </c>
      <c r="N312" s="2">
        <f t="shared" si="15"/>
        <v>0</v>
      </c>
    </row>
    <row r="313" spans="1:14" x14ac:dyDescent="0.25">
      <c r="A313" s="12" t="s">
        <v>288</v>
      </c>
      <c r="C313">
        <v>77</v>
      </c>
      <c r="D313">
        <v>1</v>
      </c>
      <c r="G313">
        <v>18.95</v>
      </c>
      <c r="H313">
        <v>5</v>
      </c>
      <c r="I313">
        <v>16</v>
      </c>
      <c r="J313">
        <f t="shared" si="16"/>
        <v>0.61855061179784998</v>
      </c>
      <c r="K313" s="2" t="s">
        <v>2519</v>
      </c>
      <c r="L313" s="17">
        <v>1E-3</v>
      </c>
      <c r="M313" s="2">
        <v>0</v>
      </c>
      <c r="N313" s="2">
        <f t="shared" si="15"/>
        <v>0</v>
      </c>
    </row>
    <row r="314" spans="1:14" x14ac:dyDescent="0.25">
      <c r="A314" s="12" t="s">
        <v>289</v>
      </c>
      <c r="C314">
        <v>77</v>
      </c>
      <c r="D314">
        <v>1</v>
      </c>
      <c r="J314">
        <v>0.18</v>
      </c>
      <c r="K314" s="2" t="s">
        <v>2145</v>
      </c>
      <c r="L314" s="17">
        <v>0.999</v>
      </c>
    </row>
    <row r="315" spans="1:14" x14ac:dyDescent="0.25">
      <c r="A315" s="12" t="s">
        <v>290</v>
      </c>
      <c r="C315">
        <v>77</v>
      </c>
      <c r="D315">
        <v>1</v>
      </c>
      <c r="J315">
        <v>0.53</v>
      </c>
      <c r="K315" s="2" t="s">
        <v>2525</v>
      </c>
      <c r="L315" s="17">
        <v>4.9000000000000002E-2</v>
      </c>
    </row>
    <row r="316" spans="1:14" x14ac:dyDescent="0.25">
      <c r="A316" s="12" t="s">
        <v>291</v>
      </c>
      <c r="C316">
        <v>77</v>
      </c>
      <c r="D316">
        <v>1</v>
      </c>
      <c r="J316">
        <v>-0.41</v>
      </c>
      <c r="K316" s="2">
        <v>4.6609999999999999E-2</v>
      </c>
      <c r="L316" s="17">
        <v>4.6609999999999999E-2</v>
      </c>
    </row>
    <row r="317" spans="1:14" x14ac:dyDescent="0.25">
      <c r="A317" s="12" t="s">
        <v>292</v>
      </c>
      <c r="C317">
        <v>77</v>
      </c>
      <c r="D317">
        <v>1</v>
      </c>
      <c r="J317">
        <v>-0.26</v>
      </c>
      <c r="K317" s="2" t="s">
        <v>2145</v>
      </c>
      <c r="L317" s="17">
        <v>0.999</v>
      </c>
    </row>
    <row r="318" spans="1:14" x14ac:dyDescent="0.25">
      <c r="A318" s="12" t="s">
        <v>293</v>
      </c>
      <c r="C318">
        <v>77</v>
      </c>
      <c r="D318">
        <v>1</v>
      </c>
      <c r="J318">
        <v>-0.42</v>
      </c>
      <c r="K318" s="2">
        <v>4.1020000000000001E-2</v>
      </c>
      <c r="L318" s="17">
        <v>4.1020000000000001E-2</v>
      </c>
    </row>
    <row r="319" spans="1:14" x14ac:dyDescent="0.25">
      <c r="A319" s="12" t="s">
        <v>294</v>
      </c>
      <c r="C319">
        <v>77</v>
      </c>
      <c r="D319">
        <v>1</v>
      </c>
      <c r="F319">
        <v>5.4</v>
      </c>
      <c r="H319">
        <v>7</v>
      </c>
      <c r="J319">
        <f>IF(NOT(ISBLANK(F319)),SQRT((F319^2*1/H319)/(F319^2*1/H319+1)),IF(NOT(ISBLANK(G319)),SQRT((G319*H319/I319)/(G319*H319/I319+1)*SQRT(1/H319))))</f>
        <v>0.89800664207094805</v>
      </c>
      <c r="K319" s="2">
        <v>1E-3</v>
      </c>
      <c r="L319" s="17">
        <v>1E-3</v>
      </c>
      <c r="M319" s="2">
        <v>0</v>
      </c>
      <c r="N319" s="2">
        <f t="shared" si="15"/>
        <v>0</v>
      </c>
    </row>
    <row r="320" spans="1:14" x14ac:dyDescent="0.25">
      <c r="A320" s="12" t="s">
        <v>295</v>
      </c>
      <c r="C320">
        <v>77</v>
      </c>
      <c r="D320">
        <v>1</v>
      </c>
      <c r="F320">
        <v>13.15</v>
      </c>
      <c r="H320">
        <v>105</v>
      </c>
      <c r="J320">
        <f>IF(NOT(ISBLANK(F320)),SQRT((F320^2*1/H320)/(F320^2*1/H320+1)),IF(NOT(ISBLANK(G320)),SQRT((G320*H320/I320)/(G320*H320/I320+1)*SQRT(1/H320))))</f>
        <v>0.78879454577775276</v>
      </c>
      <c r="K320" s="2" t="s">
        <v>2519</v>
      </c>
      <c r="L320" s="17">
        <v>1E-3</v>
      </c>
      <c r="M320" s="2">
        <v>0</v>
      </c>
      <c r="N320" s="2">
        <f t="shared" si="15"/>
        <v>0</v>
      </c>
    </row>
    <row r="321" spans="1:15" x14ac:dyDescent="0.25">
      <c r="A321" s="12" t="s">
        <v>296</v>
      </c>
      <c r="C321">
        <v>77</v>
      </c>
      <c r="D321">
        <v>1</v>
      </c>
      <c r="J321">
        <v>0.5</v>
      </c>
      <c r="K321" s="2" t="s">
        <v>2519</v>
      </c>
      <c r="L321" s="17">
        <v>1E-3</v>
      </c>
    </row>
    <row r="322" spans="1:15" x14ac:dyDescent="0.25">
      <c r="A322" s="12" t="s">
        <v>297</v>
      </c>
      <c r="C322">
        <v>77</v>
      </c>
      <c r="D322">
        <v>1</v>
      </c>
      <c r="J322">
        <v>0.19</v>
      </c>
      <c r="K322" s="2" t="s">
        <v>2526</v>
      </c>
      <c r="L322" s="17">
        <v>4.9000000000000002E-2</v>
      </c>
    </row>
    <row r="323" spans="1:15" x14ac:dyDescent="0.25">
      <c r="A323" s="12" t="s">
        <v>298</v>
      </c>
      <c r="C323">
        <v>77</v>
      </c>
      <c r="D323">
        <v>1</v>
      </c>
      <c r="G323">
        <v>12.81</v>
      </c>
      <c r="H323">
        <v>3</v>
      </c>
      <c r="I323">
        <v>21</v>
      </c>
      <c r="J323">
        <f t="shared" ref="J323:J354" si="17">IF(NOT(ISBLANK(F323)),SQRT((F323^2*1/H323)/(F323^2*1/H323+1)),IF(NOT(ISBLANK(G323)),SQRT((G323*H323/I323)/(G323*H323/I323+1)*SQRT(1/H323))))</f>
        <v>0.61101519896227041</v>
      </c>
      <c r="K323" s="2" t="s">
        <v>2150</v>
      </c>
      <c r="L323" s="17">
        <v>0.01</v>
      </c>
      <c r="M323" s="2">
        <v>0</v>
      </c>
      <c r="N323" s="2">
        <f t="shared" si="15"/>
        <v>0</v>
      </c>
    </row>
    <row r="324" spans="1:15" x14ac:dyDescent="0.25">
      <c r="A324" s="12" t="s">
        <v>299</v>
      </c>
      <c r="C324">
        <v>77</v>
      </c>
      <c r="D324">
        <v>1</v>
      </c>
      <c r="G324">
        <v>162.54</v>
      </c>
      <c r="H324">
        <v>3</v>
      </c>
      <c r="I324">
        <v>315</v>
      </c>
      <c r="J324">
        <f t="shared" si="17"/>
        <v>0.59225052266383105</v>
      </c>
      <c r="K324" s="2" t="s">
        <v>2517</v>
      </c>
      <c r="L324" s="17">
        <v>1E-3</v>
      </c>
      <c r="M324" s="2">
        <v>0</v>
      </c>
      <c r="N324" s="2">
        <f t="shared" si="15"/>
        <v>0</v>
      </c>
    </row>
    <row r="325" spans="1:15" x14ac:dyDescent="0.25">
      <c r="A325" s="12" t="s">
        <v>300</v>
      </c>
      <c r="C325">
        <v>77</v>
      </c>
      <c r="D325">
        <v>1</v>
      </c>
      <c r="G325">
        <v>34.770000000000003</v>
      </c>
      <c r="H325">
        <v>3</v>
      </c>
      <c r="I325">
        <v>21</v>
      </c>
      <c r="J325">
        <f t="shared" si="17"/>
        <v>0.69324986556120538</v>
      </c>
      <c r="K325" s="2" t="s">
        <v>2519</v>
      </c>
      <c r="L325" s="17">
        <v>1E-3</v>
      </c>
      <c r="M325" s="2">
        <v>0</v>
      </c>
      <c r="N325" s="2">
        <f t="shared" si="15"/>
        <v>0</v>
      </c>
    </row>
    <row r="326" spans="1:15" x14ac:dyDescent="0.25">
      <c r="A326" s="12" t="s">
        <v>301</v>
      </c>
      <c r="C326">
        <v>77</v>
      </c>
      <c r="D326">
        <v>2</v>
      </c>
      <c r="G326">
        <v>58.21</v>
      </c>
      <c r="H326">
        <v>3</v>
      </c>
      <c r="I326">
        <v>315</v>
      </c>
      <c r="J326">
        <f t="shared" si="17"/>
        <v>0.45377974169925689</v>
      </c>
      <c r="K326" s="2" t="s">
        <v>2517</v>
      </c>
      <c r="L326" s="17">
        <v>1E-3</v>
      </c>
      <c r="M326" s="2">
        <v>0</v>
      </c>
      <c r="N326" s="2">
        <f t="shared" si="15"/>
        <v>0</v>
      </c>
    </row>
    <row r="327" spans="1:15" x14ac:dyDescent="0.25">
      <c r="A327" s="12" t="s">
        <v>302</v>
      </c>
      <c r="C327">
        <v>79</v>
      </c>
      <c r="D327">
        <v>1</v>
      </c>
      <c r="G327">
        <v>5.35</v>
      </c>
      <c r="J327" t="e">
        <f t="shared" si="17"/>
        <v>#DIV/0!</v>
      </c>
      <c r="K327" s="2">
        <v>0.02</v>
      </c>
      <c r="L327" s="17">
        <v>0.02</v>
      </c>
      <c r="M327" s="2" t="s">
        <v>2558</v>
      </c>
      <c r="N327" s="2" t="s">
        <v>2558</v>
      </c>
      <c r="O327" t="s">
        <v>2146</v>
      </c>
    </row>
    <row r="328" spans="1:15" x14ac:dyDescent="0.25">
      <c r="A328" s="12" t="s">
        <v>303</v>
      </c>
      <c r="C328">
        <v>79</v>
      </c>
      <c r="D328">
        <v>1</v>
      </c>
      <c r="G328">
        <v>6.12</v>
      </c>
      <c r="J328" t="e">
        <f t="shared" si="17"/>
        <v>#DIV/0!</v>
      </c>
      <c r="K328" s="2">
        <v>0.01</v>
      </c>
      <c r="L328" s="17">
        <v>0.01</v>
      </c>
      <c r="M328" s="2" t="s">
        <v>2558</v>
      </c>
      <c r="N328" s="2" t="s">
        <v>2558</v>
      </c>
      <c r="O328" t="s">
        <v>2146</v>
      </c>
    </row>
    <row r="329" spans="1:15" x14ac:dyDescent="0.25">
      <c r="A329" s="12" t="s">
        <v>304</v>
      </c>
      <c r="C329">
        <v>79</v>
      </c>
      <c r="D329">
        <v>1</v>
      </c>
      <c r="G329">
        <v>2.91</v>
      </c>
      <c r="H329">
        <v>5</v>
      </c>
      <c r="I329">
        <v>308</v>
      </c>
      <c r="J329">
        <f t="shared" si="17"/>
        <v>0.14203339644663748</v>
      </c>
      <c r="K329" s="2">
        <v>1E-3</v>
      </c>
      <c r="L329" s="17">
        <v>1E-3</v>
      </c>
      <c r="M329" s="2" t="s">
        <v>2558</v>
      </c>
      <c r="N329" s="2" t="s">
        <v>2558</v>
      </c>
      <c r="O329" t="s">
        <v>2135</v>
      </c>
    </row>
    <row r="330" spans="1:15" x14ac:dyDescent="0.25">
      <c r="A330" s="12" t="s">
        <v>305</v>
      </c>
      <c r="C330">
        <v>79</v>
      </c>
      <c r="D330">
        <v>1</v>
      </c>
      <c r="G330">
        <v>5.05</v>
      </c>
      <c r="H330">
        <v>5</v>
      </c>
      <c r="I330">
        <v>308</v>
      </c>
      <c r="J330">
        <f t="shared" si="17"/>
        <v>0.18407851880214843</v>
      </c>
      <c r="K330" s="2">
        <v>0</v>
      </c>
      <c r="L330" s="17">
        <v>0</v>
      </c>
      <c r="M330" s="2" t="s">
        <v>2558</v>
      </c>
      <c r="N330" s="2" t="s">
        <v>2558</v>
      </c>
    </row>
    <row r="331" spans="1:15" x14ac:dyDescent="0.25">
      <c r="A331" s="12" t="s">
        <v>306</v>
      </c>
      <c r="C331">
        <v>79</v>
      </c>
      <c r="D331">
        <v>1</v>
      </c>
      <c r="G331">
        <v>3.86</v>
      </c>
      <c r="H331">
        <v>5</v>
      </c>
      <c r="I331">
        <v>308</v>
      </c>
      <c r="J331">
        <f t="shared" si="17"/>
        <v>0.16239144667374916</v>
      </c>
      <c r="K331" s="2">
        <v>2E-3</v>
      </c>
      <c r="L331" s="17">
        <v>2E-3</v>
      </c>
      <c r="M331" s="2" t="s">
        <v>2558</v>
      </c>
      <c r="N331" s="2" t="s">
        <v>2558</v>
      </c>
    </row>
    <row r="332" spans="1:15" x14ac:dyDescent="0.25">
      <c r="A332" s="12" t="s">
        <v>307</v>
      </c>
      <c r="C332">
        <v>79</v>
      </c>
      <c r="D332">
        <v>1</v>
      </c>
      <c r="G332">
        <v>3.97</v>
      </c>
      <c r="H332">
        <v>5</v>
      </c>
      <c r="I332">
        <v>308</v>
      </c>
      <c r="J332">
        <f t="shared" si="17"/>
        <v>0.16455086153604015</v>
      </c>
      <c r="K332" s="2">
        <v>2E-3</v>
      </c>
      <c r="L332" s="17">
        <v>2E-3</v>
      </c>
      <c r="M332" s="2" t="s">
        <v>2558</v>
      </c>
      <c r="N332" s="2" t="s">
        <v>2558</v>
      </c>
    </row>
    <row r="333" spans="1:15" x14ac:dyDescent="0.25">
      <c r="A333" s="12" t="s">
        <v>2413</v>
      </c>
      <c r="C333">
        <v>80</v>
      </c>
      <c r="D333">
        <v>1</v>
      </c>
      <c r="J333" t="b">
        <f t="shared" si="17"/>
        <v>0</v>
      </c>
      <c r="K333" s="2">
        <v>4.0000000000000001E-3</v>
      </c>
      <c r="L333" s="17">
        <v>4.0000000000000001E-3</v>
      </c>
      <c r="M333" s="2" t="s">
        <v>2558</v>
      </c>
      <c r="N333" s="2" t="s">
        <v>2558</v>
      </c>
      <c r="O333" t="s">
        <v>2311</v>
      </c>
    </row>
    <row r="334" spans="1:15" x14ac:dyDescent="0.25">
      <c r="A334" s="12" t="s">
        <v>2414</v>
      </c>
      <c r="C334">
        <v>80</v>
      </c>
      <c r="D334">
        <v>1</v>
      </c>
      <c r="J334" t="b">
        <f t="shared" si="17"/>
        <v>0</v>
      </c>
      <c r="K334" s="2">
        <v>0.871</v>
      </c>
      <c r="L334" s="17">
        <v>0.871</v>
      </c>
      <c r="M334" s="2" t="s">
        <v>2558</v>
      </c>
      <c r="N334" s="2" t="s">
        <v>2558</v>
      </c>
      <c r="O334" t="s">
        <v>2311</v>
      </c>
    </row>
    <row r="335" spans="1:15" x14ac:dyDescent="0.25">
      <c r="A335" s="12" t="s">
        <v>2415</v>
      </c>
      <c r="C335">
        <v>80</v>
      </c>
      <c r="D335">
        <v>1</v>
      </c>
      <c r="J335" t="b">
        <f t="shared" si="17"/>
        <v>0</v>
      </c>
      <c r="K335" s="2" t="s">
        <v>2174</v>
      </c>
      <c r="L335" s="17">
        <v>1E-3</v>
      </c>
      <c r="M335" s="2" t="s">
        <v>2558</v>
      </c>
      <c r="N335" s="2" t="s">
        <v>2558</v>
      </c>
      <c r="O335" t="s">
        <v>2311</v>
      </c>
    </row>
    <row r="336" spans="1:15" x14ac:dyDescent="0.25">
      <c r="A336" s="12" t="s">
        <v>2416</v>
      </c>
      <c r="C336">
        <v>80</v>
      </c>
      <c r="D336">
        <v>1</v>
      </c>
      <c r="J336" t="b">
        <f t="shared" si="17"/>
        <v>0</v>
      </c>
      <c r="K336" s="2" t="s">
        <v>2174</v>
      </c>
      <c r="L336" s="17">
        <v>1E-3</v>
      </c>
      <c r="M336" s="2" t="s">
        <v>2558</v>
      </c>
      <c r="N336" s="2" t="s">
        <v>2558</v>
      </c>
      <c r="O336" t="s">
        <v>2311</v>
      </c>
    </row>
    <row r="337" spans="1:15" x14ac:dyDescent="0.25">
      <c r="A337" s="12" t="s">
        <v>2417</v>
      </c>
      <c r="C337">
        <v>80</v>
      </c>
      <c r="D337">
        <v>1</v>
      </c>
      <c r="J337" t="b">
        <f t="shared" si="17"/>
        <v>0</v>
      </c>
      <c r="K337" s="2" t="s">
        <v>2174</v>
      </c>
      <c r="L337" s="17">
        <v>1E-3</v>
      </c>
      <c r="M337" s="2" t="s">
        <v>2558</v>
      </c>
      <c r="N337" s="2" t="s">
        <v>2558</v>
      </c>
      <c r="O337" t="s">
        <v>2311</v>
      </c>
    </row>
    <row r="338" spans="1:15" x14ac:dyDescent="0.25">
      <c r="A338" s="12" t="s">
        <v>2418</v>
      </c>
      <c r="C338">
        <v>80</v>
      </c>
      <c r="D338">
        <v>1</v>
      </c>
      <c r="J338" t="b">
        <f t="shared" si="17"/>
        <v>0</v>
      </c>
      <c r="K338" s="2" t="s">
        <v>2174</v>
      </c>
      <c r="L338" s="17">
        <v>1E-3</v>
      </c>
      <c r="M338" s="2" t="s">
        <v>2558</v>
      </c>
      <c r="N338" s="2" t="s">
        <v>2558</v>
      </c>
      <c r="O338" t="s">
        <v>2311</v>
      </c>
    </row>
    <row r="339" spans="1:15" x14ac:dyDescent="0.25">
      <c r="A339" s="12" t="s">
        <v>2419</v>
      </c>
      <c r="C339">
        <v>80</v>
      </c>
      <c r="D339">
        <v>1</v>
      </c>
      <c r="J339" t="b">
        <f t="shared" si="17"/>
        <v>0</v>
      </c>
      <c r="K339" s="2" t="s">
        <v>2174</v>
      </c>
      <c r="L339" s="17">
        <v>1E-3</v>
      </c>
      <c r="M339" s="2" t="s">
        <v>2558</v>
      </c>
      <c r="N339" s="2" t="s">
        <v>2558</v>
      </c>
      <c r="O339" t="s">
        <v>2311</v>
      </c>
    </row>
    <row r="340" spans="1:15" x14ac:dyDescent="0.25">
      <c r="A340" s="12" t="s">
        <v>308</v>
      </c>
      <c r="C340">
        <v>82</v>
      </c>
      <c r="D340">
        <v>1</v>
      </c>
      <c r="E340">
        <v>0</v>
      </c>
      <c r="J340" t="b">
        <f t="shared" si="17"/>
        <v>0</v>
      </c>
      <c r="K340" s="2" t="s">
        <v>2525</v>
      </c>
      <c r="L340" s="17">
        <v>4.9000000000000002E-2</v>
      </c>
      <c r="M340" s="2">
        <v>0</v>
      </c>
      <c r="N340" s="2">
        <f t="shared" si="15"/>
        <v>0</v>
      </c>
    </row>
    <row r="341" spans="1:15" x14ac:dyDescent="0.25">
      <c r="A341" s="12" t="s">
        <v>309</v>
      </c>
      <c r="C341">
        <v>82</v>
      </c>
      <c r="D341">
        <v>1</v>
      </c>
      <c r="E341">
        <v>0</v>
      </c>
      <c r="J341" t="b">
        <f t="shared" si="17"/>
        <v>0</v>
      </c>
      <c r="K341" s="2">
        <v>0.14000000000000001</v>
      </c>
      <c r="L341" s="17">
        <v>0.14000000000000001</v>
      </c>
      <c r="M341" s="2">
        <v>0</v>
      </c>
      <c r="N341" s="2">
        <f t="shared" ref="N341:N390" si="18">IF(M341=0, 0)</f>
        <v>0</v>
      </c>
    </row>
    <row r="342" spans="1:15" x14ac:dyDescent="0.25">
      <c r="A342" s="12" t="s">
        <v>310</v>
      </c>
      <c r="C342">
        <v>82</v>
      </c>
      <c r="D342">
        <v>1</v>
      </c>
      <c r="E342">
        <v>0</v>
      </c>
      <c r="J342" t="b">
        <f t="shared" si="17"/>
        <v>0</v>
      </c>
      <c r="K342" s="2">
        <v>0.38</v>
      </c>
      <c r="L342" s="17">
        <v>0.38</v>
      </c>
      <c r="M342" s="2">
        <v>0</v>
      </c>
      <c r="N342" s="2">
        <f t="shared" si="18"/>
        <v>0</v>
      </c>
    </row>
    <row r="343" spans="1:15" x14ac:dyDescent="0.25">
      <c r="A343" s="12" t="s">
        <v>311</v>
      </c>
      <c r="C343">
        <v>82</v>
      </c>
      <c r="D343">
        <v>2</v>
      </c>
      <c r="E343">
        <v>0</v>
      </c>
      <c r="J343" t="b">
        <f t="shared" si="17"/>
        <v>0</v>
      </c>
      <c r="K343" s="2" t="s">
        <v>2145</v>
      </c>
      <c r="L343" s="17">
        <v>0.999</v>
      </c>
      <c r="M343" s="2" t="s">
        <v>2558</v>
      </c>
      <c r="N343" s="2" t="s">
        <v>2558</v>
      </c>
    </row>
    <row r="344" spans="1:15" x14ac:dyDescent="0.25">
      <c r="A344" s="12" t="s">
        <v>312</v>
      </c>
      <c r="C344">
        <v>82</v>
      </c>
      <c r="D344">
        <v>1</v>
      </c>
      <c r="E344">
        <v>0</v>
      </c>
      <c r="J344" t="b">
        <f t="shared" si="17"/>
        <v>0</v>
      </c>
      <c r="K344" s="2" t="s">
        <v>2519</v>
      </c>
      <c r="L344" s="17">
        <v>1E-3</v>
      </c>
      <c r="M344" s="2" t="s">
        <v>2558</v>
      </c>
      <c r="N344" s="2" t="s">
        <v>2558</v>
      </c>
    </row>
    <row r="345" spans="1:15" x14ac:dyDescent="0.25">
      <c r="A345" s="12" t="s">
        <v>313</v>
      </c>
      <c r="C345">
        <v>82</v>
      </c>
      <c r="D345">
        <v>1</v>
      </c>
      <c r="E345">
        <v>0</v>
      </c>
      <c r="J345" t="b">
        <f t="shared" si="17"/>
        <v>0</v>
      </c>
      <c r="K345" s="2" t="s">
        <v>2520</v>
      </c>
      <c r="L345" s="17">
        <v>0.01</v>
      </c>
      <c r="M345" s="2" t="s">
        <v>2558</v>
      </c>
      <c r="N345" s="2" t="s">
        <v>2558</v>
      </c>
    </row>
    <row r="346" spans="1:15" x14ac:dyDescent="0.25">
      <c r="A346" s="12" t="s">
        <v>314</v>
      </c>
      <c r="C346">
        <v>82</v>
      </c>
      <c r="D346">
        <v>2</v>
      </c>
      <c r="E346">
        <v>0</v>
      </c>
      <c r="J346" t="b">
        <f t="shared" si="17"/>
        <v>0</v>
      </c>
      <c r="K346" s="2" t="s">
        <v>2519</v>
      </c>
      <c r="L346" s="17">
        <v>1E-3</v>
      </c>
    </row>
    <row r="347" spans="1:15" x14ac:dyDescent="0.25">
      <c r="A347" s="12" t="s">
        <v>315</v>
      </c>
      <c r="C347">
        <v>82</v>
      </c>
      <c r="D347">
        <v>2</v>
      </c>
      <c r="E347">
        <v>0</v>
      </c>
      <c r="J347" t="b">
        <f t="shared" si="17"/>
        <v>0</v>
      </c>
      <c r="K347" s="2" t="s">
        <v>2145</v>
      </c>
      <c r="L347" s="17">
        <v>0.999</v>
      </c>
      <c r="M347" s="2" t="s">
        <v>2558</v>
      </c>
      <c r="N347" s="2" t="s">
        <v>2558</v>
      </c>
    </row>
    <row r="348" spans="1:15" x14ac:dyDescent="0.25">
      <c r="A348" s="12" t="s">
        <v>316</v>
      </c>
      <c r="C348">
        <v>82</v>
      </c>
      <c r="D348">
        <v>1</v>
      </c>
      <c r="E348">
        <v>0</v>
      </c>
      <c r="J348" t="b">
        <f t="shared" si="17"/>
        <v>0</v>
      </c>
      <c r="K348" s="2">
        <v>0.26</v>
      </c>
      <c r="L348" s="17">
        <v>0.26</v>
      </c>
      <c r="M348" s="2">
        <v>0</v>
      </c>
      <c r="N348" s="2">
        <f t="shared" si="18"/>
        <v>0</v>
      </c>
    </row>
    <row r="349" spans="1:15" x14ac:dyDescent="0.25">
      <c r="A349" s="12" t="s">
        <v>317</v>
      </c>
      <c r="C349">
        <v>82</v>
      </c>
      <c r="D349">
        <v>1</v>
      </c>
      <c r="E349">
        <v>0</v>
      </c>
      <c r="J349" t="b">
        <f t="shared" si="17"/>
        <v>0</v>
      </c>
      <c r="K349" s="2" t="s">
        <v>2519</v>
      </c>
      <c r="L349" s="17">
        <v>1E-3</v>
      </c>
      <c r="M349" s="2" t="s">
        <v>2558</v>
      </c>
      <c r="N349" s="2" t="s">
        <v>2558</v>
      </c>
    </row>
    <row r="350" spans="1:15" x14ac:dyDescent="0.25">
      <c r="A350" s="12" t="s">
        <v>318</v>
      </c>
      <c r="C350">
        <v>82</v>
      </c>
      <c r="D350">
        <v>1</v>
      </c>
      <c r="E350">
        <v>0</v>
      </c>
      <c r="J350" t="b">
        <f t="shared" si="17"/>
        <v>0</v>
      </c>
      <c r="K350" s="2" t="s">
        <v>2526</v>
      </c>
      <c r="L350" s="17">
        <v>4.9000000000000002E-2</v>
      </c>
      <c r="M350" s="2" t="s">
        <v>2558</v>
      </c>
      <c r="N350" s="2" t="s">
        <v>2558</v>
      </c>
    </row>
    <row r="351" spans="1:15" x14ac:dyDescent="0.25">
      <c r="A351" s="12" t="s">
        <v>319</v>
      </c>
      <c r="C351">
        <v>82</v>
      </c>
      <c r="D351">
        <v>1</v>
      </c>
      <c r="E351">
        <v>0</v>
      </c>
      <c r="J351" t="b">
        <f t="shared" si="17"/>
        <v>0</v>
      </c>
      <c r="K351" s="2" t="s">
        <v>2150</v>
      </c>
      <c r="L351" s="17">
        <v>0.01</v>
      </c>
    </row>
    <row r="352" spans="1:15" x14ac:dyDescent="0.25">
      <c r="A352" s="12" t="s">
        <v>320</v>
      </c>
      <c r="C352">
        <v>82</v>
      </c>
      <c r="D352">
        <v>1</v>
      </c>
      <c r="E352">
        <v>0</v>
      </c>
      <c r="J352" t="b">
        <f t="shared" si="17"/>
        <v>0</v>
      </c>
      <c r="K352" s="2" t="s">
        <v>2145</v>
      </c>
      <c r="L352" s="17">
        <v>0.999</v>
      </c>
    </row>
    <row r="353" spans="1:15" x14ac:dyDescent="0.25">
      <c r="A353" s="12" t="s">
        <v>321</v>
      </c>
      <c r="C353">
        <v>85</v>
      </c>
      <c r="D353">
        <v>1</v>
      </c>
      <c r="F353">
        <v>5.84</v>
      </c>
      <c r="H353">
        <v>58</v>
      </c>
      <c r="J353">
        <f t="shared" si="17"/>
        <v>0.60851295568163055</v>
      </c>
      <c r="K353" s="2" t="s">
        <v>2519</v>
      </c>
      <c r="L353" s="17">
        <v>1E-3</v>
      </c>
      <c r="M353" s="2" t="s">
        <v>2558</v>
      </c>
      <c r="N353" s="2" t="s">
        <v>2558</v>
      </c>
      <c r="O353" t="s">
        <v>2135</v>
      </c>
    </row>
    <row r="354" spans="1:15" x14ac:dyDescent="0.25">
      <c r="A354" s="12" t="s">
        <v>322</v>
      </c>
      <c r="C354">
        <v>85</v>
      </c>
      <c r="D354">
        <v>2</v>
      </c>
      <c r="G354">
        <v>2.66</v>
      </c>
      <c r="H354">
        <v>1</v>
      </c>
      <c r="I354">
        <v>29</v>
      </c>
      <c r="J354">
        <f t="shared" si="17"/>
        <v>0.28985804790328312</v>
      </c>
      <c r="K354" s="2" t="s">
        <v>2147</v>
      </c>
      <c r="L354" s="17">
        <v>0.1</v>
      </c>
      <c r="M354" s="2" t="s">
        <v>2558</v>
      </c>
      <c r="N354" s="2" t="s">
        <v>2558</v>
      </c>
      <c r="O354" t="s">
        <v>2135</v>
      </c>
    </row>
    <row r="355" spans="1:15" x14ac:dyDescent="0.25">
      <c r="A355" s="12" t="s">
        <v>323</v>
      </c>
      <c r="C355">
        <v>85</v>
      </c>
      <c r="D355">
        <v>1</v>
      </c>
      <c r="G355">
        <v>56.74</v>
      </c>
      <c r="H355">
        <v>1</v>
      </c>
      <c r="I355">
        <v>29</v>
      </c>
      <c r="J355">
        <f t="shared" ref="J355:J381" si="19">IF(NOT(ISBLANK(F355)),SQRT((F355^2*1/H355)/(F355^2*1/H355+1)),IF(NOT(ISBLANK(G355)),SQRT((G355*H355/I355)/(G355*H355/I355+1)*SQRT(1/H355))))</f>
        <v>0.8134913252308219</v>
      </c>
      <c r="K355" s="2" t="s">
        <v>2519</v>
      </c>
      <c r="L355" s="17">
        <v>1E-3</v>
      </c>
      <c r="M355" s="2" t="s">
        <v>2558</v>
      </c>
      <c r="N355" s="2" t="s">
        <v>2558</v>
      </c>
      <c r="O355" t="s">
        <v>2135</v>
      </c>
    </row>
    <row r="356" spans="1:15" x14ac:dyDescent="0.25">
      <c r="A356" s="12" t="s">
        <v>324</v>
      </c>
      <c r="C356">
        <v>85</v>
      </c>
      <c r="D356">
        <v>1</v>
      </c>
      <c r="F356">
        <v>1.1599999999999999</v>
      </c>
      <c r="H356">
        <v>58</v>
      </c>
      <c r="J356">
        <f t="shared" si="19"/>
        <v>0.15057876355715594</v>
      </c>
      <c r="K356" s="2" t="s">
        <v>2147</v>
      </c>
      <c r="L356" s="17">
        <v>0.1</v>
      </c>
      <c r="M356" s="2" t="s">
        <v>2558</v>
      </c>
      <c r="N356" s="2" t="s">
        <v>2558</v>
      </c>
      <c r="O356" t="s">
        <v>2135</v>
      </c>
    </row>
    <row r="357" spans="1:15" x14ac:dyDescent="0.25">
      <c r="A357" s="12" t="s">
        <v>325</v>
      </c>
      <c r="C357">
        <v>85</v>
      </c>
      <c r="D357">
        <v>1</v>
      </c>
      <c r="F357">
        <v>6.03</v>
      </c>
      <c r="H357">
        <v>58</v>
      </c>
      <c r="J357">
        <f t="shared" si="19"/>
        <v>0.62075649873781125</v>
      </c>
      <c r="K357" s="2" t="s">
        <v>2519</v>
      </c>
      <c r="L357" s="17">
        <v>1E-3</v>
      </c>
      <c r="M357" s="2" t="s">
        <v>2558</v>
      </c>
      <c r="N357" s="2" t="s">
        <v>2558</v>
      </c>
      <c r="O357" t="s">
        <v>2135</v>
      </c>
    </row>
    <row r="358" spans="1:15" x14ac:dyDescent="0.25">
      <c r="A358" s="12" t="s">
        <v>326</v>
      </c>
      <c r="C358">
        <v>85</v>
      </c>
      <c r="D358">
        <v>1</v>
      </c>
      <c r="F358">
        <v>3.22</v>
      </c>
      <c r="H358">
        <v>58</v>
      </c>
      <c r="J358">
        <f t="shared" si="19"/>
        <v>0.38942888707995849</v>
      </c>
      <c r="K358" s="2" t="s">
        <v>2520</v>
      </c>
      <c r="L358" s="17">
        <v>0.01</v>
      </c>
      <c r="M358" s="2" t="s">
        <v>2558</v>
      </c>
      <c r="N358" s="2" t="s">
        <v>2558</v>
      </c>
      <c r="O358" t="s">
        <v>2135</v>
      </c>
    </row>
    <row r="359" spans="1:15" x14ac:dyDescent="0.25">
      <c r="A359" s="12" t="s">
        <v>327</v>
      </c>
      <c r="C359">
        <v>85</v>
      </c>
      <c r="D359">
        <v>1</v>
      </c>
      <c r="F359">
        <v>4.09</v>
      </c>
      <c r="H359">
        <v>58</v>
      </c>
      <c r="J359">
        <f t="shared" si="19"/>
        <v>0.47313092756811087</v>
      </c>
      <c r="K359" s="2" t="s">
        <v>2519</v>
      </c>
      <c r="L359" s="17">
        <v>1E-3</v>
      </c>
      <c r="M359" s="2" t="s">
        <v>2558</v>
      </c>
      <c r="N359" s="2" t="s">
        <v>2558</v>
      </c>
      <c r="O359" t="s">
        <v>2135</v>
      </c>
    </row>
    <row r="360" spans="1:15" x14ac:dyDescent="0.25">
      <c r="A360" s="12" t="s">
        <v>328</v>
      </c>
      <c r="C360">
        <v>85</v>
      </c>
      <c r="D360">
        <v>1</v>
      </c>
      <c r="F360">
        <v>3.589</v>
      </c>
      <c r="H360">
        <v>58</v>
      </c>
      <c r="J360">
        <f t="shared" si="19"/>
        <v>0.42629357032505716</v>
      </c>
      <c r="K360" s="2" t="s">
        <v>2150</v>
      </c>
      <c r="L360" s="17">
        <v>0.01</v>
      </c>
      <c r="M360" s="2" t="s">
        <v>2558</v>
      </c>
      <c r="N360" s="2" t="s">
        <v>2558</v>
      </c>
      <c r="O360" t="s">
        <v>2135</v>
      </c>
    </row>
    <row r="361" spans="1:15" x14ac:dyDescent="0.25">
      <c r="A361" s="12" t="s">
        <v>329</v>
      </c>
      <c r="C361">
        <v>97</v>
      </c>
      <c r="D361">
        <v>1</v>
      </c>
      <c r="G361">
        <v>2.71</v>
      </c>
      <c r="H361">
        <v>1</v>
      </c>
      <c r="I361">
        <v>106</v>
      </c>
      <c r="J361">
        <f t="shared" si="19"/>
        <v>0.15788828142188968</v>
      </c>
      <c r="K361" s="2">
        <v>0.10199999999999999</v>
      </c>
      <c r="L361" s="17">
        <v>0.10199999999999999</v>
      </c>
      <c r="M361" s="2" t="s">
        <v>2558</v>
      </c>
      <c r="N361" s="2" t="s">
        <v>2558</v>
      </c>
      <c r="O361" t="s">
        <v>2135</v>
      </c>
    </row>
    <row r="362" spans="1:15" x14ac:dyDescent="0.25">
      <c r="A362" s="12" t="s">
        <v>330</v>
      </c>
      <c r="C362">
        <v>97</v>
      </c>
      <c r="D362">
        <v>1</v>
      </c>
      <c r="G362">
        <v>4.7</v>
      </c>
      <c r="H362">
        <v>1</v>
      </c>
      <c r="I362">
        <v>106</v>
      </c>
      <c r="J362">
        <f t="shared" si="19"/>
        <v>0.20605118596499039</v>
      </c>
      <c r="K362" s="2">
        <v>0.04</v>
      </c>
      <c r="L362" s="17">
        <v>0.04</v>
      </c>
      <c r="M362" s="2" t="s">
        <v>2558</v>
      </c>
      <c r="N362" s="2" t="s">
        <v>2558</v>
      </c>
    </row>
    <row r="363" spans="1:15" x14ac:dyDescent="0.25">
      <c r="A363" s="12" t="s">
        <v>331</v>
      </c>
      <c r="C363">
        <v>97</v>
      </c>
      <c r="D363">
        <v>1</v>
      </c>
      <c r="G363">
        <v>7.15</v>
      </c>
      <c r="H363">
        <v>1</v>
      </c>
      <c r="I363">
        <v>106</v>
      </c>
      <c r="J363">
        <f t="shared" si="19"/>
        <v>0.25137711739144752</v>
      </c>
      <c r="K363" s="2">
        <v>8.9999999999999993E-3</v>
      </c>
      <c r="L363" s="17">
        <v>8.9999999999999993E-3</v>
      </c>
      <c r="M363" s="2" t="s">
        <v>2558</v>
      </c>
      <c r="N363" s="2" t="s">
        <v>2558</v>
      </c>
    </row>
    <row r="364" spans="1:15" x14ac:dyDescent="0.25">
      <c r="A364" s="12" t="s">
        <v>332</v>
      </c>
      <c r="C364">
        <v>97</v>
      </c>
      <c r="D364">
        <v>0</v>
      </c>
      <c r="J364" t="b">
        <f t="shared" si="19"/>
        <v>0</v>
      </c>
    </row>
    <row r="365" spans="1:15" x14ac:dyDescent="0.25">
      <c r="A365" s="12" t="s">
        <v>333</v>
      </c>
      <c r="C365">
        <v>97</v>
      </c>
      <c r="D365">
        <v>0</v>
      </c>
      <c r="J365" t="b">
        <f t="shared" si="19"/>
        <v>0</v>
      </c>
    </row>
    <row r="366" spans="1:15" x14ac:dyDescent="0.25">
      <c r="A366" s="12" t="s">
        <v>334</v>
      </c>
      <c r="C366">
        <v>97</v>
      </c>
      <c r="D366">
        <v>0</v>
      </c>
      <c r="J366" t="b">
        <f t="shared" si="19"/>
        <v>0</v>
      </c>
    </row>
    <row r="367" spans="1:15" x14ac:dyDescent="0.25">
      <c r="A367" s="12" t="s">
        <v>335</v>
      </c>
      <c r="C367">
        <v>99</v>
      </c>
      <c r="D367">
        <v>1</v>
      </c>
      <c r="E367">
        <v>0</v>
      </c>
      <c r="J367" t="b">
        <f t="shared" si="19"/>
        <v>0</v>
      </c>
      <c r="K367" s="2" t="s">
        <v>2139</v>
      </c>
      <c r="L367" s="17">
        <v>1E-3</v>
      </c>
      <c r="M367" s="2">
        <v>0</v>
      </c>
      <c r="N367" s="2">
        <f t="shared" si="18"/>
        <v>0</v>
      </c>
    </row>
    <row r="368" spans="1:15" x14ac:dyDescent="0.25">
      <c r="A368" s="12" t="s">
        <v>336</v>
      </c>
      <c r="C368">
        <v>99</v>
      </c>
      <c r="D368">
        <v>1</v>
      </c>
      <c r="E368">
        <v>0</v>
      </c>
      <c r="J368" t="b">
        <f t="shared" si="19"/>
        <v>0</v>
      </c>
      <c r="K368" s="2" t="s">
        <v>2139</v>
      </c>
      <c r="L368" s="17">
        <v>1E-3</v>
      </c>
      <c r="M368" s="2">
        <v>0</v>
      </c>
      <c r="N368" s="2">
        <f t="shared" si="18"/>
        <v>0</v>
      </c>
    </row>
    <row r="369" spans="1:15" x14ac:dyDescent="0.25">
      <c r="A369" s="12" t="s">
        <v>337</v>
      </c>
      <c r="C369">
        <v>99</v>
      </c>
      <c r="D369">
        <v>1</v>
      </c>
      <c r="E369">
        <v>0</v>
      </c>
      <c r="J369" t="b">
        <f t="shared" si="19"/>
        <v>0</v>
      </c>
      <c r="K369" s="2" t="s">
        <v>2145</v>
      </c>
      <c r="L369" s="17">
        <v>0.999</v>
      </c>
      <c r="M369" s="2">
        <v>0</v>
      </c>
      <c r="N369" s="2">
        <f t="shared" si="18"/>
        <v>0</v>
      </c>
    </row>
    <row r="370" spans="1:15" x14ac:dyDescent="0.25">
      <c r="A370" s="12" t="s">
        <v>338</v>
      </c>
      <c r="C370">
        <v>100</v>
      </c>
      <c r="D370">
        <v>1</v>
      </c>
      <c r="E370">
        <v>0</v>
      </c>
      <c r="J370" t="b">
        <f t="shared" si="19"/>
        <v>0</v>
      </c>
      <c r="K370" s="2">
        <v>4.1000000000000002E-2</v>
      </c>
      <c r="L370" s="17">
        <v>4.1000000000000002E-2</v>
      </c>
      <c r="M370" s="2" t="s">
        <v>2558</v>
      </c>
      <c r="N370" s="2" t="s">
        <v>2558</v>
      </c>
      <c r="O370" t="s">
        <v>2135</v>
      </c>
    </row>
    <row r="371" spans="1:15" x14ac:dyDescent="0.25">
      <c r="A371" s="12" t="s">
        <v>339</v>
      </c>
      <c r="C371">
        <v>100</v>
      </c>
      <c r="D371">
        <v>1</v>
      </c>
      <c r="E371">
        <v>0</v>
      </c>
      <c r="J371" t="b">
        <f t="shared" si="19"/>
        <v>0</v>
      </c>
      <c r="K371" s="2">
        <v>1E-3</v>
      </c>
      <c r="L371" s="17">
        <v>1E-3</v>
      </c>
      <c r="M371" s="2" t="s">
        <v>2558</v>
      </c>
      <c r="N371" s="2" t="s">
        <v>2558</v>
      </c>
    </row>
    <row r="372" spans="1:15" x14ac:dyDescent="0.25">
      <c r="A372" s="12" t="s">
        <v>340</v>
      </c>
      <c r="C372">
        <v>100</v>
      </c>
      <c r="D372">
        <v>1</v>
      </c>
      <c r="E372">
        <v>0</v>
      </c>
      <c r="J372" t="b">
        <f t="shared" si="19"/>
        <v>0</v>
      </c>
      <c r="K372" s="2">
        <v>4.9000000000000002E-2</v>
      </c>
      <c r="L372" s="17">
        <v>4.9000000000000002E-2</v>
      </c>
      <c r="M372" s="2" t="s">
        <v>2558</v>
      </c>
      <c r="N372" s="2" t="s">
        <v>2558</v>
      </c>
    </row>
    <row r="373" spans="1:15" x14ac:dyDescent="0.25">
      <c r="A373" s="12" t="s">
        <v>341</v>
      </c>
      <c r="C373">
        <v>100</v>
      </c>
      <c r="D373">
        <v>1</v>
      </c>
      <c r="E373">
        <v>0</v>
      </c>
      <c r="J373" t="b">
        <f t="shared" si="19"/>
        <v>0</v>
      </c>
      <c r="K373" s="2">
        <v>4.8000000000000001E-2</v>
      </c>
      <c r="L373" s="17">
        <v>4.8000000000000001E-2</v>
      </c>
      <c r="M373" s="2" t="s">
        <v>2558</v>
      </c>
      <c r="N373" s="2" t="s">
        <v>2558</v>
      </c>
    </row>
    <row r="374" spans="1:15" x14ac:dyDescent="0.25">
      <c r="A374" s="12" t="s">
        <v>342</v>
      </c>
      <c r="C374">
        <v>100</v>
      </c>
      <c r="D374">
        <v>1</v>
      </c>
      <c r="E374">
        <v>0</v>
      </c>
      <c r="J374" t="b">
        <f t="shared" si="19"/>
        <v>0</v>
      </c>
      <c r="K374" s="2">
        <v>0.499</v>
      </c>
      <c r="L374" s="17">
        <v>0.499</v>
      </c>
      <c r="M374" s="2" t="s">
        <v>2558</v>
      </c>
      <c r="N374" s="2" t="s">
        <v>2558</v>
      </c>
    </row>
    <row r="375" spans="1:15" x14ac:dyDescent="0.25">
      <c r="A375" s="12" t="s">
        <v>343</v>
      </c>
      <c r="C375">
        <v>100</v>
      </c>
      <c r="D375">
        <v>1</v>
      </c>
      <c r="E375">
        <v>0</v>
      </c>
      <c r="J375" t="b">
        <f t="shared" si="19"/>
        <v>0</v>
      </c>
      <c r="K375" s="2">
        <v>2.3E-2</v>
      </c>
      <c r="L375" s="17">
        <v>2.3E-2</v>
      </c>
      <c r="M375" s="2" t="s">
        <v>2558</v>
      </c>
      <c r="N375" s="2" t="s">
        <v>2558</v>
      </c>
    </row>
    <row r="376" spans="1:15" x14ac:dyDescent="0.25">
      <c r="A376" s="12" t="s">
        <v>344</v>
      </c>
      <c r="C376">
        <v>100</v>
      </c>
      <c r="D376">
        <v>1</v>
      </c>
      <c r="E376">
        <v>0</v>
      </c>
      <c r="J376" t="b">
        <f t="shared" si="19"/>
        <v>0</v>
      </c>
      <c r="K376" s="2">
        <v>0.39</v>
      </c>
      <c r="L376" s="17">
        <v>0.39</v>
      </c>
      <c r="M376" s="2" t="s">
        <v>2558</v>
      </c>
      <c r="N376" s="2" t="s">
        <v>2558</v>
      </c>
    </row>
    <row r="377" spans="1:15" x14ac:dyDescent="0.25">
      <c r="A377" s="12" t="s">
        <v>345</v>
      </c>
      <c r="C377">
        <v>104</v>
      </c>
      <c r="D377">
        <v>1</v>
      </c>
      <c r="E377">
        <v>0</v>
      </c>
      <c r="J377" t="b">
        <f t="shared" si="19"/>
        <v>0</v>
      </c>
      <c r="K377" s="2" t="s">
        <v>2174</v>
      </c>
      <c r="L377" s="17">
        <v>1E-3</v>
      </c>
      <c r="M377" s="2">
        <v>0</v>
      </c>
      <c r="N377" s="2">
        <f t="shared" si="18"/>
        <v>0</v>
      </c>
    </row>
    <row r="378" spans="1:15" x14ac:dyDescent="0.25">
      <c r="A378" s="12" t="s">
        <v>346</v>
      </c>
      <c r="C378">
        <v>104</v>
      </c>
      <c r="D378">
        <v>1</v>
      </c>
      <c r="E378">
        <v>0</v>
      </c>
      <c r="J378" t="b">
        <f t="shared" si="19"/>
        <v>0</v>
      </c>
      <c r="K378" s="2">
        <v>3.0000000000000001E-3</v>
      </c>
      <c r="L378" s="17">
        <v>3.0000000000000001E-3</v>
      </c>
    </row>
    <row r="379" spans="1:15" x14ac:dyDescent="0.25">
      <c r="A379" s="12" t="s">
        <v>347</v>
      </c>
      <c r="C379">
        <v>104</v>
      </c>
      <c r="D379">
        <v>1</v>
      </c>
      <c r="E379">
        <v>0</v>
      </c>
      <c r="J379" t="b">
        <f t="shared" si="19"/>
        <v>0</v>
      </c>
      <c r="K379" s="2" t="s">
        <v>2174</v>
      </c>
      <c r="L379" s="17">
        <v>1E-3</v>
      </c>
      <c r="M379" s="2">
        <v>0</v>
      </c>
      <c r="N379" s="2">
        <f t="shared" si="18"/>
        <v>0</v>
      </c>
    </row>
    <row r="380" spans="1:15" x14ac:dyDescent="0.25">
      <c r="A380" s="12" t="s">
        <v>348</v>
      </c>
      <c r="C380">
        <v>104</v>
      </c>
      <c r="D380">
        <v>1</v>
      </c>
      <c r="E380">
        <v>0</v>
      </c>
      <c r="J380" t="b">
        <f t="shared" si="19"/>
        <v>0</v>
      </c>
      <c r="K380" s="2">
        <v>0.09</v>
      </c>
      <c r="L380" s="17">
        <v>0.09</v>
      </c>
      <c r="M380" s="2">
        <v>0</v>
      </c>
      <c r="N380" s="2">
        <f t="shared" si="18"/>
        <v>0</v>
      </c>
    </row>
    <row r="381" spans="1:15" x14ac:dyDescent="0.25">
      <c r="A381" s="12" t="s">
        <v>349</v>
      </c>
      <c r="C381">
        <v>105</v>
      </c>
      <c r="D381">
        <v>1</v>
      </c>
      <c r="F381">
        <v>1.94</v>
      </c>
      <c r="H381">
        <v>263</v>
      </c>
      <c r="J381">
        <f t="shared" si="19"/>
        <v>0.11877866646380941</v>
      </c>
      <c r="K381" s="2">
        <v>5.2999999999999999E-2</v>
      </c>
      <c r="L381" s="17">
        <v>5.2999999999999999E-2</v>
      </c>
      <c r="M381" s="2" t="s">
        <v>2558</v>
      </c>
      <c r="N381" s="2" t="s">
        <v>2558</v>
      </c>
      <c r="O381" t="s">
        <v>2148</v>
      </c>
    </row>
    <row r="382" spans="1:15" x14ac:dyDescent="0.25">
      <c r="A382" s="12" t="s">
        <v>350</v>
      </c>
      <c r="C382">
        <v>105</v>
      </c>
      <c r="D382">
        <v>1</v>
      </c>
      <c r="J382">
        <v>0.46</v>
      </c>
      <c r="K382" s="2" t="s">
        <v>2519</v>
      </c>
      <c r="L382" s="17">
        <v>1E-3</v>
      </c>
    </row>
    <row r="383" spans="1:15" x14ac:dyDescent="0.25">
      <c r="A383" s="12" t="s">
        <v>351</v>
      </c>
      <c r="C383">
        <v>105</v>
      </c>
      <c r="D383">
        <v>1</v>
      </c>
      <c r="J383">
        <v>0.22</v>
      </c>
      <c r="K383" s="2" t="s">
        <v>2519</v>
      </c>
      <c r="L383" s="17">
        <v>1E-3</v>
      </c>
    </row>
    <row r="384" spans="1:15" x14ac:dyDescent="0.25">
      <c r="A384" s="12" t="s">
        <v>352</v>
      </c>
      <c r="C384">
        <v>105</v>
      </c>
      <c r="D384">
        <v>1</v>
      </c>
      <c r="G384">
        <v>11.11</v>
      </c>
      <c r="H384">
        <v>5</v>
      </c>
      <c r="I384">
        <v>256</v>
      </c>
      <c r="J384">
        <f t="shared" ref="J384:J415" si="20">IF(NOT(ISBLANK(F384)),SQRT((F384^2*1/H384)/(F384^2*1/H384+1)),IF(NOT(ISBLANK(G384)),SQRT((G384*H384/I384)/(G384*H384/I384+1)*SQRT(1/H384))))</f>
        <v>0.28238111761705303</v>
      </c>
      <c r="K384" s="2" t="s">
        <v>2519</v>
      </c>
      <c r="L384" s="17">
        <v>1E-3</v>
      </c>
      <c r="M384" s="2">
        <v>0</v>
      </c>
      <c r="N384" s="2">
        <f t="shared" si="18"/>
        <v>0</v>
      </c>
    </row>
    <row r="385" spans="1:15" x14ac:dyDescent="0.25">
      <c r="A385" s="12" t="s">
        <v>353</v>
      </c>
      <c r="C385">
        <v>105</v>
      </c>
      <c r="D385">
        <v>1</v>
      </c>
      <c r="F385">
        <v>-3.94</v>
      </c>
      <c r="H385">
        <v>262</v>
      </c>
      <c r="J385">
        <f t="shared" si="20"/>
        <v>0.23650823201113111</v>
      </c>
      <c r="K385" s="2" t="s">
        <v>2519</v>
      </c>
      <c r="L385" s="17">
        <v>1E-3</v>
      </c>
      <c r="M385" s="2">
        <v>0</v>
      </c>
      <c r="N385" s="2">
        <f t="shared" si="18"/>
        <v>0</v>
      </c>
    </row>
    <row r="386" spans="1:15" x14ac:dyDescent="0.25">
      <c r="A386" s="12" t="s">
        <v>354</v>
      </c>
      <c r="C386">
        <v>105</v>
      </c>
      <c r="D386">
        <v>1</v>
      </c>
      <c r="F386">
        <v>2.4500000000000002</v>
      </c>
      <c r="H386">
        <v>260</v>
      </c>
      <c r="J386">
        <f t="shared" si="20"/>
        <v>0.15021843226178982</v>
      </c>
      <c r="K386" s="2">
        <v>1.4999999999999999E-2</v>
      </c>
      <c r="L386" s="17">
        <v>1.4999999999999999E-2</v>
      </c>
      <c r="M386" s="2">
        <v>0</v>
      </c>
      <c r="N386" s="2">
        <f t="shared" si="18"/>
        <v>0</v>
      </c>
    </row>
    <row r="387" spans="1:15" x14ac:dyDescent="0.25">
      <c r="A387" s="12" t="s">
        <v>355</v>
      </c>
      <c r="C387">
        <v>105</v>
      </c>
      <c r="D387">
        <v>1</v>
      </c>
      <c r="F387">
        <v>3.77</v>
      </c>
      <c r="H387">
        <v>258</v>
      </c>
      <c r="J387">
        <f t="shared" si="20"/>
        <v>0.22850041809795701</v>
      </c>
      <c r="K387" s="2" t="s">
        <v>2519</v>
      </c>
      <c r="L387" s="17">
        <v>1E-3</v>
      </c>
      <c r="M387" s="2">
        <v>0</v>
      </c>
      <c r="N387" s="2">
        <f t="shared" si="18"/>
        <v>0</v>
      </c>
    </row>
    <row r="388" spans="1:15" x14ac:dyDescent="0.25">
      <c r="A388" s="12" t="s">
        <v>356</v>
      </c>
      <c r="C388">
        <v>105</v>
      </c>
      <c r="D388">
        <v>1</v>
      </c>
      <c r="F388">
        <v>3.36</v>
      </c>
      <c r="H388">
        <v>258</v>
      </c>
      <c r="J388">
        <f t="shared" si="20"/>
        <v>0.204752629008642</v>
      </c>
      <c r="K388" s="2" t="s">
        <v>2519</v>
      </c>
      <c r="L388" s="17">
        <v>1E-3</v>
      </c>
      <c r="M388" s="2">
        <v>0</v>
      </c>
      <c r="N388" s="2">
        <f t="shared" si="18"/>
        <v>0</v>
      </c>
    </row>
    <row r="389" spans="1:15" x14ac:dyDescent="0.25">
      <c r="A389" s="12" t="s">
        <v>357</v>
      </c>
      <c r="C389">
        <v>105</v>
      </c>
      <c r="D389">
        <v>1</v>
      </c>
      <c r="F389">
        <v>1.99</v>
      </c>
      <c r="H389">
        <v>257</v>
      </c>
      <c r="J389">
        <f t="shared" si="20"/>
        <v>0.12318732405992409</v>
      </c>
      <c r="K389" s="2">
        <v>4.7649999999999998E-2</v>
      </c>
      <c r="L389" s="17">
        <v>4.7649999999999998E-2</v>
      </c>
      <c r="M389" s="2">
        <v>1</v>
      </c>
      <c r="N389" s="2">
        <v>0</v>
      </c>
    </row>
    <row r="390" spans="1:15" x14ac:dyDescent="0.25">
      <c r="A390" s="12" t="s">
        <v>358</v>
      </c>
      <c r="C390">
        <v>105</v>
      </c>
      <c r="D390">
        <v>1</v>
      </c>
      <c r="F390">
        <v>2.3199999999999998</v>
      </c>
      <c r="H390">
        <v>257</v>
      </c>
      <c r="J390">
        <f t="shared" si="20"/>
        <v>0.14322559489212597</v>
      </c>
      <c r="K390" s="2">
        <v>0.21</v>
      </c>
      <c r="L390" s="17">
        <v>0.21</v>
      </c>
      <c r="M390" s="2">
        <v>0</v>
      </c>
      <c r="N390" s="2">
        <f t="shared" si="18"/>
        <v>0</v>
      </c>
    </row>
    <row r="391" spans="1:15" x14ac:dyDescent="0.25">
      <c r="A391" s="12" t="s">
        <v>359</v>
      </c>
      <c r="C391">
        <v>105</v>
      </c>
      <c r="D391">
        <v>1</v>
      </c>
      <c r="F391">
        <v>-4.1100000000000003</v>
      </c>
      <c r="J391" t="e">
        <f t="shared" si="20"/>
        <v>#DIV/0!</v>
      </c>
      <c r="K391" s="2" t="s">
        <v>2139</v>
      </c>
      <c r="L391" s="17">
        <v>1E-3</v>
      </c>
      <c r="M391" s="2" t="s">
        <v>2558</v>
      </c>
      <c r="N391" s="2" t="s">
        <v>2558</v>
      </c>
      <c r="O391" t="s">
        <v>2149</v>
      </c>
    </row>
    <row r="392" spans="1:15" x14ac:dyDescent="0.25">
      <c r="A392" s="12" t="s">
        <v>360</v>
      </c>
      <c r="C392">
        <v>105</v>
      </c>
      <c r="D392">
        <v>1</v>
      </c>
      <c r="F392">
        <v>3.97</v>
      </c>
      <c r="J392" t="e">
        <f t="shared" si="20"/>
        <v>#DIV/0!</v>
      </c>
      <c r="K392" s="2" t="s">
        <v>2139</v>
      </c>
      <c r="L392" s="17">
        <v>1E-3</v>
      </c>
      <c r="M392" s="2" t="s">
        <v>2558</v>
      </c>
      <c r="N392" s="2" t="s">
        <v>2558</v>
      </c>
    </row>
    <row r="393" spans="1:15" x14ac:dyDescent="0.25">
      <c r="A393" s="12" t="s">
        <v>361</v>
      </c>
      <c r="C393">
        <v>105</v>
      </c>
      <c r="D393">
        <v>1</v>
      </c>
      <c r="F393">
        <v>-3.97</v>
      </c>
      <c r="J393" t="e">
        <f t="shared" si="20"/>
        <v>#DIV/0!</v>
      </c>
      <c r="K393" s="2" t="s">
        <v>2139</v>
      </c>
      <c r="L393" s="17">
        <v>1E-3</v>
      </c>
      <c r="M393" s="2" t="s">
        <v>2558</v>
      </c>
      <c r="N393" s="2" t="s">
        <v>2558</v>
      </c>
    </row>
    <row r="394" spans="1:15" x14ac:dyDescent="0.25">
      <c r="A394" s="12" t="s">
        <v>362</v>
      </c>
      <c r="C394">
        <v>105</v>
      </c>
      <c r="D394">
        <v>1</v>
      </c>
      <c r="F394">
        <v>2.29</v>
      </c>
      <c r="J394" t="e">
        <f t="shared" si="20"/>
        <v>#DIV/0!</v>
      </c>
      <c r="K394" s="2" t="s">
        <v>2528</v>
      </c>
      <c r="L394" s="17">
        <v>4.9000000000000002E-2</v>
      </c>
      <c r="M394" s="2" t="s">
        <v>2558</v>
      </c>
      <c r="N394" s="2" t="s">
        <v>2558</v>
      </c>
    </row>
    <row r="395" spans="1:15" x14ac:dyDescent="0.25">
      <c r="A395" s="12" t="s">
        <v>363</v>
      </c>
      <c r="C395">
        <v>114</v>
      </c>
      <c r="D395">
        <v>1</v>
      </c>
      <c r="E395">
        <v>0</v>
      </c>
      <c r="J395" t="b">
        <f t="shared" si="20"/>
        <v>0</v>
      </c>
      <c r="K395" s="2" t="s">
        <v>2139</v>
      </c>
      <c r="L395" s="17">
        <v>1E-3</v>
      </c>
    </row>
    <row r="396" spans="1:15" x14ac:dyDescent="0.25">
      <c r="A396" s="12" t="s">
        <v>364</v>
      </c>
      <c r="C396">
        <v>114</v>
      </c>
      <c r="D396">
        <v>1</v>
      </c>
      <c r="E396">
        <v>0</v>
      </c>
      <c r="J396" t="b">
        <f t="shared" si="20"/>
        <v>0</v>
      </c>
      <c r="K396" s="2" t="s">
        <v>2139</v>
      </c>
      <c r="L396" s="17">
        <v>1E-3</v>
      </c>
    </row>
    <row r="397" spans="1:15" x14ac:dyDescent="0.25">
      <c r="A397" s="12" t="s">
        <v>365</v>
      </c>
      <c r="C397">
        <v>114</v>
      </c>
      <c r="D397">
        <v>1</v>
      </c>
      <c r="E397">
        <v>0</v>
      </c>
      <c r="J397" t="b">
        <f t="shared" si="20"/>
        <v>0</v>
      </c>
      <c r="K397" s="2" t="s">
        <v>2139</v>
      </c>
      <c r="L397" s="17">
        <v>1E-3</v>
      </c>
    </row>
    <row r="398" spans="1:15" x14ac:dyDescent="0.25">
      <c r="A398" s="12" t="s">
        <v>366</v>
      </c>
      <c r="C398">
        <v>114</v>
      </c>
      <c r="D398">
        <v>2</v>
      </c>
      <c r="E398">
        <v>0</v>
      </c>
      <c r="J398" t="b">
        <f t="shared" si="20"/>
        <v>0</v>
      </c>
      <c r="K398" s="2" t="s">
        <v>2139</v>
      </c>
      <c r="L398" s="17">
        <v>1E-3</v>
      </c>
    </row>
    <row r="399" spans="1:15" x14ac:dyDescent="0.25">
      <c r="A399" s="12" t="s">
        <v>367</v>
      </c>
      <c r="C399">
        <v>114</v>
      </c>
      <c r="D399">
        <v>0</v>
      </c>
      <c r="J399" t="b">
        <f t="shared" si="20"/>
        <v>0</v>
      </c>
    </row>
    <row r="400" spans="1:15" x14ac:dyDescent="0.25">
      <c r="A400" s="12" t="s">
        <v>368</v>
      </c>
      <c r="C400">
        <v>114</v>
      </c>
      <c r="D400">
        <v>1</v>
      </c>
      <c r="E400">
        <v>0</v>
      </c>
      <c r="J400" t="b">
        <f t="shared" si="20"/>
        <v>0</v>
      </c>
      <c r="K400" s="2" t="s">
        <v>2139</v>
      </c>
      <c r="L400" s="17">
        <v>1E-3</v>
      </c>
    </row>
    <row r="401" spans="1:14" x14ac:dyDescent="0.25">
      <c r="A401" s="12" t="s">
        <v>369</v>
      </c>
      <c r="C401">
        <v>114</v>
      </c>
      <c r="D401">
        <v>1</v>
      </c>
      <c r="E401">
        <v>0</v>
      </c>
      <c r="J401" t="b">
        <f t="shared" si="20"/>
        <v>0</v>
      </c>
      <c r="K401" s="2" t="s">
        <v>2139</v>
      </c>
      <c r="L401" s="17">
        <v>1E-3</v>
      </c>
    </row>
    <row r="402" spans="1:14" x14ac:dyDescent="0.25">
      <c r="A402" s="12" t="s">
        <v>2587</v>
      </c>
      <c r="C402">
        <v>118</v>
      </c>
      <c r="D402">
        <v>1</v>
      </c>
      <c r="G402">
        <v>114.9</v>
      </c>
      <c r="H402">
        <v>1.83</v>
      </c>
      <c r="I402">
        <v>71.540000000000006</v>
      </c>
      <c r="J402">
        <f t="shared" si="20"/>
        <v>0.74267173984711488</v>
      </c>
      <c r="K402" s="2" t="s">
        <v>2174</v>
      </c>
      <c r="L402" s="17">
        <v>1E-3</v>
      </c>
      <c r="M402" s="2">
        <v>0</v>
      </c>
      <c r="N402" s="2">
        <v>0</v>
      </c>
    </row>
    <row r="403" spans="1:14" x14ac:dyDescent="0.25">
      <c r="A403" s="12" t="s">
        <v>2588</v>
      </c>
      <c r="C403">
        <v>118</v>
      </c>
      <c r="D403">
        <v>3</v>
      </c>
      <c r="E403">
        <v>0</v>
      </c>
      <c r="J403" t="b">
        <f t="shared" si="20"/>
        <v>0</v>
      </c>
    </row>
    <row r="404" spans="1:14" x14ac:dyDescent="0.25">
      <c r="A404" s="12" t="s">
        <v>2589</v>
      </c>
      <c r="C404">
        <v>118</v>
      </c>
      <c r="D404">
        <v>1</v>
      </c>
      <c r="F404">
        <v>0.71</v>
      </c>
      <c r="H404">
        <v>39</v>
      </c>
      <c r="J404">
        <f t="shared" si="20"/>
        <v>0.1129632718542601</v>
      </c>
      <c r="K404" s="2">
        <v>1</v>
      </c>
      <c r="L404" s="17">
        <v>1</v>
      </c>
      <c r="M404" s="2">
        <v>1</v>
      </c>
      <c r="N404" s="2">
        <v>0</v>
      </c>
    </row>
    <row r="405" spans="1:14" x14ac:dyDescent="0.25">
      <c r="A405" s="12" t="s">
        <v>2590</v>
      </c>
      <c r="C405">
        <v>118</v>
      </c>
      <c r="D405">
        <v>1</v>
      </c>
      <c r="F405">
        <v>4.16</v>
      </c>
      <c r="H405">
        <v>39</v>
      </c>
      <c r="J405">
        <f t="shared" si="20"/>
        <v>0.55439274112748838</v>
      </c>
      <c r="K405" s="2">
        <v>1E-3</v>
      </c>
      <c r="L405" s="17">
        <v>1E-3</v>
      </c>
      <c r="M405" s="2">
        <v>1</v>
      </c>
      <c r="N405" s="2">
        <v>0</v>
      </c>
    </row>
    <row r="406" spans="1:14" x14ac:dyDescent="0.25">
      <c r="A406" s="12" t="s">
        <v>2591</v>
      </c>
      <c r="C406">
        <v>118</v>
      </c>
      <c r="D406">
        <v>1</v>
      </c>
      <c r="F406">
        <v>3.38</v>
      </c>
      <c r="H406">
        <v>39</v>
      </c>
      <c r="J406">
        <f t="shared" si="20"/>
        <v>0.47598835803476797</v>
      </c>
      <c r="K406" s="2">
        <v>0.01</v>
      </c>
      <c r="L406" s="17">
        <v>0.01</v>
      </c>
      <c r="M406" s="2">
        <v>1</v>
      </c>
      <c r="N406" s="2">
        <v>0</v>
      </c>
    </row>
    <row r="407" spans="1:14" x14ac:dyDescent="0.25">
      <c r="A407" s="12" t="s">
        <v>370</v>
      </c>
      <c r="C407">
        <v>119</v>
      </c>
      <c r="D407">
        <v>1</v>
      </c>
      <c r="G407">
        <v>144.69999999999999</v>
      </c>
      <c r="H407">
        <v>2</v>
      </c>
      <c r="I407">
        <v>90</v>
      </c>
      <c r="J407">
        <f t="shared" si="20"/>
        <v>0.73441764261799913</v>
      </c>
      <c r="K407" s="2" t="s">
        <v>2139</v>
      </c>
      <c r="L407" s="17">
        <v>1E-3</v>
      </c>
      <c r="M407" s="2">
        <v>0</v>
      </c>
      <c r="N407" s="2">
        <f t="shared" ref="N407:N454" si="21">IF(M407=0, 0)</f>
        <v>0</v>
      </c>
    </row>
    <row r="408" spans="1:14" x14ac:dyDescent="0.25">
      <c r="A408" s="12" t="s">
        <v>371</v>
      </c>
      <c r="C408">
        <v>119</v>
      </c>
      <c r="D408">
        <v>1</v>
      </c>
      <c r="F408">
        <v>7.78</v>
      </c>
      <c r="H408">
        <v>45</v>
      </c>
      <c r="J408">
        <f t="shared" si="20"/>
        <v>0.75734701884761435</v>
      </c>
      <c r="K408" s="2" t="s">
        <v>2139</v>
      </c>
      <c r="L408" s="17">
        <v>1E-3</v>
      </c>
      <c r="M408" s="2">
        <v>0</v>
      </c>
      <c r="N408" s="2">
        <f t="shared" si="21"/>
        <v>0</v>
      </c>
    </row>
    <row r="409" spans="1:14" x14ac:dyDescent="0.25">
      <c r="A409" s="12" t="s">
        <v>372</v>
      </c>
      <c r="C409">
        <v>119</v>
      </c>
      <c r="D409">
        <v>1</v>
      </c>
      <c r="F409">
        <v>14.03</v>
      </c>
      <c r="H409">
        <v>45</v>
      </c>
      <c r="J409">
        <f t="shared" si="20"/>
        <v>0.90217917038733098</v>
      </c>
      <c r="K409" s="2" t="s">
        <v>2139</v>
      </c>
      <c r="L409" s="17">
        <v>1E-3</v>
      </c>
      <c r="M409" s="2">
        <v>0</v>
      </c>
      <c r="N409" s="2">
        <f t="shared" si="21"/>
        <v>0</v>
      </c>
    </row>
    <row r="410" spans="1:14" x14ac:dyDescent="0.25">
      <c r="A410" s="12" t="s">
        <v>373</v>
      </c>
      <c r="C410">
        <v>119</v>
      </c>
      <c r="D410">
        <v>1</v>
      </c>
      <c r="F410">
        <v>11.31</v>
      </c>
      <c r="H410">
        <v>45</v>
      </c>
      <c r="J410">
        <f t="shared" si="20"/>
        <v>0.86009196212028749</v>
      </c>
      <c r="K410" s="2" t="s">
        <v>2139</v>
      </c>
      <c r="L410" s="17">
        <v>1E-3</v>
      </c>
      <c r="M410" s="2">
        <v>0</v>
      </c>
      <c r="N410" s="2">
        <f t="shared" si="21"/>
        <v>0</v>
      </c>
    </row>
    <row r="411" spans="1:14" x14ac:dyDescent="0.25">
      <c r="A411" s="12" t="s">
        <v>374</v>
      </c>
      <c r="C411">
        <v>119</v>
      </c>
      <c r="D411">
        <v>1</v>
      </c>
      <c r="G411">
        <v>9.09</v>
      </c>
      <c r="H411">
        <v>1</v>
      </c>
      <c r="I411">
        <v>44</v>
      </c>
      <c r="J411">
        <f t="shared" si="20"/>
        <v>0.41378579633846757</v>
      </c>
      <c r="K411" s="2" t="s">
        <v>2150</v>
      </c>
      <c r="L411" s="17">
        <v>0.01</v>
      </c>
      <c r="M411" s="2">
        <v>0</v>
      </c>
      <c r="N411" s="2">
        <f t="shared" si="21"/>
        <v>0</v>
      </c>
    </row>
    <row r="412" spans="1:14" x14ac:dyDescent="0.25">
      <c r="A412" s="12" t="s">
        <v>375</v>
      </c>
      <c r="C412">
        <v>119</v>
      </c>
      <c r="D412">
        <v>1</v>
      </c>
      <c r="G412">
        <v>9.76</v>
      </c>
      <c r="H412">
        <v>2</v>
      </c>
      <c r="I412">
        <v>88</v>
      </c>
      <c r="J412">
        <f t="shared" si="20"/>
        <v>0.35829255160670515</v>
      </c>
      <c r="K412" s="2" t="s">
        <v>2139</v>
      </c>
      <c r="L412" s="17">
        <v>1E-3</v>
      </c>
      <c r="M412" s="2">
        <v>0</v>
      </c>
      <c r="N412" s="2">
        <f t="shared" si="21"/>
        <v>0</v>
      </c>
    </row>
    <row r="413" spans="1:14" x14ac:dyDescent="0.25">
      <c r="A413" s="12" t="s">
        <v>376</v>
      </c>
      <c r="C413">
        <v>119</v>
      </c>
      <c r="D413">
        <v>1</v>
      </c>
      <c r="F413">
        <v>2.02</v>
      </c>
      <c r="H413">
        <v>45</v>
      </c>
      <c r="J413">
        <f t="shared" si="20"/>
        <v>0.28833497316091183</v>
      </c>
      <c r="K413" s="2" t="s">
        <v>2527</v>
      </c>
      <c r="L413" s="17">
        <v>4.9000000000000002E-2</v>
      </c>
      <c r="M413" s="2">
        <v>0</v>
      </c>
      <c r="N413" s="2">
        <f t="shared" si="21"/>
        <v>0</v>
      </c>
    </row>
    <row r="414" spans="1:14" x14ac:dyDescent="0.25">
      <c r="A414" s="12" t="s">
        <v>377</v>
      </c>
      <c r="C414">
        <v>119</v>
      </c>
      <c r="D414">
        <v>1</v>
      </c>
      <c r="F414">
        <v>3.87</v>
      </c>
      <c r="H414">
        <v>45</v>
      </c>
      <c r="J414">
        <f t="shared" si="20"/>
        <v>0.49971105529939358</v>
      </c>
      <c r="K414" s="2" t="s">
        <v>2156</v>
      </c>
      <c r="L414" s="17">
        <v>0.01</v>
      </c>
      <c r="M414" s="2">
        <v>0</v>
      </c>
      <c r="N414" s="2">
        <f t="shared" si="21"/>
        <v>0</v>
      </c>
    </row>
    <row r="415" spans="1:14" x14ac:dyDescent="0.25">
      <c r="A415" s="12" t="s">
        <v>378</v>
      </c>
      <c r="C415">
        <v>119</v>
      </c>
      <c r="D415">
        <v>1</v>
      </c>
      <c r="F415">
        <v>2.82</v>
      </c>
      <c r="H415">
        <v>45</v>
      </c>
      <c r="J415">
        <f t="shared" si="20"/>
        <v>0.38753085271458992</v>
      </c>
      <c r="K415" s="2">
        <v>7.1199999999999996E-3</v>
      </c>
      <c r="L415" s="17">
        <v>7.1199999999999996E-3</v>
      </c>
      <c r="M415" s="2">
        <v>1</v>
      </c>
      <c r="N415" s="2">
        <v>0</v>
      </c>
    </row>
    <row r="416" spans="1:14" x14ac:dyDescent="0.25">
      <c r="A416" s="12" t="s">
        <v>379</v>
      </c>
      <c r="C416">
        <v>119</v>
      </c>
      <c r="D416">
        <v>1</v>
      </c>
      <c r="G416">
        <v>255.37</v>
      </c>
      <c r="H416">
        <v>1</v>
      </c>
      <c r="I416">
        <v>43.88</v>
      </c>
      <c r="J416">
        <f t="shared" ref="J416:J447" si="22">IF(NOT(ISBLANK(F416)),SQRT((F416^2*1/H416)/(F416^2*1/H416+1)),IF(NOT(ISBLANK(G416)),SQRT((G416*H416/I416)/(G416*H416/I416+1)*SQRT(1/H416))))</f>
        <v>0.92377851794077537</v>
      </c>
      <c r="K416" s="2" t="s">
        <v>2141</v>
      </c>
      <c r="L416" s="17">
        <v>1E-3</v>
      </c>
      <c r="M416" s="2">
        <v>0</v>
      </c>
      <c r="N416" s="2">
        <f t="shared" si="21"/>
        <v>0</v>
      </c>
    </row>
    <row r="417" spans="1:14" x14ac:dyDescent="0.25">
      <c r="A417" s="12" t="s">
        <v>380</v>
      </c>
      <c r="C417">
        <v>119</v>
      </c>
      <c r="D417">
        <v>1</v>
      </c>
      <c r="F417">
        <v>16.22</v>
      </c>
      <c r="H417">
        <v>45</v>
      </c>
      <c r="J417">
        <f t="shared" si="22"/>
        <v>0.92408767202017761</v>
      </c>
      <c r="K417" s="2" t="s">
        <v>2139</v>
      </c>
      <c r="L417" s="17">
        <v>1E-3</v>
      </c>
      <c r="M417" s="2">
        <v>0</v>
      </c>
      <c r="N417" s="2">
        <f t="shared" si="21"/>
        <v>0</v>
      </c>
    </row>
    <row r="418" spans="1:14" x14ac:dyDescent="0.25">
      <c r="A418" s="12" t="s">
        <v>381</v>
      </c>
      <c r="C418">
        <v>119</v>
      </c>
      <c r="D418">
        <v>1</v>
      </c>
      <c r="F418">
        <v>16.170000000000002</v>
      </c>
      <c r="H418">
        <v>45</v>
      </c>
      <c r="J418">
        <f t="shared" si="22"/>
        <v>0.92366995063715185</v>
      </c>
      <c r="K418" s="2" t="s">
        <v>2139</v>
      </c>
      <c r="L418" s="17">
        <v>1E-3</v>
      </c>
      <c r="M418" s="2">
        <v>0</v>
      </c>
      <c r="N418" s="2">
        <f t="shared" si="21"/>
        <v>0</v>
      </c>
    </row>
    <row r="419" spans="1:14" x14ac:dyDescent="0.25">
      <c r="A419" s="12" t="s">
        <v>382</v>
      </c>
      <c r="C419">
        <v>119</v>
      </c>
      <c r="D419">
        <v>1</v>
      </c>
      <c r="G419">
        <v>225.37</v>
      </c>
      <c r="H419">
        <v>2</v>
      </c>
      <c r="I419">
        <v>88</v>
      </c>
      <c r="J419">
        <f t="shared" si="22"/>
        <v>0.76915867087316092</v>
      </c>
      <c r="K419" s="2" t="s">
        <v>2141</v>
      </c>
      <c r="L419" s="17">
        <v>1E-3</v>
      </c>
      <c r="M419" s="2">
        <v>0</v>
      </c>
      <c r="N419" s="2">
        <f t="shared" si="21"/>
        <v>0</v>
      </c>
    </row>
    <row r="420" spans="1:14" x14ac:dyDescent="0.25">
      <c r="A420" s="12" t="s">
        <v>383</v>
      </c>
      <c r="C420">
        <v>119</v>
      </c>
      <c r="D420">
        <v>1</v>
      </c>
      <c r="F420">
        <v>12.92</v>
      </c>
      <c r="H420">
        <v>45</v>
      </c>
      <c r="J420">
        <f t="shared" si="22"/>
        <v>0.88750331366082813</v>
      </c>
      <c r="K420" s="2" t="s">
        <v>2141</v>
      </c>
      <c r="L420" s="17">
        <v>1E-3</v>
      </c>
      <c r="M420" s="2">
        <v>0</v>
      </c>
      <c r="N420" s="2">
        <f t="shared" si="21"/>
        <v>0</v>
      </c>
    </row>
    <row r="421" spans="1:14" x14ac:dyDescent="0.25">
      <c r="A421" s="12" t="s">
        <v>384</v>
      </c>
      <c r="C421">
        <v>119</v>
      </c>
      <c r="D421">
        <v>1</v>
      </c>
      <c r="F421">
        <v>13.1</v>
      </c>
      <c r="H421">
        <v>45</v>
      </c>
      <c r="J421">
        <f t="shared" si="22"/>
        <v>0.89008615233060617</v>
      </c>
      <c r="K421" s="2" t="s">
        <v>2141</v>
      </c>
      <c r="L421" s="17">
        <v>1E-3</v>
      </c>
      <c r="M421" s="2">
        <v>0</v>
      </c>
      <c r="N421" s="2">
        <f t="shared" si="21"/>
        <v>0</v>
      </c>
    </row>
    <row r="422" spans="1:14" x14ac:dyDescent="0.25">
      <c r="A422" s="12" t="s">
        <v>385</v>
      </c>
      <c r="C422">
        <v>119</v>
      </c>
      <c r="D422">
        <v>1</v>
      </c>
      <c r="F422">
        <v>13.1</v>
      </c>
      <c r="H422">
        <v>45</v>
      </c>
      <c r="J422">
        <f t="shared" si="22"/>
        <v>0.89008615233060617</v>
      </c>
      <c r="K422" s="2" t="s">
        <v>2141</v>
      </c>
      <c r="L422" s="17">
        <v>1E-3</v>
      </c>
      <c r="M422" s="2">
        <v>0</v>
      </c>
      <c r="N422" s="2">
        <f t="shared" si="21"/>
        <v>0</v>
      </c>
    </row>
    <row r="423" spans="1:14" x14ac:dyDescent="0.25">
      <c r="A423" s="12" t="s">
        <v>386</v>
      </c>
      <c r="C423">
        <v>119</v>
      </c>
      <c r="D423">
        <v>1</v>
      </c>
      <c r="G423">
        <v>9.76</v>
      </c>
      <c r="H423">
        <v>2</v>
      </c>
      <c r="I423">
        <v>79.099999999999994</v>
      </c>
      <c r="J423">
        <f t="shared" si="22"/>
        <v>0.37411050958274578</v>
      </c>
      <c r="K423" s="2" t="s">
        <v>2141</v>
      </c>
      <c r="L423" s="17">
        <v>1E-3</v>
      </c>
      <c r="M423" s="2">
        <v>0</v>
      </c>
      <c r="N423" s="2">
        <f t="shared" si="21"/>
        <v>0</v>
      </c>
    </row>
    <row r="424" spans="1:14" x14ac:dyDescent="0.25">
      <c r="A424" s="12" t="s">
        <v>387</v>
      </c>
      <c r="C424">
        <v>119</v>
      </c>
      <c r="D424">
        <v>1</v>
      </c>
      <c r="F424">
        <v>16.41</v>
      </c>
      <c r="H424">
        <v>45</v>
      </c>
      <c r="J424">
        <f t="shared" si="22"/>
        <v>0.92564532553786316</v>
      </c>
      <c r="K424" s="2" t="s">
        <v>2141</v>
      </c>
      <c r="L424" s="17">
        <v>1E-3</v>
      </c>
      <c r="M424" s="2">
        <v>0</v>
      </c>
      <c r="N424" s="2">
        <f t="shared" si="21"/>
        <v>0</v>
      </c>
    </row>
    <row r="425" spans="1:14" x14ac:dyDescent="0.25">
      <c r="A425" s="12" t="s">
        <v>388</v>
      </c>
      <c r="C425">
        <v>119</v>
      </c>
      <c r="D425">
        <v>1</v>
      </c>
      <c r="F425">
        <v>16.579999999999998</v>
      </c>
      <c r="H425">
        <v>45</v>
      </c>
      <c r="J425">
        <f t="shared" si="22"/>
        <v>0.92700024698594286</v>
      </c>
      <c r="K425" s="2" t="s">
        <v>2141</v>
      </c>
      <c r="L425" s="17">
        <v>1E-3</v>
      </c>
      <c r="M425" s="2">
        <v>0</v>
      </c>
      <c r="N425" s="2">
        <f t="shared" si="21"/>
        <v>0</v>
      </c>
    </row>
    <row r="426" spans="1:14" x14ac:dyDescent="0.25">
      <c r="A426" s="12" t="s">
        <v>389</v>
      </c>
      <c r="C426">
        <v>119</v>
      </c>
      <c r="D426">
        <v>1</v>
      </c>
      <c r="F426">
        <v>20.399999999999999</v>
      </c>
      <c r="H426">
        <v>2</v>
      </c>
      <c r="I426">
        <v>88</v>
      </c>
      <c r="J426">
        <f t="shared" si="22"/>
        <v>0.9976057045566239</v>
      </c>
      <c r="K426" s="2" t="s">
        <v>2141</v>
      </c>
      <c r="L426" s="17">
        <v>1E-3</v>
      </c>
      <c r="M426" s="2">
        <v>0</v>
      </c>
      <c r="N426" s="2">
        <f t="shared" si="21"/>
        <v>0</v>
      </c>
    </row>
    <row r="427" spans="1:14" x14ac:dyDescent="0.25">
      <c r="A427" s="12" t="s">
        <v>390</v>
      </c>
      <c r="C427">
        <v>119</v>
      </c>
      <c r="D427">
        <v>1</v>
      </c>
      <c r="F427">
        <v>2.77</v>
      </c>
      <c r="H427">
        <v>45</v>
      </c>
      <c r="J427">
        <f t="shared" si="22"/>
        <v>0.38166835591493536</v>
      </c>
      <c r="K427" s="2" t="s">
        <v>2524</v>
      </c>
      <c r="L427" s="17">
        <v>0.01</v>
      </c>
      <c r="M427" s="2">
        <v>0</v>
      </c>
      <c r="N427" s="2">
        <f t="shared" si="21"/>
        <v>0</v>
      </c>
    </row>
    <row r="428" spans="1:14" x14ac:dyDescent="0.25">
      <c r="A428" s="12" t="s">
        <v>391</v>
      </c>
      <c r="C428">
        <v>119</v>
      </c>
      <c r="D428">
        <v>1</v>
      </c>
      <c r="F428">
        <v>5.76</v>
      </c>
      <c r="H428">
        <v>45</v>
      </c>
      <c r="J428">
        <f t="shared" si="22"/>
        <v>0.65145034219919318</v>
      </c>
      <c r="K428" s="2" t="s">
        <v>2141</v>
      </c>
      <c r="L428" s="17">
        <v>1E-3</v>
      </c>
      <c r="M428" s="2">
        <v>0</v>
      </c>
      <c r="N428" s="2">
        <f t="shared" si="21"/>
        <v>0</v>
      </c>
    </row>
    <row r="429" spans="1:14" x14ac:dyDescent="0.25">
      <c r="A429" s="12" t="s">
        <v>392</v>
      </c>
      <c r="C429">
        <v>119</v>
      </c>
      <c r="D429">
        <v>1</v>
      </c>
      <c r="F429">
        <v>3.72</v>
      </c>
      <c r="H429">
        <v>45</v>
      </c>
      <c r="J429">
        <f t="shared" si="22"/>
        <v>0.48496736294606319</v>
      </c>
      <c r="K429" s="2" t="s">
        <v>2141</v>
      </c>
      <c r="L429" s="17">
        <v>1E-3</v>
      </c>
      <c r="M429" s="2">
        <v>0</v>
      </c>
      <c r="N429" s="2">
        <f t="shared" si="21"/>
        <v>0</v>
      </c>
    </row>
    <row r="430" spans="1:14" x14ac:dyDescent="0.25">
      <c r="A430" s="12" t="s">
        <v>393</v>
      </c>
      <c r="C430">
        <v>119</v>
      </c>
      <c r="D430">
        <v>1</v>
      </c>
      <c r="G430">
        <v>62.81</v>
      </c>
      <c r="H430">
        <v>1</v>
      </c>
      <c r="I430">
        <v>29.88</v>
      </c>
      <c r="J430">
        <f t="shared" si="22"/>
        <v>0.82318596188559146</v>
      </c>
      <c r="K430" s="2" t="s">
        <v>2141</v>
      </c>
      <c r="L430" s="17">
        <v>1E-3</v>
      </c>
      <c r="M430" s="2">
        <v>0</v>
      </c>
      <c r="N430" s="2">
        <f t="shared" si="21"/>
        <v>0</v>
      </c>
    </row>
    <row r="431" spans="1:14" x14ac:dyDescent="0.25">
      <c r="A431" s="12" t="s">
        <v>394</v>
      </c>
      <c r="C431">
        <v>119</v>
      </c>
      <c r="D431">
        <v>1</v>
      </c>
      <c r="F431">
        <v>7.13</v>
      </c>
      <c r="H431">
        <v>75</v>
      </c>
      <c r="J431">
        <f t="shared" si="22"/>
        <v>0.63560239415126196</v>
      </c>
      <c r="K431" s="2" t="s">
        <v>2141</v>
      </c>
      <c r="L431" s="17">
        <v>1E-3</v>
      </c>
      <c r="M431" s="2">
        <v>0</v>
      </c>
      <c r="N431" s="2">
        <f t="shared" si="21"/>
        <v>0</v>
      </c>
    </row>
    <row r="432" spans="1:14" x14ac:dyDescent="0.25">
      <c r="A432" s="12" t="s">
        <v>395</v>
      </c>
      <c r="C432">
        <v>119</v>
      </c>
      <c r="D432">
        <v>1</v>
      </c>
      <c r="F432">
        <v>7.8</v>
      </c>
      <c r="H432">
        <v>45</v>
      </c>
      <c r="J432">
        <f t="shared" si="22"/>
        <v>0.75817539657574562</v>
      </c>
      <c r="K432" s="2" t="s">
        <v>2139</v>
      </c>
      <c r="L432" s="17">
        <v>1E-3</v>
      </c>
      <c r="M432" s="2">
        <v>0</v>
      </c>
      <c r="N432" s="2">
        <f t="shared" si="21"/>
        <v>0</v>
      </c>
    </row>
    <row r="433" spans="1:14" x14ac:dyDescent="0.25">
      <c r="A433" s="12" t="s">
        <v>396</v>
      </c>
      <c r="C433">
        <v>119</v>
      </c>
      <c r="D433">
        <v>1</v>
      </c>
      <c r="F433">
        <v>5.85</v>
      </c>
      <c r="H433">
        <v>45</v>
      </c>
      <c r="J433">
        <f t="shared" si="22"/>
        <v>0.65725151294146555</v>
      </c>
      <c r="K433" s="2" t="s">
        <v>2139</v>
      </c>
      <c r="L433" s="17">
        <v>1E-3</v>
      </c>
      <c r="M433" s="2">
        <v>0</v>
      </c>
      <c r="N433" s="2">
        <f t="shared" si="21"/>
        <v>0</v>
      </c>
    </row>
    <row r="434" spans="1:14" x14ac:dyDescent="0.25">
      <c r="A434" s="12" t="s">
        <v>397</v>
      </c>
      <c r="C434">
        <v>119</v>
      </c>
      <c r="D434">
        <v>1</v>
      </c>
      <c r="F434">
        <v>3</v>
      </c>
      <c r="H434">
        <v>2.77</v>
      </c>
      <c r="I434">
        <v>121.94</v>
      </c>
      <c r="J434">
        <f t="shared" si="22"/>
        <v>0.87444605599363345</v>
      </c>
      <c r="K434" s="2" t="s">
        <v>2527</v>
      </c>
      <c r="L434" s="17">
        <v>4.9000000000000002E-2</v>
      </c>
      <c r="M434" s="2">
        <v>0</v>
      </c>
      <c r="N434" s="2">
        <f t="shared" si="21"/>
        <v>0</v>
      </c>
    </row>
    <row r="435" spans="1:14" x14ac:dyDescent="0.25">
      <c r="A435" s="12" t="s">
        <v>398</v>
      </c>
      <c r="B435" s="4" t="s">
        <v>2151</v>
      </c>
      <c r="C435">
        <v>119</v>
      </c>
      <c r="D435">
        <v>1</v>
      </c>
      <c r="F435">
        <v>13.32</v>
      </c>
      <c r="H435">
        <v>45</v>
      </c>
      <c r="J435">
        <f t="shared" si="22"/>
        <v>0.89313058834145509</v>
      </c>
      <c r="K435" s="2" t="s">
        <v>2139</v>
      </c>
      <c r="L435" s="17">
        <v>1E-3</v>
      </c>
      <c r="M435" s="2">
        <v>0</v>
      </c>
      <c r="N435" s="2">
        <f t="shared" si="21"/>
        <v>0</v>
      </c>
    </row>
    <row r="436" spans="1:14" x14ac:dyDescent="0.25">
      <c r="A436" s="12" t="s">
        <v>399</v>
      </c>
      <c r="B436" s="4" t="s">
        <v>2152</v>
      </c>
      <c r="C436">
        <v>119</v>
      </c>
      <c r="D436">
        <v>1</v>
      </c>
      <c r="G436">
        <v>20.399999999999999</v>
      </c>
      <c r="H436">
        <v>2</v>
      </c>
      <c r="I436">
        <v>88</v>
      </c>
      <c r="J436">
        <f t="shared" si="22"/>
        <v>0.47327618452177606</v>
      </c>
      <c r="K436" s="2" t="s">
        <v>2139</v>
      </c>
      <c r="L436" s="17">
        <v>1E-3</v>
      </c>
      <c r="M436" s="2">
        <v>0</v>
      </c>
      <c r="N436" s="2">
        <f t="shared" si="21"/>
        <v>0</v>
      </c>
    </row>
    <row r="437" spans="1:14" x14ac:dyDescent="0.25">
      <c r="A437" s="12" t="s">
        <v>400</v>
      </c>
      <c r="C437">
        <v>119</v>
      </c>
      <c r="D437">
        <v>0</v>
      </c>
      <c r="J437" t="b">
        <f t="shared" si="22"/>
        <v>0</v>
      </c>
    </row>
    <row r="438" spans="1:14" x14ac:dyDescent="0.25">
      <c r="A438" s="12" t="s">
        <v>401</v>
      </c>
      <c r="C438">
        <v>119</v>
      </c>
      <c r="D438">
        <v>1</v>
      </c>
      <c r="F438">
        <v>1.98</v>
      </c>
      <c r="H438">
        <v>45</v>
      </c>
      <c r="J438">
        <f t="shared" si="22"/>
        <v>0.28308717242676723</v>
      </c>
      <c r="K438" s="2">
        <v>5.3839999999999999E-2</v>
      </c>
      <c r="L438" s="17">
        <v>5.3839999999999999E-2</v>
      </c>
      <c r="M438" s="2">
        <v>1</v>
      </c>
      <c r="N438" s="2">
        <v>1</v>
      </c>
    </row>
    <row r="439" spans="1:14" x14ac:dyDescent="0.25">
      <c r="A439" s="12" t="s">
        <v>402</v>
      </c>
      <c r="C439">
        <v>119</v>
      </c>
      <c r="D439">
        <v>1</v>
      </c>
      <c r="G439">
        <v>7.74</v>
      </c>
      <c r="H439">
        <v>2</v>
      </c>
      <c r="I439">
        <v>88</v>
      </c>
      <c r="J439">
        <f t="shared" si="22"/>
        <v>0.32523686727881607</v>
      </c>
      <c r="K439" s="2" t="s">
        <v>2139</v>
      </c>
      <c r="L439" s="17">
        <v>1E-3</v>
      </c>
      <c r="M439" s="2">
        <v>0</v>
      </c>
      <c r="N439" s="2">
        <f t="shared" si="21"/>
        <v>0</v>
      </c>
    </row>
    <row r="440" spans="1:14" x14ac:dyDescent="0.25">
      <c r="A440" s="12" t="s">
        <v>403</v>
      </c>
      <c r="B440" s="4" t="s">
        <v>2153</v>
      </c>
      <c r="C440">
        <v>119</v>
      </c>
      <c r="D440">
        <v>1</v>
      </c>
      <c r="F440">
        <v>7.23</v>
      </c>
      <c r="H440">
        <v>45</v>
      </c>
      <c r="J440">
        <f t="shared" si="22"/>
        <v>0.73306479866227292</v>
      </c>
      <c r="K440" s="2" t="s">
        <v>2156</v>
      </c>
      <c r="L440" s="17">
        <v>0.01</v>
      </c>
      <c r="M440" s="2">
        <v>0</v>
      </c>
      <c r="N440" s="2">
        <f t="shared" si="21"/>
        <v>0</v>
      </c>
    </row>
    <row r="441" spans="1:14" x14ac:dyDescent="0.25">
      <c r="A441" s="12" t="s">
        <v>404</v>
      </c>
      <c r="C441">
        <v>119</v>
      </c>
      <c r="D441">
        <v>1</v>
      </c>
      <c r="G441">
        <v>10.23</v>
      </c>
      <c r="H441">
        <v>2</v>
      </c>
      <c r="I441">
        <v>88</v>
      </c>
      <c r="J441">
        <f t="shared" si="22"/>
        <v>0.36522501511259298</v>
      </c>
      <c r="K441" s="2" t="s">
        <v>2139</v>
      </c>
      <c r="L441" s="17">
        <v>1E-3</v>
      </c>
      <c r="M441" s="2">
        <v>0</v>
      </c>
      <c r="N441" s="2">
        <f t="shared" si="21"/>
        <v>0</v>
      </c>
    </row>
    <row r="442" spans="1:14" x14ac:dyDescent="0.25">
      <c r="A442" s="12" t="s">
        <v>405</v>
      </c>
      <c r="C442">
        <v>119</v>
      </c>
      <c r="D442">
        <v>1</v>
      </c>
      <c r="F442">
        <v>2.02</v>
      </c>
      <c r="H442">
        <v>45</v>
      </c>
      <c r="J442">
        <f t="shared" si="22"/>
        <v>0.28833497316091183</v>
      </c>
      <c r="K442" s="2" t="s">
        <v>2528</v>
      </c>
      <c r="L442" s="17">
        <v>4.9000000000000002E-2</v>
      </c>
      <c r="M442" s="2">
        <v>0</v>
      </c>
      <c r="N442" s="2">
        <f t="shared" si="21"/>
        <v>0</v>
      </c>
    </row>
    <row r="443" spans="1:14" x14ac:dyDescent="0.25">
      <c r="A443" s="12" t="s">
        <v>406</v>
      </c>
      <c r="C443">
        <v>119</v>
      </c>
      <c r="D443">
        <v>1</v>
      </c>
      <c r="F443">
        <v>3.02</v>
      </c>
      <c r="H443">
        <v>45</v>
      </c>
      <c r="J443">
        <f t="shared" si="22"/>
        <v>0.41051255506655787</v>
      </c>
      <c r="K443" s="2" t="s">
        <v>2156</v>
      </c>
      <c r="L443" s="17">
        <v>0.01</v>
      </c>
      <c r="M443" s="2">
        <v>0</v>
      </c>
      <c r="N443" s="2">
        <f t="shared" si="21"/>
        <v>0</v>
      </c>
    </row>
    <row r="444" spans="1:14" x14ac:dyDescent="0.25">
      <c r="A444" s="12" t="s">
        <v>407</v>
      </c>
      <c r="C444">
        <v>119</v>
      </c>
      <c r="D444">
        <v>1</v>
      </c>
      <c r="F444">
        <v>4.05</v>
      </c>
      <c r="H444">
        <v>45</v>
      </c>
      <c r="J444">
        <f t="shared" si="22"/>
        <v>0.51684699587899208</v>
      </c>
      <c r="K444" s="2" t="s">
        <v>2141</v>
      </c>
      <c r="L444" s="17">
        <v>1E-3</v>
      </c>
      <c r="M444" s="2">
        <v>0</v>
      </c>
      <c r="N444" s="2">
        <f t="shared" si="21"/>
        <v>0</v>
      </c>
    </row>
    <row r="445" spans="1:14" x14ac:dyDescent="0.25">
      <c r="A445" s="12" t="s">
        <v>408</v>
      </c>
      <c r="C445">
        <v>119</v>
      </c>
      <c r="D445">
        <v>1</v>
      </c>
      <c r="G445">
        <v>89.64</v>
      </c>
      <c r="H445">
        <v>1</v>
      </c>
      <c r="I445">
        <v>42.88</v>
      </c>
      <c r="J445">
        <f t="shared" si="22"/>
        <v>0.82245133583628838</v>
      </c>
      <c r="K445" s="2" t="s">
        <v>2139</v>
      </c>
      <c r="L445" s="17">
        <v>1E-3</v>
      </c>
      <c r="M445" s="2">
        <v>0</v>
      </c>
      <c r="N445" s="2">
        <f t="shared" si="21"/>
        <v>0</v>
      </c>
    </row>
    <row r="446" spans="1:14" x14ac:dyDescent="0.25">
      <c r="A446" s="12" t="s">
        <v>409</v>
      </c>
      <c r="C446">
        <v>119</v>
      </c>
      <c r="D446">
        <v>1</v>
      </c>
      <c r="F446">
        <v>9.9700000000000006</v>
      </c>
      <c r="H446">
        <v>45</v>
      </c>
      <c r="J446">
        <f t="shared" si="22"/>
        <v>0.82967921106700826</v>
      </c>
      <c r="K446" s="2" t="s">
        <v>2136</v>
      </c>
      <c r="L446" s="17">
        <v>1E-3</v>
      </c>
      <c r="M446" s="2">
        <v>0</v>
      </c>
      <c r="N446" s="2">
        <f t="shared" si="21"/>
        <v>0</v>
      </c>
    </row>
    <row r="447" spans="1:14" x14ac:dyDescent="0.25">
      <c r="A447" s="12" t="s">
        <v>410</v>
      </c>
      <c r="C447">
        <v>119</v>
      </c>
      <c r="D447">
        <v>1</v>
      </c>
      <c r="F447">
        <v>9.6300000000000008</v>
      </c>
      <c r="H447">
        <v>45</v>
      </c>
      <c r="J447">
        <f t="shared" si="22"/>
        <v>0.82054260344827901</v>
      </c>
      <c r="K447" s="2" t="s">
        <v>2139</v>
      </c>
      <c r="L447" s="17">
        <v>1E-3</v>
      </c>
      <c r="M447" s="2">
        <v>0</v>
      </c>
      <c r="N447" s="2">
        <f t="shared" si="21"/>
        <v>0</v>
      </c>
    </row>
    <row r="448" spans="1:14" x14ac:dyDescent="0.25">
      <c r="A448" s="12" t="s">
        <v>411</v>
      </c>
      <c r="C448">
        <v>119</v>
      </c>
      <c r="D448">
        <v>1</v>
      </c>
      <c r="F448">
        <v>5.26</v>
      </c>
      <c r="H448">
        <v>45</v>
      </c>
      <c r="J448">
        <f t="shared" ref="J448:J454" si="23">IF(NOT(ISBLANK(F448)),SQRT((F448^2*1/H448)/(F448^2*1/H448+1)),IF(NOT(ISBLANK(G448)),SQRT((G448*H448/I448)/(G448*H448/I448+1)*SQRT(1/H448))))</f>
        <v>0.61704286619967186</v>
      </c>
      <c r="K448" s="2" t="s">
        <v>2139</v>
      </c>
      <c r="L448" s="17">
        <v>1E-3</v>
      </c>
      <c r="M448" s="2">
        <v>0</v>
      </c>
      <c r="N448" s="2">
        <f t="shared" si="21"/>
        <v>0</v>
      </c>
    </row>
    <row r="449" spans="1:15" x14ac:dyDescent="0.25">
      <c r="A449" s="12" t="s">
        <v>412</v>
      </c>
      <c r="C449">
        <v>119</v>
      </c>
      <c r="D449">
        <v>1</v>
      </c>
      <c r="G449">
        <v>89.64</v>
      </c>
      <c r="H449">
        <v>2</v>
      </c>
      <c r="I449">
        <v>88</v>
      </c>
      <c r="J449">
        <f t="shared" si="23"/>
        <v>0.68869224322493716</v>
      </c>
      <c r="K449" s="2" t="s">
        <v>2141</v>
      </c>
      <c r="L449" s="17">
        <v>1E-3</v>
      </c>
      <c r="M449" s="2">
        <v>0</v>
      </c>
      <c r="N449" s="2">
        <f t="shared" si="21"/>
        <v>0</v>
      </c>
    </row>
    <row r="450" spans="1:15" x14ac:dyDescent="0.25">
      <c r="A450" s="12" t="s">
        <v>413</v>
      </c>
      <c r="C450">
        <v>119</v>
      </c>
      <c r="D450">
        <v>1</v>
      </c>
      <c r="F450">
        <v>4.8099999999999996</v>
      </c>
      <c r="H450">
        <v>45</v>
      </c>
      <c r="J450">
        <f t="shared" si="23"/>
        <v>0.58271532591396702</v>
      </c>
      <c r="K450" s="2" t="s">
        <v>2139</v>
      </c>
      <c r="L450" s="17">
        <v>1E-3</v>
      </c>
      <c r="M450" s="2">
        <v>0</v>
      </c>
      <c r="N450" s="2">
        <f t="shared" si="21"/>
        <v>0</v>
      </c>
    </row>
    <row r="451" spans="1:15" x14ac:dyDescent="0.25">
      <c r="A451" s="12" t="s">
        <v>414</v>
      </c>
      <c r="C451">
        <v>119</v>
      </c>
      <c r="D451">
        <v>1</v>
      </c>
      <c r="F451">
        <v>13.1</v>
      </c>
      <c r="H451">
        <v>45</v>
      </c>
      <c r="J451">
        <f t="shared" si="23"/>
        <v>0.89008615233060617</v>
      </c>
      <c r="K451" s="2" t="s">
        <v>2141</v>
      </c>
      <c r="L451" s="17">
        <v>1E-3</v>
      </c>
      <c r="M451" s="2">
        <v>0</v>
      </c>
      <c r="N451" s="2">
        <f t="shared" si="21"/>
        <v>0</v>
      </c>
    </row>
    <row r="452" spans="1:15" x14ac:dyDescent="0.25">
      <c r="A452" s="12" t="s">
        <v>415</v>
      </c>
      <c r="C452">
        <v>119</v>
      </c>
      <c r="D452">
        <v>1</v>
      </c>
      <c r="G452">
        <v>10.23</v>
      </c>
      <c r="H452">
        <v>2</v>
      </c>
      <c r="I452">
        <v>88</v>
      </c>
      <c r="J452">
        <f t="shared" si="23"/>
        <v>0.36522501511259298</v>
      </c>
      <c r="K452" s="2" t="s">
        <v>2141</v>
      </c>
      <c r="L452" s="17">
        <v>1E-3</v>
      </c>
      <c r="M452" s="2">
        <v>0</v>
      </c>
      <c r="N452" s="2">
        <f t="shared" si="21"/>
        <v>0</v>
      </c>
    </row>
    <row r="453" spans="1:15" x14ac:dyDescent="0.25">
      <c r="A453" s="12" t="s">
        <v>416</v>
      </c>
      <c r="C453">
        <v>119</v>
      </c>
      <c r="D453">
        <v>1</v>
      </c>
      <c r="G453">
        <v>5.69</v>
      </c>
      <c r="H453">
        <v>2</v>
      </c>
      <c r="I453">
        <v>88</v>
      </c>
      <c r="J453">
        <f t="shared" si="23"/>
        <v>0.28455363374235831</v>
      </c>
      <c r="K453" s="2" t="s">
        <v>2524</v>
      </c>
      <c r="L453" s="17">
        <v>0.01</v>
      </c>
      <c r="M453" s="2">
        <v>0</v>
      </c>
      <c r="N453" s="2">
        <f t="shared" si="21"/>
        <v>0</v>
      </c>
    </row>
    <row r="454" spans="1:15" x14ac:dyDescent="0.25">
      <c r="A454" s="12" t="s">
        <v>417</v>
      </c>
      <c r="C454">
        <v>119</v>
      </c>
      <c r="D454">
        <v>1</v>
      </c>
      <c r="F454">
        <v>6.24</v>
      </c>
      <c r="H454">
        <v>45</v>
      </c>
      <c r="J454">
        <f t="shared" si="23"/>
        <v>0.6810928418765293</v>
      </c>
      <c r="K454" s="2" t="s">
        <v>2156</v>
      </c>
      <c r="L454" s="17">
        <v>0.01</v>
      </c>
      <c r="M454" s="2">
        <v>0</v>
      </c>
      <c r="N454" s="2">
        <f t="shared" si="21"/>
        <v>0</v>
      </c>
    </row>
    <row r="455" spans="1:15" x14ac:dyDescent="0.25">
      <c r="A455" s="12" t="s">
        <v>418</v>
      </c>
      <c r="C455">
        <v>119</v>
      </c>
      <c r="D455">
        <v>1</v>
      </c>
      <c r="J455">
        <v>0.39</v>
      </c>
      <c r="K455" s="2">
        <v>5.9569999999999998E-2</v>
      </c>
      <c r="L455" s="17">
        <v>5.9569999999999998E-2</v>
      </c>
    </row>
    <row r="456" spans="1:15" x14ac:dyDescent="0.25">
      <c r="A456" s="12" t="s">
        <v>419</v>
      </c>
      <c r="C456">
        <v>121</v>
      </c>
      <c r="D456">
        <v>1</v>
      </c>
      <c r="E456">
        <v>0</v>
      </c>
      <c r="J456" t="b">
        <f>IF(NOT(ISBLANK(F456)),SQRT((F456^2*1/H456)/(F456^2*1/H456+1)),IF(NOT(ISBLANK(G456)),SQRT((G456*H456/I456)/(G456*H456/I456+1)*SQRT(1/H456))))</f>
        <v>0</v>
      </c>
      <c r="K456" s="2">
        <v>0.02</v>
      </c>
      <c r="L456" s="17">
        <v>0.02</v>
      </c>
    </row>
    <row r="457" spans="1:15" x14ac:dyDescent="0.25">
      <c r="A457" s="12" t="s">
        <v>420</v>
      </c>
      <c r="C457">
        <v>121</v>
      </c>
      <c r="D457">
        <v>1</v>
      </c>
      <c r="E457">
        <v>0</v>
      </c>
      <c r="J457" t="b">
        <f>IF(NOT(ISBLANK(F457)),SQRT((F457^2*1/H457)/(F457^2*1/H457+1)),IF(NOT(ISBLANK(G457)),SQRT((G457*H457/I457)/(G457*H457/I457+1)*SQRT(1/H457))))</f>
        <v>0</v>
      </c>
      <c r="K457" s="2">
        <v>0.03</v>
      </c>
      <c r="L457" s="17">
        <v>0.03</v>
      </c>
    </row>
    <row r="458" spans="1:15" x14ac:dyDescent="0.25">
      <c r="A458" s="12" t="s">
        <v>421</v>
      </c>
      <c r="C458">
        <v>121</v>
      </c>
      <c r="D458">
        <v>1</v>
      </c>
      <c r="J458">
        <v>0.23</v>
      </c>
      <c r="K458" s="2" t="s">
        <v>2526</v>
      </c>
      <c r="L458" s="17">
        <v>4.9000000000000002E-2</v>
      </c>
    </row>
    <row r="459" spans="1:15" x14ac:dyDescent="0.25">
      <c r="A459" s="12" t="s">
        <v>422</v>
      </c>
      <c r="C459">
        <v>121</v>
      </c>
      <c r="D459">
        <v>1</v>
      </c>
      <c r="J459">
        <v>0.32</v>
      </c>
      <c r="K459" s="2" t="s">
        <v>2519</v>
      </c>
      <c r="L459" s="17">
        <v>1E-3</v>
      </c>
    </row>
    <row r="460" spans="1:15" x14ac:dyDescent="0.25">
      <c r="A460" s="12" t="s">
        <v>423</v>
      </c>
      <c r="C460">
        <v>121</v>
      </c>
      <c r="D460">
        <v>1</v>
      </c>
      <c r="J460">
        <v>0.18</v>
      </c>
      <c r="K460" s="2" t="s">
        <v>2526</v>
      </c>
      <c r="L460" s="17">
        <v>4.9000000000000002E-2</v>
      </c>
    </row>
    <row r="461" spans="1:15" x14ac:dyDescent="0.25">
      <c r="A461" s="12" t="s">
        <v>424</v>
      </c>
      <c r="C461">
        <v>121</v>
      </c>
      <c r="D461">
        <v>1</v>
      </c>
      <c r="J461">
        <v>0.28000000000000003</v>
      </c>
      <c r="K461" s="2" t="s">
        <v>2520</v>
      </c>
      <c r="L461" s="17">
        <v>0.01</v>
      </c>
    </row>
    <row r="462" spans="1:15" x14ac:dyDescent="0.25">
      <c r="A462" s="12" t="s">
        <v>425</v>
      </c>
      <c r="C462">
        <v>121</v>
      </c>
      <c r="D462">
        <v>1</v>
      </c>
      <c r="J462">
        <v>0.22</v>
      </c>
      <c r="K462" s="2" t="s">
        <v>2526</v>
      </c>
      <c r="L462" s="17">
        <v>4.9000000000000002E-2</v>
      </c>
    </row>
    <row r="463" spans="1:15" x14ac:dyDescent="0.25">
      <c r="A463" s="12" t="s">
        <v>426</v>
      </c>
      <c r="C463">
        <v>121</v>
      </c>
      <c r="D463">
        <v>2</v>
      </c>
      <c r="E463">
        <v>0</v>
      </c>
      <c r="J463" t="b">
        <f t="shared" ref="J463:J477" si="24">IF(NOT(ISBLANK(F463)),SQRT((F463^2*1/H463)/(F463^2*1/H463+1)),IF(NOT(ISBLANK(G463)),SQRT((G463*H463/I463)/(G463*H463/I463+1)*SQRT(1/H463))))</f>
        <v>0</v>
      </c>
      <c r="K463" s="2">
        <v>0.09</v>
      </c>
      <c r="L463" s="17">
        <v>0.09</v>
      </c>
      <c r="O463" t="s">
        <v>2154</v>
      </c>
    </row>
    <row r="464" spans="1:15" x14ac:dyDescent="0.25">
      <c r="A464" s="12" t="s">
        <v>427</v>
      </c>
      <c r="C464">
        <v>121</v>
      </c>
      <c r="D464">
        <v>2</v>
      </c>
      <c r="E464">
        <v>0</v>
      </c>
      <c r="J464" t="b">
        <f t="shared" si="24"/>
        <v>0</v>
      </c>
      <c r="K464" s="2" t="s">
        <v>2519</v>
      </c>
      <c r="L464" s="17">
        <v>1E-3</v>
      </c>
    </row>
    <row r="465" spans="1:15" x14ac:dyDescent="0.25">
      <c r="A465" s="12" t="s">
        <v>428</v>
      </c>
      <c r="C465">
        <v>127</v>
      </c>
      <c r="D465">
        <v>1</v>
      </c>
      <c r="G465">
        <v>0.79</v>
      </c>
      <c r="H465">
        <v>2</v>
      </c>
      <c r="I465">
        <v>144</v>
      </c>
      <c r="J465">
        <f t="shared" si="24"/>
        <v>8.7603243675551126E-2</v>
      </c>
      <c r="K465" s="2" t="s">
        <v>2145</v>
      </c>
      <c r="L465" s="17">
        <v>0.999</v>
      </c>
      <c r="M465" s="2" t="s">
        <v>2558</v>
      </c>
      <c r="N465" s="2" t="s">
        <v>2558</v>
      </c>
      <c r="O465" t="s">
        <v>2135</v>
      </c>
    </row>
    <row r="466" spans="1:15" x14ac:dyDescent="0.25">
      <c r="A466" s="12" t="s">
        <v>429</v>
      </c>
      <c r="C466">
        <v>127</v>
      </c>
      <c r="D466">
        <v>1</v>
      </c>
      <c r="G466">
        <v>0.57999999999999996</v>
      </c>
      <c r="H466">
        <v>2</v>
      </c>
      <c r="I466">
        <v>114</v>
      </c>
      <c r="J466">
        <f t="shared" si="24"/>
        <v>8.4395767608795594E-2</v>
      </c>
      <c r="K466" s="2" t="s">
        <v>2145</v>
      </c>
      <c r="L466" s="17">
        <v>0.999</v>
      </c>
      <c r="M466" s="2" t="s">
        <v>2558</v>
      </c>
      <c r="N466" s="2" t="s">
        <v>2558</v>
      </c>
      <c r="O466" t="s">
        <v>2135</v>
      </c>
    </row>
    <row r="467" spans="1:15" x14ac:dyDescent="0.25">
      <c r="A467" s="12" t="s">
        <v>430</v>
      </c>
      <c r="C467">
        <v>127</v>
      </c>
      <c r="D467">
        <v>1</v>
      </c>
      <c r="G467">
        <v>0.33</v>
      </c>
      <c r="H467">
        <v>2</v>
      </c>
      <c r="I467">
        <v>114</v>
      </c>
      <c r="J467">
        <f t="shared" si="24"/>
        <v>6.3798210930839913E-2</v>
      </c>
      <c r="K467" s="2" t="s">
        <v>2145</v>
      </c>
      <c r="L467" s="17">
        <v>0.999</v>
      </c>
      <c r="M467" s="2" t="s">
        <v>2558</v>
      </c>
      <c r="N467" s="2" t="s">
        <v>2558</v>
      </c>
      <c r="O467" t="s">
        <v>2135</v>
      </c>
    </row>
    <row r="468" spans="1:15" x14ac:dyDescent="0.25">
      <c r="A468" s="12" t="s">
        <v>431</v>
      </c>
      <c r="C468">
        <v>127</v>
      </c>
      <c r="D468">
        <v>1</v>
      </c>
      <c r="G468">
        <v>41.7</v>
      </c>
      <c r="H468">
        <v>2</v>
      </c>
      <c r="I468">
        <v>114</v>
      </c>
      <c r="J468">
        <f t="shared" si="24"/>
        <v>0.54657775466943737</v>
      </c>
      <c r="K468" s="2" t="s">
        <v>2139</v>
      </c>
      <c r="L468" s="17">
        <v>1E-3</v>
      </c>
      <c r="M468" s="2">
        <v>0</v>
      </c>
      <c r="N468" s="2">
        <f t="shared" ref="N468:N476" si="25">IF(M468=0, 0)</f>
        <v>0</v>
      </c>
    </row>
    <row r="469" spans="1:15" x14ac:dyDescent="0.25">
      <c r="A469" s="12" t="s">
        <v>432</v>
      </c>
      <c r="C469">
        <v>127</v>
      </c>
      <c r="D469">
        <v>1</v>
      </c>
      <c r="F469">
        <v>6.7</v>
      </c>
      <c r="H469">
        <v>57</v>
      </c>
      <c r="J469">
        <f t="shared" si="24"/>
        <v>0.66375685845122112</v>
      </c>
      <c r="K469" s="2" t="s">
        <v>2139</v>
      </c>
      <c r="L469" s="17">
        <v>1E-3</v>
      </c>
      <c r="M469" s="2">
        <v>0</v>
      </c>
      <c r="N469" s="2">
        <f t="shared" si="25"/>
        <v>0</v>
      </c>
    </row>
    <row r="470" spans="1:15" x14ac:dyDescent="0.25">
      <c r="A470" s="12" t="s">
        <v>433</v>
      </c>
      <c r="C470">
        <v>127</v>
      </c>
      <c r="D470">
        <v>1</v>
      </c>
      <c r="F470">
        <v>7.86</v>
      </c>
      <c r="H470">
        <v>57</v>
      </c>
      <c r="J470">
        <f t="shared" si="24"/>
        <v>0.72119318944357969</v>
      </c>
      <c r="K470" s="2" t="s">
        <v>2139</v>
      </c>
      <c r="L470" s="17">
        <v>1E-3</v>
      </c>
      <c r="M470" s="2">
        <v>0</v>
      </c>
      <c r="N470" s="2">
        <f t="shared" si="25"/>
        <v>0</v>
      </c>
    </row>
    <row r="471" spans="1:15" x14ac:dyDescent="0.25">
      <c r="A471" s="12" t="s">
        <v>434</v>
      </c>
      <c r="C471">
        <v>127</v>
      </c>
      <c r="D471">
        <v>1</v>
      </c>
      <c r="F471">
        <v>0.35</v>
      </c>
      <c r="H471">
        <v>57</v>
      </c>
      <c r="J471">
        <f t="shared" si="24"/>
        <v>4.6308897450775932E-2</v>
      </c>
      <c r="K471" s="2" t="s">
        <v>2145</v>
      </c>
      <c r="L471" s="17">
        <v>0.999</v>
      </c>
      <c r="M471" s="2" t="s">
        <v>2558</v>
      </c>
      <c r="N471" s="2" t="s">
        <v>2558</v>
      </c>
      <c r="O471" t="s">
        <v>2135</v>
      </c>
    </row>
    <row r="472" spans="1:15" x14ac:dyDescent="0.25">
      <c r="A472" s="12" t="s">
        <v>435</v>
      </c>
      <c r="C472">
        <v>127</v>
      </c>
      <c r="D472">
        <v>1</v>
      </c>
      <c r="G472">
        <v>38.46</v>
      </c>
      <c r="H472">
        <v>1</v>
      </c>
      <c r="I472">
        <v>57</v>
      </c>
      <c r="J472">
        <f t="shared" si="24"/>
        <v>0.63473716084406118</v>
      </c>
      <c r="K472" s="2" t="s">
        <v>2136</v>
      </c>
      <c r="L472" s="17">
        <v>1E-3</v>
      </c>
      <c r="M472" s="2">
        <v>0</v>
      </c>
      <c r="N472" s="2">
        <f t="shared" si="25"/>
        <v>0</v>
      </c>
    </row>
    <row r="473" spans="1:15" x14ac:dyDescent="0.25">
      <c r="A473" s="12" t="s">
        <v>436</v>
      </c>
      <c r="C473">
        <v>127</v>
      </c>
      <c r="D473">
        <v>1</v>
      </c>
      <c r="G473">
        <v>0.78</v>
      </c>
      <c r="H473">
        <v>2</v>
      </c>
      <c r="I473">
        <v>114</v>
      </c>
      <c r="J473">
        <f t="shared" si="24"/>
        <v>9.770145550881594E-2</v>
      </c>
      <c r="K473" s="2">
        <v>0.46</v>
      </c>
      <c r="L473" s="17">
        <v>0.46</v>
      </c>
      <c r="M473" s="2">
        <v>0</v>
      </c>
      <c r="N473" s="2">
        <f t="shared" si="25"/>
        <v>0</v>
      </c>
    </row>
    <row r="474" spans="1:15" x14ac:dyDescent="0.25">
      <c r="A474" s="12" t="s">
        <v>437</v>
      </c>
      <c r="C474">
        <v>127</v>
      </c>
      <c r="D474">
        <v>1</v>
      </c>
      <c r="G474">
        <v>6.34</v>
      </c>
      <c r="H474">
        <v>2</v>
      </c>
      <c r="I474">
        <v>114</v>
      </c>
      <c r="J474">
        <f t="shared" si="24"/>
        <v>0.26604071141725172</v>
      </c>
      <c r="K474" s="2">
        <v>2E-3</v>
      </c>
      <c r="L474" s="17">
        <v>2E-3</v>
      </c>
      <c r="M474" s="2">
        <v>0</v>
      </c>
      <c r="N474" s="2">
        <f t="shared" si="25"/>
        <v>0</v>
      </c>
    </row>
    <row r="475" spans="1:15" x14ac:dyDescent="0.25">
      <c r="A475" s="12" t="s">
        <v>438</v>
      </c>
      <c r="C475">
        <v>127</v>
      </c>
      <c r="D475">
        <v>1</v>
      </c>
      <c r="F475">
        <v>2.75</v>
      </c>
      <c r="H475">
        <v>57</v>
      </c>
      <c r="J475">
        <f t="shared" si="24"/>
        <v>0.34224926520788029</v>
      </c>
      <c r="K475" s="2">
        <v>8.0000000000000002E-3</v>
      </c>
      <c r="L475" s="17">
        <v>8.0000000000000002E-3</v>
      </c>
      <c r="M475" s="2">
        <v>0</v>
      </c>
      <c r="N475" s="2">
        <f t="shared" si="25"/>
        <v>0</v>
      </c>
    </row>
    <row r="476" spans="1:15" x14ac:dyDescent="0.25">
      <c r="A476" s="12" t="s">
        <v>439</v>
      </c>
      <c r="C476">
        <v>127</v>
      </c>
      <c r="D476">
        <v>1</v>
      </c>
      <c r="F476">
        <v>3.36</v>
      </c>
      <c r="H476">
        <v>57</v>
      </c>
      <c r="J476">
        <f t="shared" si="24"/>
        <v>0.4065949618390528</v>
      </c>
      <c r="K476" s="2">
        <v>1E-3</v>
      </c>
      <c r="L476" s="17">
        <v>1E-3</v>
      </c>
      <c r="M476" s="2">
        <v>0</v>
      </c>
      <c r="N476" s="2">
        <f t="shared" si="25"/>
        <v>0</v>
      </c>
    </row>
    <row r="477" spans="1:15" x14ac:dyDescent="0.25">
      <c r="A477" s="12" t="s">
        <v>440</v>
      </c>
      <c r="C477">
        <v>127</v>
      </c>
      <c r="D477">
        <v>1</v>
      </c>
      <c r="F477">
        <v>0.54</v>
      </c>
      <c r="H477">
        <v>57</v>
      </c>
      <c r="J477">
        <f t="shared" si="24"/>
        <v>7.1342493488560088E-2</v>
      </c>
      <c r="K477" s="2" t="s">
        <v>2145</v>
      </c>
      <c r="L477" s="17">
        <v>0.999</v>
      </c>
      <c r="M477" s="2" t="s">
        <v>2558</v>
      </c>
      <c r="N477" s="2" t="s">
        <v>2558</v>
      </c>
      <c r="O477" t="s">
        <v>2135</v>
      </c>
    </row>
    <row r="478" spans="1:15" x14ac:dyDescent="0.25">
      <c r="A478" s="12" t="s">
        <v>441</v>
      </c>
      <c r="C478">
        <v>127</v>
      </c>
      <c r="D478">
        <v>1</v>
      </c>
      <c r="J478">
        <v>0.35</v>
      </c>
      <c r="K478" s="2">
        <v>7.0000000000000001E-3</v>
      </c>
      <c r="L478" s="17">
        <v>7.0000000000000001E-3</v>
      </c>
    </row>
    <row r="479" spans="1:15" x14ac:dyDescent="0.25">
      <c r="A479" s="12" t="s">
        <v>442</v>
      </c>
      <c r="C479">
        <v>127</v>
      </c>
      <c r="D479">
        <v>1</v>
      </c>
      <c r="J479">
        <v>-0.04</v>
      </c>
      <c r="K479" s="2" t="s">
        <v>2145</v>
      </c>
      <c r="L479" s="17">
        <v>0.999</v>
      </c>
    </row>
    <row r="480" spans="1:15" x14ac:dyDescent="0.25">
      <c r="A480" s="12" t="s">
        <v>443</v>
      </c>
      <c r="C480">
        <v>127</v>
      </c>
      <c r="D480">
        <v>1</v>
      </c>
      <c r="J480">
        <v>0.04</v>
      </c>
      <c r="K480" s="2" t="s">
        <v>2145</v>
      </c>
      <c r="L480" s="17">
        <v>0.999</v>
      </c>
    </row>
    <row r="481" spans="1:15" x14ac:dyDescent="0.25">
      <c r="A481" s="12" t="s">
        <v>444</v>
      </c>
      <c r="C481">
        <v>127</v>
      </c>
      <c r="D481">
        <v>1</v>
      </c>
      <c r="J481">
        <v>0.33</v>
      </c>
      <c r="K481" s="2">
        <v>1.2E-2</v>
      </c>
      <c r="L481" s="17">
        <v>1.2E-2</v>
      </c>
    </row>
    <row r="482" spans="1:15" x14ac:dyDescent="0.25">
      <c r="A482" s="12" t="s">
        <v>445</v>
      </c>
      <c r="C482">
        <v>127</v>
      </c>
      <c r="D482">
        <v>1</v>
      </c>
      <c r="J482">
        <v>0.3</v>
      </c>
      <c r="K482" s="2">
        <v>2.3E-2</v>
      </c>
      <c r="L482" s="17">
        <v>2.3E-2</v>
      </c>
    </row>
    <row r="483" spans="1:15" x14ac:dyDescent="0.25">
      <c r="A483" s="12" t="s">
        <v>446</v>
      </c>
      <c r="C483">
        <v>127</v>
      </c>
      <c r="D483">
        <v>1</v>
      </c>
      <c r="J483">
        <v>0.26</v>
      </c>
      <c r="K483" s="2" t="s">
        <v>2145</v>
      </c>
      <c r="L483" s="17">
        <v>0.999</v>
      </c>
    </row>
    <row r="484" spans="1:15" x14ac:dyDescent="0.25">
      <c r="A484" s="12" t="s">
        <v>447</v>
      </c>
      <c r="C484">
        <v>133</v>
      </c>
      <c r="D484">
        <v>1</v>
      </c>
      <c r="E484">
        <v>0</v>
      </c>
      <c r="J484" t="b">
        <f t="shared" ref="J484:J495" si="26">IF(NOT(ISBLANK(F484)),SQRT((F484^2*1/H484)/(F484^2*1/H484+1)),IF(NOT(ISBLANK(G484)),SQRT((G484*H484/I484)/(G484*H484/I484+1)*SQRT(1/H484))))</f>
        <v>0</v>
      </c>
      <c r="K484" s="2">
        <v>3.5000000000000003E-2</v>
      </c>
      <c r="L484" s="17">
        <v>3.5000000000000003E-2</v>
      </c>
    </row>
    <row r="485" spans="1:15" x14ac:dyDescent="0.25">
      <c r="A485" s="12" t="s">
        <v>448</v>
      </c>
      <c r="C485">
        <v>133</v>
      </c>
      <c r="D485">
        <v>1</v>
      </c>
      <c r="E485">
        <v>0</v>
      </c>
      <c r="J485" t="b">
        <f t="shared" si="26"/>
        <v>0</v>
      </c>
      <c r="K485" s="2">
        <v>0.01</v>
      </c>
      <c r="L485" s="17">
        <v>0.01</v>
      </c>
    </row>
    <row r="486" spans="1:15" x14ac:dyDescent="0.25">
      <c r="A486" s="12" t="s">
        <v>449</v>
      </c>
      <c r="C486">
        <v>133</v>
      </c>
      <c r="D486">
        <v>1</v>
      </c>
      <c r="E486">
        <v>0</v>
      </c>
      <c r="J486" t="b">
        <f t="shared" si="26"/>
        <v>0</v>
      </c>
      <c r="K486" s="2">
        <v>0.82099999999999995</v>
      </c>
      <c r="L486" s="17">
        <v>0.82099999999999995</v>
      </c>
    </row>
    <row r="487" spans="1:15" x14ac:dyDescent="0.25">
      <c r="A487" s="12" t="s">
        <v>450</v>
      </c>
      <c r="C487">
        <v>134</v>
      </c>
      <c r="D487">
        <v>1</v>
      </c>
      <c r="E487">
        <v>0</v>
      </c>
      <c r="J487" t="b">
        <f t="shared" si="26"/>
        <v>0</v>
      </c>
      <c r="K487" s="2" t="s">
        <v>2517</v>
      </c>
      <c r="L487" s="17">
        <v>1E-3</v>
      </c>
    </row>
    <row r="488" spans="1:15" x14ac:dyDescent="0.25">
      <c r="A488" s="12" t="s">
        <v>451</v>
      </c>
      <c r="C488">
        <v>134</v>
      </c>
      <c r="D488">
        <v>1</v>
      </c>
      <c r="F488">
        <v>12.97</v>
      </c>
      <c r="H488">
        <v>171</v>
      </c>
      <c r="J488">
        <f t="shared" si="26"/>
        <v>0.70420430394040623</v>
      </c>
      <c r="K488" s="2" t="s">
        <v>2517</v>
      </c>
      <c r="L488" s="17">
        <v>1E-3</v>
      </c>
      <c r="M488" s="2" t="s">
        <v>2558</v>
      </c>
      <c r="N488" s="2" t="s">
        <v>2558</v>
      </c>
      <c r="O488" t="s">
        <v>2135</v>
      </c>
    </row>
    <row r="489" spans="1:15" x14ac:dyDescent="0.25">
      <c r="A489" s="12" t="s">
        <v>452</v>
      </c>
      <c r="C489">
        <v>134</v>
      </c>
      <c r="D489">
        <v>1</v>
      </c>
      <c r="F489">
        <v>11.26</v>
      </c>
      <c r="H489">
        <v>128</v>
      </c>
      <c r="J489">
        <f t="shared" si="26"/>
        <v>0.70542240064648598</v>
      </c>
      <c r="K489" s="2" t="s">
        <v>2519</v>
      </c>
      <c r="L489" s="17">
        <v>1E-3</v>
      </c>
      <c r="M489" s="2" t="s">
        <v>2558</v>
      </c>
      <c r="N489" s="2" t="s">
        <v>2558</v>
      </c>
    </row>
    <row r="490" spans="1:15" x14ac:dyDescent="0.25">
      <c r="A490" s="12" t="s">
        <v>453</v>
      </c>
      <c r="C490">
        <v>134</v>
      </c>
      <c r="D490">
        <v>1</v>
      </c>
      <c r="F490">
        <v>1.83</v>
      </c>
      <c r="H490">
        <v>129</v>
      </c>
      <c r="J490">
        <f t="shared" si="26"/>
        <v>0.15907096718891475</v>
      </c>
      <c r="K490" s="2">
        <v>7.0000000000000007E-2</v>
      </c>
      <c r="L490" s="17">
        <v>7.0000000000000007E-2</v>
      </c>
      <c r="M490" s="2" t="s">
        <v>2558</v>
      </c>
      <c r="N490" s="2" t="s">
        <v>2558</v>
      </c>
    </row>
    <row r="491" spans="1:15" x14ac:dyDescent="0.25">
      <c r="A491" s="12" t="s">
        <v>454</v>
      </c>
      <c r="C491">
        <v>134</v>
      </c>
      <c r="D491">
        <v>1</v>
      </c>
      <c r="F491">
        <v>3.43</v>
      </c>
      <c r="H491">
        <v>130</v>
      </c>
      <c r="J491">
        <f t="shared" si="26"/>
        <v>0.28807778034013531</v>
      </c>
      <c r="K491" s="2" t="s">
        <v>2517</v>
      </c>
      <c r="L491" s="17">
        <v>1E-3</v>
      </c>
      <c r="M491" s="2" t="s">
        <v>2558</v>
      </c>
      <c r="N491" s="2" t="s">
        <v>2558</v>
      </c>
    </row>
    <row r="492" spans="1:15" x14ac:dyDescent="0.25">
      <c r="A492" s="12" t="s">
        <v>455</v>
      </c>
      <c r="C492">
        <v>134</v>
      </c>
      <c r="D492">
        <v>1</v>
      </c>
      <c r="F492">
        <v>1.35</v>
      </c>
      <c r="H492">
        <v>130</v>
      </c>
      <c r="J492">
        <f t="shared" si="26"/>
        <v>0.11758150010792819</v>
      </c>
      <c r="K492" s="2">
        <v>0.17899999999999999</v>
      </c>
      <c r="L492" s="17">
        <v>0.17899999999999999</v>
      </c>
      <c r="M492" s="2" t="s">
        <v>2558</v>
      </c>
      <c r="N492" s="2" t="s">
        <v>2558</v>
      </c>
    </row>
    <row r="493" spans="1:15" x14ac:dyDescent="0.25">
      <c r="A493" s="12" t="s">
        <v>456</v>
      </c>
      <c r="C493">
        <v>141</v>
      </c>
      <c r="D493">
        <v>1</v>
      </c>
      <c r="F493">
        <v>5.38</v>
      </c>
      <c r="H493">
        <v>114</v>
      </c>
      <c r="J493">
        <f t="shared" si="26"/>
        <v>0.44998568962420871</v>
      </c>
      <c r="K493" s="2" t="s">
        <v>2517</v>
      </c>
      <c r="L493" s="17">
        <v>1E-3</v>
      </c>
      <c r="M493" s="2" t="s">
        <v>2558</v>
      </c>
      <c r="N493" s="2" t="s">
        <v>2558</v>
      </c>
      <c r="O493" t="s">
        <v>2155</v>
      </c>
    </row>
    <row r="494" spans="1:15" x14ac:dyDescent="0.25">
      <c r="A494" s="12" t="s">
        <v>457</v>
      </c>
      <c r="C494">
        <v>141</v>
      </c>
      <c r="D494">
        <v>1</v>
      </c>
      <c r="F494">
        <v>-0.13</v>
      </c>
      <c r="H494">
        <v>114</v>
      </c>
      <c r="J494">
        <f t="shared" si="26"/>
        <v>1.217471316009058E-2</v>
      </c>
      <c r="K494" s="2">
        <v>0.89800000000000002</v>
      </c>
      <c r="L494" s="17">
        <v>0.89800000000000002</v>
      </c>
      <c r="M494" s="2" t="s">
        <v>2558</v>
      </c>
      <c r="N494" s="2" t="s">
        <v>2558</v>
      </c>
      <c r="O494" t="s">
        <v>2155</v>
      </c>
    </row>
    <row r="495" spans="1:15" x14ac:dyDescent="0.25">
      <c r="A495" s="12" t="s">
        <v>458</v>
      </c>
      <c r="C495">
        <v>141</v>
      </c>
      <c r="D495">
        <v>1</v>
      </c>
      <c r="F495">
        <v>-0.13</v>
      </c>
      <c r="H495">
        <v>114</v>
      </c>
      <c r="J495">
        <f t="shared" si="26"/>
        <v>1.217471316009058E-2</v>
      </c>
      <c r="K495" s="2">
        <v>0.89600000000000002</v>
      </c>
      <c r="L495" s="17">
        <v>0.89600000000000002</v>
      </c>
      <c r="M495" s="2" t="s">
        <v>2558</v>
      </c>
      <c r="N495" s="2" t="s">
        <v>2558</v>
      </c>
      <c r="O495" t="s">
        <v>2155</v>
      </c>
    </row>
    <row r="496" spans="1:15" x14ac:dyDescent="0.25">
      <c r="A496" s="12" t="s">
        <v>459</v>
      </c>
      <c r="C496">
        <v>141</v>
      </c>
      <c r="D496">
        <v>1</v>
      </c>
      <c r="J496">
        <v>0.37</v>
      </c>
      <c r="K496" s="2" t="s">
        <v>2517</v>
      </c>
      <c r="L496" s="17">
        <v>1E-3</v>
      </c>
    </row>
    <row r="497" spans="1:15" x14ac:dyDescent="0.25">
      <c r="A497" s="12" t="s">
        <v>460</v>
      </c>
      <c r="C497">
        <v>141</v>
      </c>
      <c r="D497">
        <v>1</v>
      </c>
      <c r="J497">
        <v>0.45</v>
      </c>
      <c r="K497" s="2" t="s">
        <v>2517</v>
      </c>
      <c r="L497" s="17">
        <v>1E-3</v>
      </c>
    </row>
    <row r="498" spans="1:15" x14ac:dyDescent="0.25">
      <c r="A498" s="12" t="s">
        <v>461</v>
      </c>
      <c r="C498">
        <v>141</v>
      </c>
      <c r="D498">
        <v>1</v>
      </c>
      <c r="F498">
        <v>-0.42</v>
      </c>
      <c r="H498">
        <v>114</v>
      </c>
      <c r="J498">
        <f t="shared" ref="J498:J514" si="27">IF(NOT(ISBLANK(F498)),SQRT((F498^2*1/H498)/(F498^2*1/H498+1)),IF(NOT(ISBLANK(G498)),SQRT((G498*H498/I498)/(G498*H498/I498+1)*SQRT(1/H498))))</f>
        <v>3.9306205251056596E-2</v>
      </c>
      <c r="K498" s="2">
        <v>0.67500000000000004</v>
      </c>
      <c r="L498" s="17">
        <v>0.67500000000000004</v>
      </c>
      <c r="M498" s="2" t="s">
        <v>2558</v>
      </c>
      <c r="N498" s="2" t="s">
        <v>2558</v>
      </c>
      <c r="O498" s="2"/>
    </row>
    <row r="499" spans="1:15" x14ac:dyDescent="0.25">
      <c r="A499" s="12" t="s">
        <v>462</v>
      </c>
      <c r="C499">
        <v>141</v>
      </c>
      <c r="D499">
        <v>1</v>
      </c>
      <c r="F499">
        <v>1.21</v>
      </c>
      <c r="H499">
        <v>114</v>
      </c>
      <c r="J499">
        <f t="shared" si="27"/>
        <v>0.11260609107227507</v>
      </c>
      <c r="K499" s="2">
        <v>0.22900000000000001</v>
      </c>
      <c r="L499" s="17">
        <v>0.22900000000000001</v>
      </c>
      <c r="M499" s="2" t="s">
        <v>2558</v>
      </c>
      <c r="N499" s="2" t="s">
        <v>2558</v>
      </c>
    </row>
    <row r="500" spans="1:15" x14ac:dyDescent="0.25">
      <c r="A500" s="12" t="s">
        <v>463</v>
      </c>
      <c r="C500">
        <v>149</v>
      </c>
      <c r="D500">
        <v>1</v>
      </c>
      <c r="F500">
        <v>5.67</v>
      </c>
      <c r="H500">
        <v>54</v>
      </c>
      <c r="J500">
        <f t="shared" si="27"/>
        <v>0.61088321259691392</v>
      </c>
      <c r="K500" s="2" t="s">
        <v>2517</v>
      </c>
      <c r="L500" s="17">
        <v>1E-3</v>
      </c>
      <c r="M500" s="2" t="s">
        <v>2558</v>
      </c>
      <c r="N500" s="2" t="s">
        <v>2558</v>
      </c>
      <c r="O500" t="s">
        <v>2135</v>
      </c>
    </row>
    <row r="501" spans="1:15" x14ac:dyDescent="0.25">
      <c r="A501" s="12" t="s">
        <v>464</v>
      </c>
      <c r="C501">
        <v>149</v>
      </c>
      <c r="D501">
        <v>1</v>
      </c>
      <c r="F501">
        <v>4.6500000000000004</v>
      </c>
      <c r="H501">
        <v>51</v>
      </c>
      <c r="J501">
        <f t="shared" si="27"/>
        <v>0.5456540151456345</v>
      </c>
      <c r="K501" s="2" t="s">
        <v>2517</v>
      </c>
      <c r="L501" s="17">
        <v>1E-3</v>
      </c>
      <c r="M501" s="2" t="s">
        <v>2558</v>
      </c>
      <c r="N501" s="2" t="s">
        <v>2558</v>
      </c>
    </row>
    <row r="502" spans="1:15" x14ac:dyDescent="0.25">
      <c r="A502" s="12" t="s">
        <v>465</v>
      </c>
      <c r="C502">
        <v>149</v>
      </c>
      <c r="D502">
        <v>1</v>
      </c>
      <c r="F502">
        <v>4.8099999999999996</v>
      </c>
      <c r="H502">
        <v>51</v>
      </c>
      <c r="J502">
        <f t="shared" si="27"/>
        <v>0.55863765817715461</v>
      </c>
      <c r="K502" s="2" t="s">
        <v>2517</v>
      </c>
      <c r="L502" s="17">
        <v>1E-3</v>
      </c>
      <c r="M502" s="2" t="s">
        <v>2558</v>
      </c>
      <c r="N502" s="2" t="s">
        <v>2558</v>
      </c>
    </row>
    <row r="503" spans="1:15" x14ac:dyDescent="0.25">
      <c r="A503" s="12" t="s">
        <v>466</v>
      </c>
      <c r="C503">
        <v>149</v>
      </c>
      <c r="D503">
        <v>1</v>
      </c>
      <c r="G503">
        <v>7.0000000000000007E-2</v>
      </c>
      <c r="H503">
        <v>2</v>
      </c>
      <c r="I503">
        <v>107</v>
      </c>
      <c r="J503">
        <f t="shared" si="27"/>
        <v>3.0396998209534214E-2</v>
      </c>
      <c r="K503" s="2">
        <v>0.93500000000000005</v>
      </c>
      <c r="L503" s="17">
        <v>0.93500000000000005</v>
      </c>
      <c r="M503" s="2" t="s">
        <v>2558</v>
      </c>
      <c r="N503" s="2" t="s">
        <v>2558</v>
      </c>
    </row>
    <row r="504" spans="1:15" x14ac:dyDescent="0.25">
      <c r="A504" s="12" t="s">
        <v>467</v>
      </c>
      <c r="C504">
        <v>149</v>
      </c>
      <c r="D504">
        <v>1</v>
      </c>
      <c r="E504">
        <v>0</v>
      </c>
      <c r="J504" t="b">
        <f t="shared" si="27"/>
        <v>0</v>
      </c>
    </row>
    <row r="505" spans="1:15" x14ac:dyDescent="0.25">
      <c r="A505" s="12" t="s">
        <v>468</v>
      </c>
      <c r="C505">
        <v>149</v>
      </c>
      <c r="D505">
        <v>1</v>
      </c>
      <c r="F505">
        <v>4.28</v>
      </c>
      <c r="H505">
        <v>40</v>
      </c>
      <c r="J505">
        <f t="shared" si="27"/>
        <v>0.56045528499434527</v>
      </c>
      <c r="K505" s="2" t="s">
        <v>2517</v>
      </c>
      <c r="L505" s="17">
        <v>1E-3</v>
      </c>
      <c r="M505" s="2" t="s">
        <v>2558</v>
      </c>
      <c r="N505" s="2" t="s">
        <v>2558</v>
      </c>
    </row>
    <row r="506" spans="1:15" x14ac:dyDescent="0.25">
      <c r="A506" s="12" t="s">
        <v>469</v>
      </c>
      <c r="C506">
        <v>149</v>
      </c>
      <c r="D506">
        <v>1</v>
      </c>
      <c r="F506">
        <v>3.44</v>
      </c>
      <c r="H506">
        <v>40</v>
      </c>
      <c r="J506">
        <f t="shared" si="27"/>
        <v>0.47780727296426001</v>
      </c>
      <c r="K506" s="2" t="s">
        <v>2517</v>
      </c>
      <c r="L506" s="17">
        <v>1E-3</v>
      </c>
      <c r="M506" s="2" t="s">
        <v>2558</v>
      </c>
      <c r="N506" s="2" t="s">
        <v>2558</v>
      </c>
    </row>
    <row r="507" spans="1:15" x14ac:dyDescent="0.25">
      <c r="A507" s="12" t="s">
        <v>470</v>
      </c>
      <c r="C507">
        <v>149</v>
      </c>
      <c r="D507">
        <v>1</v>
      </c>
      <c r="F507">
        <v>3.84</v>
      </c>
      <c r="H507">
        <v>40</v>
      </c>
      <c r="J507">
        <f t="shared" si="27"/>
        <v>0.51898716130844003</v>
      </c>
      <c r="K507" s="2" t="s">
        <v>2517</v>
      </c>
      <c r="L507" s="17">
        <v>1E-3</v>
      </c>
      <c r="M507" s="2" t="s">
        <v>2558</v>
      </c>
      <c r="N507" s="2" t="s">
        <v>2558</v>
      </c>
    </row>
    <row r="508" spans="1:15" x14ac:dyDescent="0.25">
      <c r="A508" s="12" t="s">
        <v>471</v>
      </c>
      <c r="C508">
        <v>149</v>
      </c>
      <c r="D508">
        <v>1</v>
      </c>
      <c r="F508">
        <v>0.22</v>
      </c>
      <c r="H508">
        <v>2</v>
      </c>
      <c r="I508">
        <v>80</v>
      </c>
      <c r="J508">
        <f t="shared" si="27"/>
        <v>0.15371466298845013</v>
      </c>
      <c r="K508" s="2">
        <v>0.80300000000000005</v>
      </c>
      <c r="L508" s="17">
        <v>0.80300000000000005</v>
      </c>
      <c r="M508" s="2" t="s">
        <v>2558</v>
      </c>
      <c r="N508" s="2" t="s">
        <v>2558</v>
      </c>
    </row>
    <row r="509" spans="1:15" x14ac:dyDescent="0.25">
      <c r="A509" s="12" t="s">
        <v>472</v>
      </c>
      <c r="C509">
        <v>149</v>
      </c>
      <c r="D509">
        <v>1</v>
      </c>
      <c r="E509">
        <v>0</v>
      </c>
      <c r="J509" t="b">
        <f t="shared" si="27"/>
        <v>0</v>
      </c>
    </row>
    <row r="510" spans="1:15" x14ac:dyDescent="0.25">
      <c r="A510" s="12" t="s">
        <v>473</v>
      </c>
      <c r="C510">
        <v>149</v>
      </c>
      <c r="D510">
        <v>1</v>
      </c>
      <c r="F510">
        <v>3.07</v>
      </c>
      <c r="H510">
        <v>31</v>
      </c>
      <c r="J510">
        <f t="shared" si="27"/>
        <v>0.48285184849657103</v>
      </c>
      <c r="K510" s="2">
        <v>4.0000000000000001E-3</v>
      </c>
      <c r="L510" s="17">
        <v>4.0000000000000001E-3</v>
      </c>
      <c r="M510" s="2" t="s">
        <v>2558</v>
      </c>
      <c r="N510" s="2" t="s">
        <v>2558</v>
      </c>
    </row>
    <row r="511" spans="1:15" x14ac:dyDescent="0.25">
      <c r="A511" s="12" t="s">
        <v>474</v>
      </c>
      <c r="C511">
        <v>149</v>
      </c>
      <c r="D511">
        <v>1</v>
      </c>
      <c r="F511">
        <v>3.59</v>
      </c>
      <c r="H511">
        <v>31</v>
      </c>
      <c r="J511">
        <f t="shared" si="27"/>
        <v>0.54190238032826266</v>
      </c>
      <c r="K511" s="2" t="s">
        <v>2141</v>
      </c>
      <c r="L511" s="17">
        <v>1E-3</v>
      </c>
      <c r="M511" s="2" t="s">
        <v>2558</v>
      </c>
      <c r="N511" s="2" t="s">
        <v>2558</v>
      </c>
    </row>
    <row r="512" spans="1:15" x14ac:dyDescent="0.25">
      <c r="A512" s="12" t="s">
        <v>475</v>
      </c>
      <c r="C512">
        <v>149</v>
      </c>
      <c r="D512">
        <v>1</v>
      </c>
      <c r="F512">
        <v>3.84</v>
      </c>
      <c r="H512">
        <v>31</v>
      </c>
      <c r="J512">
        <f t="shared" si="27"/>
        <v>0.56774923835229407</v>
      </c>
      <c r="K512" s="2">
        <v>5.0000000000000001E-3</v>
      </c>
      <c r="L512" s="17">
        <v>5.0000000000000001E-3</v>
      </c>
      <c r="M512" s="2" t="s">
        <v>2558</v>
      </c>
      <c r="N512" s="2" t="s">
        <v>2558</v>
      </c>
    </row>
    <row r="513" spans="1:15" x14ac:dyDescent="0.25">
      <c r="A513" s="12" t="s">
        <v>476</v>
      </c>
      <c r="C513">
        <v>149</v>
      </c>
      <c r="D513">
        <v>1</v>
      </c>
      <c r="G513">
        <v>0.4</v>
      </c>
      <c r="H513">
        <v>2</v>
      </c>
      <c r="I513">
        <v>62</v>
      </c>
      <c r="J513">
        <f t="shared" si="27"/>
        <v>9.4909060139925089E-2</v>
      </c>
      <c r="K513" s="2">
        <v>0.67500000000000004</v>
      </c>
      <c r="L513" s="17">
        <v>0.67500000000000004</v>
      </c>
      <c r="M513" s="2" t="s">
        <v>2558</v>
      </c>
      <c r="N513" s="2" t="s">
        <v>2558</v>
      </c>
    </row>
    <row r="514" spans="1:15" x14ac:dyDescent="0.25">
      <c r="A514" s="12" t="s">
        <v>477</v>
      </c>
      <c r="C514">
        <v>149</v>
      </c>
      <c r="D514">
        <v>0</v>
      </c>
      <c r="J514" t="b">
        <f t="shared" si="27"/>
        <v>0</v>
      </c>
    </row>
    <row r="515" spans="1:15" x14ac:dyDescent="0.25">
      <c r="A515" s="12" t="s">
        <v>2445</v>
      </c>
      <c r="C515">
        <v>150</v>
      </c>
      <c r="D515">
        <v>1</v>
      </c>
      <c r="E515">
        <v>0</v>
      </c>
      <c r="J515" t="b">
        <f t="shared" ref="J515:J516" si="28">IF(NOT(ISBLANK(F515)),SQRT((F515^2*1/H515)/(F515^2*1/H515+1)),IF(NOT(ISBLANK(G515)),SQRT((G515*H515/I515)/(G515*H515/I515+1)*SQRT(1/H515))))</f>
        <v>0</v>
      </c>
      <c r="K515" s="2">
        <v>4.2999999999999997E-2</v>
      </c>
      <c r="L515" s="17">
        <v>4.2999999999999997E-2</v>
      </c>
    </row>
    <row r="516" spans="1:15" x14ac:dyDescent="0.25">
      <c r="A516" s="12" t="s">
        <v>2446</v>
      </c>
      <c r="C516">
        <v>150</v>
      </c>
      <c r="D516">
        <v>1</v>
      </c>
      <c r="E516">
        <v>0</v>
      </c>
      <c r="J516" t="b">
        <f t="shared" si="28"/>
        <v>0</v>
      </c>
      <c r="K516" s="2">
        <v>0.14000000000000001</v>
      </c>
      <c r="L516" s="17">
        <v>0.14000000000000001</v>
      </c>
    </row>
    <row r="517" spans="1:15" x14ac:dyDescent="0.25">
      <c r="A517" s="12" t="s">
        <v>478</v>
      </c>
      <c r="C517">
        <v>152</v>
      </c>
      <c r="D517">
        <v>1</v>
      </c>
      <c r="G517">
        <v>17.95</v>
      </c>
      <c r="H517">
        <v>1</v>
      </c>
      <c r="I517">
        <v>26</v>
      </c>
      <c r="J517">
        <f t="shared" ref="J517:J548" si="29">IF(NOT(ISBLANK(F517)),SQRT((F517^2*1/H517)/(F517^2*1/H517+1)),IF(NOT(ISBLANK(G517)),SQRT((G517*H517/I517)/(G517*H517/I517+1)*SQRT(1/H517))))</f>
        <v>0.63907640980200109</v>
      </c>
      <c r="K517" s="2">
        <v>1E-3</v>
      </c>
      <c r="L517" s="17">
        <v>1E-3</v>
      </c>
      <c r="M517" s="2" t="s">
        <v>2558</v>
      </c>
      <c r="N517" s="2" t="s">
        <v>2558</v>
      </c>
      <c r="O517" t="s">
        <v>2135</v>
      </c>
    </row>
    <row r="518" spans="1:15" x14ac:dyDescent="0.25">
      <c r="A518" s="12" t="s">
        <v>479</v>
      </c>
      <c r="C518">
        <v>152</v>
      </c>
      <c r="D518">
        <v>1</v>
      </c>
      <c r="G518">
        <v>28.55</v>
      </c>
      <c r="H518">
        <v>1</v>
      </c>
      <c r="I518">
        <v>26</v>
      </c>
      <c r="J518">
        <f t="shared" si="29"/>
        <v>0.7234452655492648</v>
      </c>
      <c r="K518" s="2">
        <v>1E-3</v>
      </c>
      <c r="L518" s="17">
        <v>1E-3</v>
      </c>
      <c r="M518" s="2" t="s">
        <v>2558</v>
      </c>
      <c r="N518" s="2" t="s">
        <v>2558</v>
      </c>
    </row>
    <row r="519" spans="1:15" x14ac:dyDescent="0.25">
      <c r="A519" s="12" t="s">
        <v>480</v>
      </c>
      <c r="C519">
        <v>152</v>
      </c>
      <c r="D519">
        <v>1</v>
      </c>
      <c r="G519">
        <v>6.76</v>
      </c>
      <c r="H519">
        <v>1</v>
      </c>
      <c r="I519">
        <v>26</v>
      </c>
      <c r="J519">
        <f t="shared" si="29"/>
        <v>0.45425676257949793</v>
      </c>
      <c r="K519" s="2">
        <v>1.4999999999999999E-2</v>
      </c>
      <c r="L519" s="17">
        <v>1.4999999999999999E-2</v>
      </c>
      <c r="M519" s="2" t="s">
        <v>2558</v>
      </c>
      <c r="N519" s="2" t="s">
        <v>2558</v>
      </c>
    </row>
    <row r="520" spans="1:15" x14ac:dyDescent="0.25">
      <c r="A520" s="12" t="s">
        <v>481</v>
      </c>
      <c r="C520">
        <v>152</v>
      </c>
      <c r="D520">
        <v>1</v>
      </c>
      <c r="F520">
        <v>4.4800000000000004</v>
      </c>
      <c r="H520">
        <v>26</v>
      </c>
      <c r="J520">
        <f t="shared" si="29"/>
        <v>0.66003508634356445</v>
      </c>
      <c r="K520" s="2">
        <v>1E-3</v>
      </c>
      <c r="L520" s="17">
        <v>1E-3</v>
      </c>
      <c r="M520" s="2" t="s">
        <v>2558</v>
      </c>
      <c r="N520" s="2" t="s">
        <v>2558</v>
      </c>
    </row>
    <row r="521" spans="1:15" x14ac:dyDescent="0.25">
      <c r="A521" s="12" t="s">
        <v>482</v>
      </c>
      <c r="C521">
        <v>152</v>
      </c>
      <c r="D521">
        <v>1</v>
      </c>
      <c r="F521">
        <v>2.68</v>
      </c>
      <c r="H521">
        <v>25</v>
      </c>
      <c r="J521">
        <f t="shared" si="29"/>
        <v>0.4724170679066515</v>
      </c>
      <c r="K521" s="2">
        <v>1.2999999999999999E-2</v>
      </c>
      <c r="L521" s="17">
        <v>1.2999999999999999E-2</v>
      </c>
      <c r="M521" s="2" t="s">
        <v>2558</v>
      </c>
      <c r="N521" s="2" t="s">
        <v>2558</v>
      </c>
    </row>
    <row r="522" spans="1:15" x14ac:dyDescent="0.25">
      <c r="A522" s="12" t="s">
        <v>483</v>
      </c>
      <c r="C522">
        <v>152</v>
      </c>
      <c r="D522">
        <v>1</v>
      </c>
      <c r="G522">
        <v>16.04</v>
      </c>
      <c r="H522">
        <v>1</v>
      </c>
      <c r="I522">
        <v>26</v>
      </c>
      <c r="J522">
        <f t="shared" si="29"/>
        <v>0.61769036673173672</v>
      </c>
      <c r="K522" s="2" t="s">
        <v>2141</v>
      </c>
      <c r="L522" s="17">
        <v>1E-3</v>
      </c>
      <c r="M522" s="2" t="s">
        <v>2558</v>
      </c>
      <c r="N522" s="2" t="s">
        <v>2558</v>
      </c>
    </row>
    <row r="523" spans="1:15" x14ac:dyDescent="0.25">
      <c r="A523" s="12" t="s">
        <v>484</v>
      </c>
      <c r="C523">
        <v>152</v>
      </c>
      <c r="D523">
        <v>1</v>
      </c>
      <c r="G523">
        <v>14.46</v>
      </c>
      <c r="H523">
        <v>1</v>
      </c>
      <c r="I523">
        <v>26</v>
      </c>
      <c r="J523">
        <f t="shared" si="29"/>
        <v>0.59782105585991296</v>
      </c>
      <c r="K523" s="2">
        <v>1E-3</v>
      </c>
      <c r="L523" s="17">
        <v>1E-3</v>
      </c>
      <c r="M523" s="2" t="s">
        <v>2558</v>
      </c>
      <c r="N523" s="2" t="s">
        <v>2558</v>
      </c>
    </row>
    <row r="524" spans="1:15" x14ac:dyDescent="0.25">
      <c r="A524" s="12" t="s">
        <v>485</v>
      </c>
      <c r="C524">
        <v>152</v>
      </c>
      <c r="D524">
        <v>1</v>
      </c>
      <c r="G524">
        <v>1.33</v>
      </c>
      <c r="H524">
        <v>1</v>
      </c>
      <c r="I524">
        <v>26</v>
      </c>
      <c r="J524">
        <f t="shared" si="29"/>
        <v>0.22060025221423704</v>
      </c>
      <c r="K524" s="2">
        <v>0.25900000000000001</v>
      </c>
      <c r="L524" s="17">
        <v>0.25900000000000001</v>
      </c>
      <c r="M524" s="2" t="s">
        <v>2558</v>
      </c>
      <c r="N524" s="2" t="s">
        <v>2558</v>
      </c>
    </row>
    <row r="525" spans="1:15" x14ac:dyDescent="0.25">
      <c r="A525" s="12" t="s">
        <v>486</v>
      </c>
      <c r="C525">
        <v>153</v>
      </c>
      <c r="D525">
        <v>1</v>
      </c>
      <c r="F525">
        <v>3.3</v>
      </c>
      <c r="H525">
        <v>55</v>
      </c>
      <c r="J525">
        <f t="shared" si="29"/>
        <v>0.40654084554752612</v>
      </c>
      <c r="K525" s="2" t="s">
        <v>2156</v>
      </c>
      <c r="L525" s="17">
        <v>0.01</v>
      </c>
      <c r="M525" s="2" t="s">
        <v>2558</v>
      </c>
      <c r="N525" s="2" t="s">
        <v>2558</v>
      </c>
      <c r="O525" t="s">
        <v>2135</v>
      </c>
    </row>
    <row r="526" spans="1:15" x14ac:dyDescent="0.25">
      <c r="A526" s="12" t="s">
        <v>487</v>
      </c>
      <c r="C526">
        <v>153</v>
      </c>
      <c r="D526">
        <v>1</v>
      </c>
      <c r="F526">
        <v>1.67</v>
      </c>
      <c r="H526">
        <v>62</v>
      </c>
      <c r="J526">
        <f t="shared" si="29"/>
        <v>0.20747518853920879</v>
      </c>
      <c r="K526" s="2">
        <v>0.1</v>
      </c>
      <c r="L526" s="17">
        <v>0.1</v>
      </c>
      <c r="M526" s="2" t="s">
        <v>2558</v>
      </c>
      <c r="N526" s="2" t="s">
        <v>2558</v>
      </c>
    </row>
    <row r="527" spans="1:15" x14ac:dyDescent="0.25">
      <c r="A527" s="12" t="s">
        <v>488</v>
      </c>
      <c r="C527">
        <v>153</v>
      </c>
      <c r="D527">
        <v>1</v>
      </c>
      <c r="F527">
        <v>1.89</v>
      </c>
      <c r="H527">
        <v>63</v>
      </c>
      <c r="J527">
        <f t="shared" si="29"/>
        <v>0.23164113046801685</v>
      </c>
      <c r="K527" s="2">
        <v>0.06</v>
      </c>
      <c r="L527" s="17">
        <v>0.06</v>
      </c>
      <c r="M527" s="2" t="s">
        <v>2558</v>
      </c>
      <c r="N527" s="2" t="s">
        <v>2558</v>
      </c>
    </row>
    <row r="528" spans="1:15" x14ac:dyDescent="0.25">
      <c r="A528" s="12" t="s">
        <v>489</v>
      </c>
      <c r="C528">
        <v>153</v>
      </c>
      <c r="D528">
        <v>1</v>
      </c>
      <c r="G528">
        <v>10.36</v>
      </c>
      <c r="H528">
        <v>2</v>
      </c>
      <c r="I528">
        <v>126</v>
      </c>
      <c r="J528">
        <f t="shared" si="29"/>
        <v>0.31600410003078788</v>
      </c>
      <c r="M528" s="2" t="s">
        <v>2558</v>
      </c>
      <c r="N528" s="2" t="s">
        <v>2558</v>
      </c>
      <c r="O528" t="s">
        <v>2157</v>
      </c>
    </row>
    <row r="529" spans="1:15" x14ac:dyDescent="0.25">
      <c r="A529" s="12" t="s">
        <v>490</v>
      </c>
      <c r="C529">
        <v>153</v>
      </c>
      <c r="D529">
        <v>1</v>
      </c>
      <c r="G529">
        <v>8.32</v>
      </c>
      <c r="H529">
        <v>2</v>
      </c>
      <c r="I529">
        <v>182</v>
      </c>
      <c r="J529">
        <f t="shared" si="29"/>
        <v>0.24338051670360752</v>
      </c>
      <c r="M529" s="2" t="s">
        <v>2558</v>
      </c>
      <c r="N529" s="2" t="s">
        <v>2558</v>
      </c>
      <c r="O529" t="s">
        <v>2157</v>
      </c>
    </row>
    <row r="530" spans="1:15" x14ac:dyDescent="0.25">
      <c r="A530" s="12" t="s">
        <v>491</v>
      </c>
      <c r="C530">
        <v>153</v>
      </c>
      <c r="D530">
        <v>1</v>
      </c>
      <c r="G530">
        <v>14.2</v>
      </c>
      <c r="H530">
        <v>2</v>
      </c>
      <c r="I530">
        <v>182</v>
      </c>
      <c r="J530">
        <f t="shared" si="29"/>
        <v>0.30894331578055634</v>
      </c>
      <c r="M530" s="2" t="s">
        <v>2558</v>
      </c>
      <c r="N530" s="2" t="s">
        <v>2558</v>
      </c>
      <c r="O530" t="s">
        <v>2157</v>
      </c>
    </row>
    <row r="531" spans="1:15" x14ac:dyDescent="0.25">
      <c r="A531" s="12" t="s">
        <v>492</v>
      </c>
      <c r="C531">
        <v>153</v>
      </c>
      <c r="D531">
        <v>1</v>
      </c>
      <c r="F531">
        <v>4.49</v>
      </c>
      <c r="H531">
        <v>91</v>
      </c>
      <c r="J531">
        <f t="shared" si="29"/>
        <v>0.42586492924688263</v>
      </c>
      <c r="M531" s="2" t="s">
        <v>2558</v>
      </c>
      <c r="N531" s="2" t="s">
        <v>2558</v>
      </c>
    </row>
    <row r="532" spans="1:15" x14ac:dyDescent="0.25">
      <c r="A532" s="12" t="s">
        <v>493</v>
      </c>
      <c r="C532">
        <v>153</v>
      </c>
      <c r="D532">
        <v>1</v>
      </c>
      <c r="F532">
        <v>2.93</v>
      </c>
      <c r="H532">
        <v>91</v>
      </c>
      <c r="J532">
        <f t="shared" si="29"/>
        <v>0.29361002130714875</v>
      </c>
      <c r="K532" s="2" t="s">
        <v>2156</v>
      </c>
      <c r="L532" s="17">
        <v>0.01</v>
      </c>
      <c r="M532" s="2" t="s">
        <v>2558</v>
      </c>
      <c r="N532" s="2" t="s">
        <v>2558</v>
      </c>
    </row>
    <row r="533" spans="1:15" x14ac:dyDescent="0.25">
      <c r="A533" s="12" t="s">
        <v>494</v>
      </c>
      <c r="C533">
        <v>153</v>
      </c>
      <c r="D533">
        <v>1</v>
      </c>
      <c r="F533">
        <v>1.46</v>
      </c>
      <c r="H533">
        <v>91</v>
      </c>
      <c r="J533">
        <f t="shared" si="29"/>
        <v>0.15128794498285883</v>
      </c>
      <c r="K533" s="2">
        <v>0.16</v>
      </c>
      <c r="L533" s="17">
        <v>0.16</v>
      </c>
      <c r="M533" s="2" t="s">
        <v>2558</v>
      </c>
      <c r="N533" s="2" t="s">
        <v>2558</v>
      </c>
    </row>
    <row r="534" spans="1:15" x14ac:dyDescent="0.25">
      <c r="A534" s="12" t="s">
        <v>495</v>
      </c>
      <c r="C534">
        <v>153</v>
      </c>
      <c r="D534">
        <v>1</v>
      </c>
      <c r="G534">
        <v>21.44</v>
      </c>
      <c r="H534">
        <v>2</v>
      </c>
      <c r="I534">
        <v>74</v>
      </c>
      <c r="J534">
        <f t="shared" si="29"/>
        <v>0.50933062238528015</v>
      </c>
      <c r="M534" s="2" t="s">
        <v>2558</v>
      </c>
      <c r="N534" s="2" t="s">
        <v>2558</v>
      </c>
      <c r="O534" t="s">
        <v>2157</v>
      </c>
    </row>
    <row r="535" spans="1:15" x14ac:dyDescent="0.25">
      <c r="A535" s="12" t="s">
        <v>496</v>
      </c>
      <c r="C535">
        <v>153</v>
      </c>
      <c r="D535">
        <v>1</v>
      </c>
      <c r="F535">
        <v>0.94</v>
      </c>
      <c r="H535">
        <v>59</v>
      </c>
      <c r="J535">
        <f t="shared" si="29"/>
        <v>0.12147136260459383</v>
      </c>
      <c r="K535" s="2">
        <v>0.35</v>
      </c>
      <c r="L535" s="17">
        <v>0.35</v>
      </c>
      <c r="M535" s="2" t="s">
        <v>2558</v>
      </c>
      <c r="N535" s="2" t="s">
        <v>2558</v>
      </c>
    </row>
    <row r="536" spans="1:15" x14ac:dyDescent="0.25">
      <c r="A536" s="12" t="s">
        <v>497</v>
      </c>
      <c r="C536">
        <v>153</v>
      </c>
      <c r="D536">
        <v>1</v>
      </c>
      <c r="G536">
        <v>20.010000000000002</v>
      </c>
      <c r="H536">
        <v>2</v>
      </c>
      <c r="I536">
        <v>92</v>
      </c>
      <c r="J536">
        <f t="shared" si="29"/>
        <v>0.46297887897893475</v>
      </c>
      <c r="M536" s="2" t="s">
        <v>2558</v>
      </c>
      <c r="N536" s="2" t="s">
        <v>2558</v>
      </c>
      <c r="O536" t="s">
        <v>2157</v>
      </c>
    </row>
    <row r="537" spans="1:15" x14ac:dyDescent="0.25">
      <c r="A537" s="12" t="s">
        <v>498</v>
      </c>
      <c r="C537">
        <v>153</v>
      </c>
      <c r="D537">
        <v>0</v>
      </c>
      <c r="J537" t="b">
        <f t="shared" si="29"/>
        <v>0</v>
      </c>
    </row>
    <row r="538" spans="1:15" x14ac:dyDescent="0.25">
      <c r="A538" s="12" t="s">
        <v>499</v>
      </c>
      <c r="C538">
        <v>153</v>
      </c>
      <c r="D538">
        <v>1</v>
      </c>
      <c r="G538">
        <v>6.08</v>
      </c>
      <c r="H538">
        <v>1</v>
      </c>
      <c r="I538">
        <v>56</v>
      </c>
      <c r="J538">
        <f t="shared" si="29"/>
        <v>0.31295070591052659</v>
      </c>
      <c r="M538" s="2" t="s">
        <v>2558</v>
      </c>
      <c r="N538" s="2" t="s">
        <v>2558</v>
      </c>
    </row>
    <row r="539" spans="1:15" x14ac:dyDescent="0.25">
      <c r="A539" s="12" t="s">
        <v>500</v>
      </c>
      <c r="C539">
        <v>153</v>
      </c>
      <c r="D539">
        <v>1</v>
      </c>
      <c r="F539">
        <v>3.47</v>
      </c>
      <c r="H539">
        <v>60</v>
      </c>
      <c r="J539">
        <f t="shared" si="29"/>
        <v>0.40882731995676924</v>
      </c>
      <c r="K539" s="2" t="s">
        <v>2156</v>
      </c>
      <c r="L539" s="17">
        <v>0.01</v>
      </c>
      <c r="M539" s="2" t="s">
        <v>2558</v>
      </c>
      <c r="N539" s="2" t="s">
        <v>2558</v>
      </c>
    </row>
    <row r="540" spans="1:15" x14ac:dyDescent="0.25">
      <c r="A540" s="12" t="s">
        <v>501</v>
      </c>
      <c r="C540">
        <v>153</v>
      </c>
      <c r="D540">
        <v>1</v>
      </c>
      <c r="F540">
        <v>1.73</v>
      </c>
      <c r="H540">
        <v>85</v>
      </c>
      <c r="J540">
        <f t="shared" si="29"/>
        <v>0.18442605971258441</v>
      </c>
      <c r="K540" s="2">
        <v>0.09</v>
      </c>
      <c r="L540" s="17">
        <v>0.09</v>
      </c>
      <c r="M540" s="2" t="s">
        <v>2558</v>
      </c>
      <c r="N540" s="2" t="s">
        <v>2558</v>
      </c>
    </row>
    <row r="541" spans="1:15" x14ac:dyDescent="0.25">
      <c r="A541" s="12" t="s">
        <v>502</v>
      </c>
      <c r="C541">
        <v>153</v>
      </c>
      <c r="D541">
        <v>1</v>
      </c>
      <c r="F541">
        <v>0.43</v>
      </c>
      <c r="H541">
        <v>72</v>
      </c>
      <c r="J541">
        <f t="shared" si="29"/>
        <v>5.0611041670086891E-2</v>
      </c>
      <c r="K541" s="2">
        <v>0.67</v>
      </c>
      <c r="L541" s="17">
        <v>0.67</v>
      </c>
      <c r="M541" s="2" t="s">
        <v>2558</v>
      </c>
      <c r="N541" s="2" t="s">
        <v>2558</v>
      </c>
    </row>
    <row r="542" spans="1:15" x14ac:dyDescent="0.25">
      <c r="A542" s="12" t="s">
        <v>503</v>
      </c>
      <c r="C542">
        <v>153</v>
      </c>
      <c r="D542">
        <v>1</v>
      </c>
      <c r="F542">
        <v>7.0000000000000007E-2</v>
      </c>
      <c r="H542">
        <v>87</v>
      </c>
      <c r="J542">
        <f t="shared" si="29"/>
        <v>7.5045764110676892E-3</v>
      </c>
      <c r="K542" s="2">
        <v>0.94</v>
      </c>
      <c r="L542" s="17">
        <v>0.94</v>
      </c>
      <c r="M542" s="2" t="s">
        <v>2558</v>
      </c>
      <c r="N542" s="2" t="s">
        <v>2558</v>
      </c>
    </row>
    <row r="543" spans="1:15" x14ac:dyDescent="0.25">
      <c r="A543" s="12" t="s">
        <v>504</v>
      </c>
      <c r="C543">
        <v>153</v>
      </c>
      <c r="D543">
        <v>1</v>
      </c>
      <c r="F543">
        <v>6.51</v>
      </c>
      <c r="H543">
        <v>2</v>
      </c>
      <c r="I543">
        <v>74</v>
      </c>
      <c r="J543">
        <f t="shared" si="29"/>
        <v>0.97720763238635666</v>
      </c>
      <c r="M543" s="2" t="s">
        <v>2558</v>
      </c>
      <c r="N543" s="2" t="s">
        <v>2558</v>
      </c>
    </row>
    <row r="544" spans="1:15" x14ac:dyDescent="0.25">
      <c r="A544" s="12" t="s">
        <v>505</v>
      </c>
      <c r="C544">
        <v>153</v>
      </c>
      <c r="D544">
        <v>1</v>
      </c>
      <c r="F544">
        <v>0.78</v>
      </c>
      <c r="H544">
        <v>59</v>
      </c>
      <c r="J544">
        <f t="shared" si="29"/>
        <v>0.10102779407194064</v>
      </c>
      <c r="K544" s="2">
        <v>0.44</v>
      </c>
      <c r="L544" s="17">
        <v>0.44</v>
      </c>
      <c r="M544" s="2" t="s">
        <v>2558</v>
      </c>
      <c r="N544" s="2" t="s">
        <v>2558</v>
      </c>
    </row>
    <row r="545" spans="1:15" x14ac:dyDescent="0.25">
      <c r="A545" s="12" t="s">
        <v>506</v>
      </c>
      <c r="C545">
        <v>153</v>
      </c>
      <c r="D545">
        <v>1</v>
      </c>
      <c r="G545">
        <v>4.09</v>
      </c>
      <c r="H545">
        <v>2</v>
      </c>
      <c r="I545">
        <v>92</v>
      </c>
      <c r="J545">
        <f t="shared" si="29"/>
        <v>0.24028609482822255</v>
      </c>
      <c r="M545" s="2" t="s">
        <v>2558</v>
      </c>
      <c r="N545" s="2" t="s">
        <v>2558</v>
      </c>
      <c r="O545" t="s">
        <v>2157</v>
      </c>
    </row>
    <row r="546" spans="1:15" x14ac:dyDescent="0.25">
      <c r="A546" s="12" t="s">
        <v>507</v>
      </c>
      <c r="C546">
        <v>153</v>
      </c>
      <c r="D546">
        <v>1</v>
      </c>
      <c r="E546">
        <v>0</v>
      </c>
      <c r="J546" t="b">
        <f t="shared" si="29"/>
        <v>0</v>
      </c>
    </row>
    <row r="547" spans="1:15" x14ac:dyDescent="0.25">
      <c r="A547" s="12" t="s">
        <v>508</v>
      </c>
      <c r="C547">
        <v>153</v>
      </c>
      <c r="D547">
        <v>1</v>
      </c>
      <c r="G547">
        <v>9.1</v>
      </c>
      <c r="H547">
        <v>1</v>
      </c>
      <c r="I547">
        <v>46</v>
      </c>
      <c r="J547">
        <f t="shared" si="29"/>
        <v>0.40639176292436924</v>
      </c>
      <c r="M547" s="2" t="s">
        <v>2558</v>
      </c>
      <c r="N547" s="2" t="s">
        <v>2558</v>
      </c>
      <c r="O547" t="s">
        <v>2157</v>
      </c>
    </row>
    <row r="548" spans="1:15" x14ac:dyDescent="0.25">
      <c r="A548" s="12" t="s">
        <v>509</v>
      </c>
      <c r="C548">
        <v>153</v>
      </c>
      <c r="D548">
        <v>1</v>
      </c>
      <c r="F548">
        <v>3.31</v>
      </c>
      <c r="H548">
        <v>60</v>
      </c>
      <c r="J548">
        <f t="shared" si="29"/>
        <v>0.39294622890996528</v>
      </c>
      <c r="K548" s="2" t="s">
        <v>2156</v>
      </c>
      <c r="L548" s="17">
        <v>0.01</v>
      </c>
      <c r="M548" s="2" t="s">
        <v>2558</v>
      </c>
      <c r="N548" s="2" t="s">
        <v>2558</v>
      </c>
    </row>
    <row r="549" spans="1:15" x14ac:dyDescent="0.25">
      <c r="A549" s="12" t="s">
        <v>510</v>
      </c>
      <c r="C549">
        <v>153</v>
      </c>
      <c r="D549">
        <v>1</v>
      </c>
      <c r="F549">
        <v>3.28</v>
      </c>
      <c r="H549">
        <v>85</v>
      </c>
      <c r="J549">
        <f t="shared" ref="J549:J576" si="30">IF(NOT(ISBLANK(F549)),SQRT((F549^2*1/H549)/(F549^2*1/H549+1)),IF(NOT(ISBLANK(G549)),SQRT((G549*H549/I549)/(G549*H549/I549+1)*SQRT(1/H549))))</f>
        <v>0.33518563914433991</v>
      </c>
      <c r="K549" s="2" t="s">
        <v>2156</v>
      </c>
      <c r="L549" s="17">
        <v>0.01</v>
      </c>
      <c r="M549" s="2" t="s">
        <v>2558</v>
      </c>
      <c r="N549" s="2" t="s">
        <v>2558</v>
      </c>
    </row>
    <row r="550" spans="1:15" x14ac:dyDescent="0.25">
      <c r="A550" s="12" t="s">
        <v>511</v>
      </c>
      <c r="C550">
        <v>153</v>
      </c>
      <c r="D550">
        <v>1</v>
      </c>
      <c r="F550">
        <v>1.48</v>
      </c>
      <c r="H550">
        <v>72</v>
      </c>
      <c r="J550">
        <f t="shared" si="30"/>
        <v>0.17182559604064204</v>
      </c>
      <c r="K550" s="2">
        <v>0.14000000000000001</v>
      </c>
      <c r="L550" s="17">
        <v>0.14000000000000001</v>
      </c>
      <c r="M550" s="2" t="s">
        <v>2558</v>
      </c>
      <c r="N550" s="2" t="s">
        <v>2558</v>
      </c>
    </row>
    <row r="551" spans="1:15" x14ac:dyDescent="0.25">
      <c r="A551" s="12" t="s">
        <v>512</v>
      </c>
      <c r="C551">
        <v>153</v>
      </c>
      <c r="D551">
        <v>1</v>
      </c>
      <c r="F551">
        <v>2.72</v>
      </c>
      <c r="H551">
        <v>87</v>
      </c>
      <c r="J551">
        <f t="shared" si="30"/>
        <v>0.27995394216257852</v>
      </c>
      <c r="K551" s="2" t="s">
        <v>2156</v>
      </c>
      <c r="L551" s="17">
        <v>0.01</v>
      </c>
      <c r="M551" s="2" t="s">
        <v>2558</v>
      </c>
      <c r="N551" s="2" t="s">
        <v>2558</v>
      </c>
    </row>
    <row r="552" spans="1:15" x14ac:dyDescent="0.25">
      <c r="A552" s="12" t="s">
        <v>513</v>
      </c>
      <c r="C552">
        <v>154</v>
      </c>
      <c r="D552">
        <v>1</v>
      </c>
      <c r="E552">
        <v>0</v>
      </c>
      <c r="J552" t="b">
        <f t="shared" si="30"/>
        <v>0</v>
      </c>
      <c r="K552" s="2">
        <v>0.57399999999999995</v>
      </c>
      <c r="L552" s="17">
        <v>0.57399999999999995</v>
      </c>
      <c r="M552" s="2">
        <v>0</v>
      </c>
      <c r="N552" s="2">
        <f t="shared" ref="N552:N595" si="31">IF(M552=0, 0)</f>
        <v>0</v>
      </c>
    </row>
    <row r="553" spans="1:15" x14ac:dyDescent="0.25">
      <c r="A553" s="12" t="s">
        <v>514</v>
      </c>
      <c r="C553">
        <v>154</v>
      </c>
      <c r="D553">
        <v>1</v>
      </c>
      <c r="E553">
        <v>0</v>
      </c>
      <c r="J553" t="b">
        <f t="shared" si="30"/>
        <v>0</v>
      </c>
      <c r="K553" s="2" t="s">
        <v>2529</v>
      </c>
      <c r="L553" s="17">
        <v>2.5999999999999999E-2</v>
      </c>
      <c r="M553" s="2">
        <v>0</v>
      </c>
      <c r="N553" s="2">
        <f t="shared" si="31"/>
        <v>0</v>
      </c>
    </row>
    <row r="554" spans="1:15" x14ac:dyDescent="0.25">
      <c r="A554" s="12" t="s">
        <v>515</v>
      </c>
      <c r="C554">
        <v>154</v>
      </c>
      <c r="D554">
        <v>1</v>
      </c>
      <c r="E554">
        <v>0</v>
      </c>
      <c r="J554" t="b">
        <f t="shared" si="30"/>
        <v>0</v>
      </c>
      <c r="K554" s="2" t="s">
        <v>2530</v>
      </c>
      <c r="L554" s="17">
        <v>7.0000000000000001E-3</v>
      </c>
      <c r="M554" s="2">
        <v>0</v>
      </c>
      <c r="N554" s="2">
        <f t="shared" si="31"/>
        <v>0</v>
      </c>
    </row>
    <row r="555" spans="1:15" x14ac:dyDescent="0.25">
      <c r="A555" s="12" t="s">
        <v>516</v>
      </c>
      <c r="C555">
        <v>155</v>
      </c>
      <c r="D555">
        <v>1</v>
      </c>
      <c r="E555">
        <v>0</v>
      </c>
      <c r="J555" t="b">
        <f t="shared" si="30"/>
        <v>0</v>
      </c>
      <c r="K555" s="2">
        <v>1E-3</v>
      </c>
      <c r="L555" s="17">
        <v>1E-3</v>
      </c>
      <c r="M555" s="2">
        <v>0</v>
      </c>
      <c r="N555" s="2">
        <f t="shared" si="31"/>
        <v>0</v>
      </c>
    </row>
    <row r="556" spans="1:15" x14ac:dyDescent="0.25">
      <c r="A556" s="12" t="s">
        <v>517</v>
      </c>
      <c r="C556">
        <v>155</v>
      </c>
      <c r="D556">
        <v>1</v>
      </c>
      <c r="E556">
        <v>0</v>
      </c>
      <c r="J556" t="b">
        <f t="shared" si="30"/>
        <v>0</v>
      </c>
      <c r="K556" s="2">
        <v>2E-3</v>
      </c>
      <c r="L556" s="17">
        <v>2E-3</v>
      </c>
      <c r="M556" s="2">
        <v>0</v>
      </c>
      <c r="N556" s="2">
        <f t="shared" si="31"/>
        <v>0</v>
      </c>
    </row>
    <row r="557" spans="1:15" x14ac:dyDescent="0.25">
      <c r="A557" s="12" t="s">
        <v>518</v>
      </c>
      <c r="C557">
        <v>155</v>
      </c>
      <c r="D557">
        <v>1</v>
      </c>
      <c r="E557">
        <v>0</v>
      </c>
      <c r="J557" t="b">
        <f t="shared" si="30"/>
        <v>0</v>
      </c>
      <c r="K557" s="2">
        <v>0.02</v>
      </c>
      <c r="L557" s="17">
        <v>0.02</v>
      </c>
      <c r="M557" s="2">
        <v>0</v>
      </c>
      <c r="N557" s="2">
        <f t="shared" si="31"/>
        <v>0</v>
      </c>
    </row>
    <row r="558" spans="1:15" x14ac:dyDescent="0.25">
      <c r="A558" s="12" t="s">
        <v>519</v>
      </c>
      <c r="C558">
        <v>155</v>
      </c>
      <c r="D558">
        <v>1</v>
      </c>
      <c r="E558">
        <v>0</v>
      </c>
      <c r="J558" t="b">
        <f t="shared" si="30"/>
        <v>0</v>
      </c>
      <c r="K558" s="2">
        <v>0.91</v>
      </c>
      <c r="L558" s="17">
        <v>0.91</v>
      </c>
      <c r="M558" s="2">
        <v>0</v>
      </c>
      <c r="N558" s="2">
        <f t="shared" si="31"/>
        <v>0</v>
      </c>
    </row>
    <row r="559" spans="1:15" x14ac:dyDescent="0.25">
      <c r="A559" s="12" t="s">
        <v>520</v>
      </c>
      <c r="C559">
        <v>156</v>
      </c>
      <c r="D559">
        <v>1</v>
      </c>
      <c r="G559">
        <v>165.59</v>
      </c>
      <c r="H559">
        <v>1</v>
      </c>
      <c r="I559">
        <v>81</v>
      </c>
      <c r="J559">
        <f t="shared" si="30"/>
        <v>0.81946294994909175</v>
      </c>
      <c r="K559" s="2" t="s">
        <v>2531</v>
      </c>
      <c r="L559" s="17">
        <v>5.0000000000000001E-4</v>
      </c>
      <c r="M559" s="2">
        <v>0</v>
      </c>
      <c r="N559" s="2">
        <f t="shared" si="31"/>
        <v>0</v>
      </c>
    </row>
    <row r="560" spans="1:15" x14ac:dyDescent="0.25">
      <c r="A560" s="12" t="s">
        <v>521</v>
      </c>
      <c r="C560">
        <v>156</v>
      </c>
      <c r="D560">
        <v>1</v>
      </c>
      <c r="G560">
        <v>117.22</v>
      </c>
      <c r="H560">
        <v>1</v>
      </c>
      <c r="I560">
        <v>81</v>
      </c>
      <c r="J560">
        <f t="shared" si="30"/>
        <v>0.76900138613248004</v>
      </c>
      <c r="K560" s="2" t="s">
        <v>2532</v>
      </c>
      <c r="L560" s="17">
        <v>5.0000000000000001E-4</v>
      </c>
      <c r="M560" s="2">
        <v>0</v>
      </c>
      <c r="N560" s="2">
        <f t="shared" si="31"/>
        <v>0</v>
      </c>
    </row>
    <row r="561" spans="1:15" x14ac:dyDescent="0.25">
      <c r="A561" s="12" t="s">
        <v>522</v>
      </c>
      <c r="C561">
        <v>156</v>
      </c>
      <c r="D561">
        <v>1</v>
      </c>
      <c r="G561">
        <v>347.42</v>
      </c>
      <c r="H561">
        <v>1</v>
      </c>
      <c r="I561">
        <v>81</v>
      </c>
      <c r="J561">
        <f t="shared" si="30"/>
        <v>0.90051829320456334</v>
      </c>
      <c r="K561" s="2" t="s">
        <v>2532</v>
      </c>
      <c r="L561" s="17">
        <v>5.0000000000000001E-4</v>
      </c>
      <c r="M561" s="2">
        <v>0</v>
      </c>
      <c r="N561" s="2">
        <f t="shared" si="31"/>
        <v>0</v>
      </c>
    </row>
    <row r="562" spans="1:15" x14ac:dyDescent="0.25">
      <c r="A562" s="12" t="s">
        <v>523</v>
      </c>
      <c r="C562">
        <v>156</v>
      </c>
      <c r="D562">
        <v>1</v>
      </c>
      <c r="G562">
        <v>2.48</v>
      </c>
      <c r="H562">
        <v>1</v>
      </c>
      <c r="I562">
        <v>81</v>
      </c>
      <c r="J562">
        <f t="shared" si="30"/>
        <v>0.17235925975304081</v>
      </c>
      <c r="K562" s="2">
        <v>0.11899999999999999</v>
      </c>
      <c r="L562" s="17">
        <v>0.11899999999999999</v>
      </c>
      <c r="M562" s="2">
        <v>0</v>
      </c>
      <c r="N562" s="2">
        <f t="shared" si="31"/>
        <v>0</v>
      </c>
    </row>
    <row r="563" spans="1:15" x14ac:dyDescent="0.25">
      <c r="A563" s="12" t="s">
        <v>524</v>
      </c>
      <c r="C563">
        <v>156</v>
      </c>
      <c r="D563">
        <v>1</v>
      </c>
      <c r="G563">
        <v>185.32</v>
      </c>
      <c r="H563">
        <v>1</v>
      </c>
      <c r="I563">
        <v>81</v>
      </c>
      <c r="J563">
        <f t="shared" si="30"/>
        <v>0.83417900416774615</v>
      </c>
      <c r="K563" s="2" t="s">
        <v>2531</v>
      </c>
      <c r="L563" s="17">
        <v>5.0000000000000001E-4</v>
      </c>
      <c r="M563" s="2">
        <v>0</v>
      </c>
      <c r="N563" s="2">
        <f t="shared" si="31"/>
        <v>0</v>
      </c>
    </row>
    <row r="564" spans="1:15" x14ac:dyDescent="0.25">
      <c r="A564" s="12" t="s">
        <v>525</v>
      </c>
      <c r="C564">
        <v>156</v>
      </c>
      <c r="D564">
        <v>1</v>
      </c>
      <c r="G564">
        <v>1.98</v>
      </c>
      <c r="H564">
        <v>1</v>
      </c>
      <c r="I564">
        <v>88</v>
      </c>
      <c r="J564">
        <f t="shared" si="30"/>
        <v>0.14834045293024464</v>
      </c>
      <c r="K564" s="2">
        <v>0.16300000000000001</v>
      </c>
      <c r="L564" s="17">
        <v>0.16300000000000001</v>
      </c>
      <c r="M564" s="2">
        <v>0</v>
      </c>
      <c r="N564" s="2">
        <f t="shared" si="31"/>
        <v>0</v>
      </c>
    </row>
    <row r="565" spans="1:15" x14ac:dyDescent="0.25">
      <c r="A565" s="12" t="s">
        <v>526</v>
      </c>
      <c r="C565">
        <v>156</v>
      </c>
      <c r="D565">
        <v>0</v>
      </c>
      <c r="J565" t="b">
        <f t="shared" si="30"/>
        <v>0</v>
      </c>
    </row>
    <row r="566" spans="1:15" x14ac:dyDescent="0.25">
      <c r="A566" s="12" t="s">
        <v>527</v>
      </c>
      <c r="C566">
        <v>156</v>
      </c>
      <c r="D566">
        <v>1</v>
      </c>
      <c r="G566" s="3">
        <v>79.102999999999994</v>
      </c>
      <c r="H566">
        <v>1</v>
      </c>
      <c r="I566">
        <v>81</v>
      </c>
      <c r="J566">
        <f t="shared" si="30"/>
        <v>0.70290517765581362</v>
      </c>
      <c r="K566" s="2" t="s">
        <v>2531</v>
      </c>
      <c r="L566" s="17">
        <v>5.0000000000000001E-4</v>
      </c>
      <c r="M566" s="2" t="s">
        <v>2558</v>
      </c>
      <c r="N566" s="2" t="s">
        <v>2558</v>
      </c>
      <c r="O566" t="s">
        <v>2135</v>
      </c>
    </row>
    <row r="567" spans="1:15" x14ac:dyDescent="0.25">
      <c r="A567" s="12" t="s">
        <v>528</v>
      </c>
      <c r="C567">
        <v>156</v>
      </c>
      <c r="D567">
        <v>1</v>
      </c>
      <c r="G567">
        <v>96.59</v>
      </c>
      <c r="H567">
        <v>1</v>
      </c>
      <c r="I567">
        <v>81</v>
      </c>
      <c r="J567">
        <f t="shared" si="30"/>
        <v>0.73749117773152117</v>
      </c>
      <c r="K567" s="2" t="s">
        <v>2531</v>
      </c>
      <c r="L567" s="17">
        <v>5.0000000000000001E-4</v>
      </c>
      <c r="M567" s="2">
        <v>0</v>
      </c>
      <c r="N567" s="2">
        <f t="shared" si="31"/>
        <v>0</v>
      </c>
    </row>
    <row r="568" spans="1:15" x14ac:dyDescent="0.25">
      <c r="A568" s="12" t="s">
        <v>529</v>
      </c>
      <c r="C568">
        <v>156</v>
      </c>
      <c r="D568">
        <v>1</v>
      </c>
      <c r="F568">
        <v>13.78</v>
      </c>
      <c r="H568">
        <v>81</v>
      </c>
      <c r="J568">
        <f t="shared" si="30"/>
        <v>0.83724779713171249</v>
      </c>
      <c r="K568" s="2" t="s">
        <v>2531</v>
      </c>
      <c r="L568" s="17">
        <v>5.0000000000000001E-4</v>
      </c>
      <c r="M568" s="2">
        <v>0</v>
      </c>
      <c r="N568" s="2">
        <f t="shared" si="31"/>
        <v>0</v>
      </c>
    </row>
    <row r="569" spans="1:15" x14ac:dyDescent="0.25">
      <c r="A569" s="12" t="s">
        <v>530</v>
      </c>
      <c r="C569">
        <v>156</v>
      </c>
      <c r="D569">
        <v>1</v>
      </c>
      <c r="F569">
        <v>15.16</v>
      </c>
      <c r="H569">
        <v>81</v>
      </c>
      <c r="J569">
        <f t="shared" si="30"/>
        <v>0.85988586696107339</v>
      </c>
      <c r="K569" s="2" t="s">
        <v>2531</v>
      </c>
      <c r="L569" s="17">
        <v>5.0000000000000001E-4</v>
      </c>
      <c r="M569" s="2">
        <v>0</v>
      </c>
      <c r="N569" s="2">
        <f t="shared" si="31"/>
        <v>0</v>
      </c>
    </row>
    <row r="570" spans="1:15" x14ac:dyDescent="0.25">
      <c r="A570" s="12" t="s">
        <v>531</v>
      </c>
      <c r="C570">
        <v>156</v>
      </c>
      <c r="D570">
        <v>1</v>
      </c>
      <c r="F570">
        <v>-11.32</v>
      </c>
      <c r="H570">
        <v>81</v>
      </c>
      <c r="J570">
        <f t="shared" si="30"/>
        <v>0.78275415775600277</v>
      </c>
      <c r="K570" s="2" t="s">
        <v>2531</v>
      </c>
      <c r="L570" s="17">
        <v>5.0000000000000001E-4</v>
      </c>
      <c r="M570" s="2">
        <v>0</v>
      </c>
      <c r="N570" s="2">
        <f t="shared" si="31"/>
        <v>0</v>
      </c>
    </row>
    <row r="571" spans="1:15" x14ac:dyDescent="0.25">
      <c r="A571" s="12" t="s">
        <v>532</v>
      </c>
      <c r="C571">
        <v>156</v>
      </c>
      <c r="D571">
        <v>1</v>
      </c>
      <c r="F571">
        <v>2.29</v>
      </c>
      <c r="H571">
        <v>81</v>
      </c>
      <c r="J571">
        <f t="shared" si="30"/>
        <v>0.24658734528883319</v>
      </c>
      <c r="K571" s="2">
        <v>2.4E-2</v>
      </c>
      <c r="L571" s="17">
        <v>2.4E-2</v>
      </c>
      <c r="M571" s="2">
        <v>0</v>
      </c>
      <c r="N571" s="2">
        <f t="shared" si="31"/>
        <v>0</v>
      </c>
    </row>
    <row r="572" spans="1:15" x14ac:dyDescent="0.25">
      <c r="A572" s="12" t="s">
        <v>533</v>
      </c>
      <c r="C572">
        <v>156</v>
      </c>
      <c r="D572">
        <v>1</v>
      </c>
      <c r="G572">
        <v>278.26</v>
      </c>
      <c r="H572">
        <v>1</v>
      </c>
      <c r="I572">
        <v>81</v>
      </c>
      <c r="J572">
        <f t="shared" si="30"/>
        <v>0.88007758030035343</v>
      </c>
      <c r="K572" s="2" t="s">
        <v>2531</v>
      </c>
      <c r="L572" s="17">
        <v>5.0000000000000001E-4</v>
      </c>
      <c r="M572" s="2">
        <v>0</v>
      </c>
      <c r="N572" s="2">
        <f t="shared" si="31"/>
        <v>0</v>
      </c>
    </row>
    <row r="573" spans="1:15" x14ac:dyDescent="0.25">
      <c r="A573" s="12" t="s">
        <v>534</v>
      </c>
      <c r="B573" s="4" t="s">
        <v>2158</v>
      </c>
      <c r="C573">
        <v>156</v>
      </c>
      <c r="D573">
        <v>1</v>
      </c>
      <c r="G573">
        <v>60.99</v>
      </c>
      <c r="H573">
        <v>1</v>
      </c>
      <c r="I573">
        <v>81</v>
      </c>
      <c r="J573">
        <f t="shared" si="30"/>
        <v>0.65539094543527709</v>
      </c>
      <c r="K573" s="2" t="s">
        <v>2531</v>
      </c>
      <c r="L573" s="17">
        <v>5.0000000000000001E-4</v>
      </c>
      <c r="M573" s="2">
        <v>0</v>
      </c>
      <c r="N573" s="2">
        <f t="shared" si="31"/>
        <v>0</v>
      </c>
    </row>
    <row r="574" spans="1:15" x14ac:dyDescent="0.25">
      <c r="A574" s="12" t="s">
        <v>535</v>
      </c>
      <c r="B574" s="4" t="s">
        <v>2159</v>
      </c>
      <c r="C574">
        <v>156</v>
      </c>
      <c r="D574">
        <v>1</v>
      </c>
      <c r="G574">
        <v>130.99</v>
      </c>
      <c r="H574">
        <v>1</v>
      </c>
      <c r="I574">
        <v>81</v>
      </c>
      <c r="J574">
        <f t="shared" si="30"/>
        <v>0.78607029267351269</v>
      </c>
      <c r="K574" s="2" t="s">
        <v>2531</v>
      </c>
      <c r="L574" s="17">
        <v>5.0000000000000001E-4</v>
      </c>
      <c r="M574" s="2">
        <v>0</v>
      </c>
      <c r="N574" s="2">
        <f t="shared" si="31"/>
        <v>0</v>
      </c>
    </row>
    <row r="575" spans="1:15" x14ac:dyDescent="0.25">
      <c r="A575" s="12" t="s">
        <v>536</v>
      </c>
      <c r="C575">
        <v>156</v>
      </c>
      <c r="D575">
        <v>1</v>
      </c>
      <c r="G575">
        <v>5.14</v>
      </c>
      <c r="H575">
        <v>1</v>
      </c>
      <c r="I575">
        <v>81</v>
      </c>
      <c r="J575">
        <f t="shared" si="30"/>
        <v>0.24427505839938934</v>
      </c>
      <c r="K575" s="2">
        <v>0.26</v>
      </c>
      <c r="L575" s="17">
        <v>0.26</v>
      </c>
      <c r="M575" s="2">
        <v>0</v>
      </c>
      <c r="N575" s="2">
        <f t="shared" si="31"/>
        <v>0</v>
      </c>
    </row>
    <row r="576" spans="1:15" x14ac:dyDescent="0.25">
      <c r="A576" s="12" t="s">
        <v>537</v>
      </c>
      <c r="C576">
        <v>156</v>
      </c>
      <c r="D576">
        <v>1</v>
      </c>
      <c r="G576">
        <v>111.54</v>
      </c>
      <c r="H576">
        <v>1</v>
      </c>
      <c r="I576">
        <v>81</v>
      </c>
      <c r="J576">
        <f t="shared" si="30"/>
        <v>0.76112298329481221</v>
      </c>
      <c r="K576" s="2" t="s">
        <v>2531</v>
      </c>
      <c r="L576" s="17">
        <v>5.0000000000000001E-4</v>
      </c>
      <c r="M576" s="2">
        <v>0</v>
      </c>
      <c r="N576" s="2">
        <f t="shared" si="31"/>
        <v>0</v>
      </c>
    </row>
    <row r="577" spans="1:15" x14ac:dyDescent="0.25">
      <c r="A577" s="12" t="s">
        <v>538</v>
      </c>
      <c r="C577">
        <v>156</v>
      </c>
      <c r="D577">
        <v>1</v>
      </c>
      <c r="J577">
        <v>0.94</v>
      </c>
      <c r="K577" s="2" t="s">
        <v>2531</v>
      </c>
      <c r="L577" s="17">
        <v>5.0000000000000001E-4</v>
      </c>
    </row>
    <row r="578" spans="1:15" x14ac:dyDescent="0.25">
      <c r="A578" s="12" t="s">
        <v>539</v>
      </c>
      <c r="C578">
        <v>156</v>
      </c>
      <c r="D578">
        <v>1</v>
      </c>
      <c r="J578">
        <v>0.88</v>
      </c>
      <c r="K578" s="2" t="s">
        <v>2531</v>
      </c>
      <c r="L578" s="17">
        <v>5.0000000000000001E-4</v>
      </c>
    </row>
    <row r="579" spans="1:15" x14ac:dyDescent="0.25">
      <c r="A579" s="12" t="s">
        <v>540</v>
      </c>
      <c r="C579">
        <v>156</v>
      </c>
      <c r="D579">
        <v>1</v>
      </c>
      <c r="J579">
        <v>0.73</v>
      </c>
      <c r="K579" s="2">
        <v>1E-3</v>
      </c>
      <c r="L579" s="17">
        <v>1E-3</v>
      </c>
    </row>
    <row r="580" spans="1:15" x14ac:dyDescent="0.25">
      <c r="A580" s="12" t="s">
        <v>541</v>
      </c>
      <c r="C580">
        <v>156</v>
      </c>
      <c r="D580">
        <v>1</v>
      </c>
      <c r="J580">
        <v>0.99</v>
      </c>
      <c r="K580" s="2" t="s">
        <v>2531</v>
      </c>
      <c r="L580" s="17">
        <v>5.0000000000000001E-4</v>
      </c>
    </row>
    <row r="581" spans="1:15" x14ac:dyDescent="0.25">
      <c r="A581" s="12" t="s">
        <v>542</v>
      </c>
      <c r="C581">
        <v>156</v>
      </c>
      <c r="D581">
        <v>1</v>
      </c>
      <c r="J581">
        <v>0.89</v>
      </c>
      <c r="K581" s="2" t="s">
        <v>2531</v>
      </c>
      <c r="L581" s="17">
        <v>5.0000000000000001E-4</v>
      </c>
    </row>
    <row r="582" spans="1:15" x14ac:dyDescent="0.25">
      <c r="A582" s="12" t="s">
        <v>543</v>
      </c>
      <c r="C582">
        <v>156</v>
      </c>
      <c r="D582">
        <v>1</v>
      </c>
      <c r="J582">
        <v>0.77</v>
      </c>
      <c r="K582" s="2" t="s">
        <v>2531</v>
      </c>
      <c r="L582" s="17">
        <v>5.0000000000000001E-4</v>
      </c>
    </row>
    <row r="583" spans="1:15" x14ac:dyDescent="0.25">
      <c r="A583" s="12" t="s">
        <v>544</v>
      </c>
      <c r="C583">
        <v>156</v>
      </c>
      <c r="D583">
        <v>1</v>
      </c>
      <c r="J583">
        <v>0.56299999999999994</v>
      </c>
      <c r="K583" s="2">
        <v>2.3E-2</v>
      </c>
      <c r="L583" s="17">
        <v>2.3E-2</v>
      </c>
    </row>
    <row r="584" spans="1:15" x14ac:dyDescent="0.25">
      <c r="A584" s="12" t="s">
        <v>545</v>
      </c>
      <c r="C584">
        <v>156</v>
      </c>
      <c r="D584">
        <v>1</v>
      </c>
      <c r="J584">
        <v>-0.502</v>
      </c>
      <c r="K584" s="2">
        <v>4.9000000000000002E-2</v>
      </c>
      <c r="L584" s="17">
        <v>4.9000000000000002E-2</v>
      </c>
    </row>
    <row r="585" spans="1:15" x14ac:dyDescent="0.25">
      <c r="A585" s="12" t="s">
        <v>546</v>
      </c>
      <c r="C585">
        <v>156</v>
      </c>
      <c r="D585">
        <v>1</v>
      </c>
      <c r="J585">
        <v>0.75</v>
      </c>
      <c r="K585" s="2">
        <v>1E-3</v>
      </c>
      <c r="L585" s="17">
        <v>1E-3</v>
      </c>
    </row>
    <row r="586" spans="1:15" x14ac:dyDescent="0.25">
      <c r="A586" s="12" t="s">
        <v>547</v>
      </c>
      <c r="C586">
        <v>156</v>
      </c>
      <c r="D586">
        <v>2</v>
      </c>
      <c r="J586">
        <v>0.62</v>
      </c>
      <c r="K586" s="2">
        <v>0.01</v>
      </c>
      <c r="L586" s="17">
        <v>0.01</v>
      </c>
      <c r="O586" t="s">
        <v>2160</v>
      </c>
    </row>
    <row r="587" spans="1:15" x14ac:dyDescent="0.25">
      <c r="A587" s="12" t="s">
        <v>548</v>
      </c>
      <c r="C587">
        <v>156</v>
      </c>
      <c r="D587">
        <v>1</v>
      </c>
      <c r="J587">
        <v>0.86</v>
      </c>
      <c r="K587" s="2" t="s">
        <v>2531</v>
      </c>
      <c r="L587" s="17">
        <v>5.0000000000000001E-4</v>
      </c>
    </row>
    <row r="588" spans="1:15" x14ac:dyDescent="0.25">
      <c r="A588" s="12" t="s">
        <v>549</v>
      </c>
      <c r="C588">
        <v>156</v>
      </c>
      <c r="D588">
        <v>1</v>
      </c>
      <c r="J588">
        <v>0.61</v>
      </c>
      <c r="K588" s="2">
        <v>1.2E-2</v>
      </c>
      <c r="L588" s="17">
        <v>1.2E-2</v>
      </c>
    </row>
    <row r="589" spans="1:15" x14ac:dyDescent="0.25">
      <c r="A589" s="12" t="s">
        <v>550</v>
      </c>
      <c r="C589">
        <v>156</v>
      </c>
      <c r="D589">
        <v>1</v>
      </c>
      <c r="G589">
        <v>139.83000000000001</v>
      </c>
      <c r="H589">
        <v>3</v>
      </c>
      <c r="I589">
        <v>12</v>
      </c>
      <c r="J589">
        <f t="shared" ref="J589:J601" si="32">IF(NOT(ISBLANK(F589)),SQRT((F589^2*1/H589)/(F589^2*1/H589+1)),IF(NOT(ISBLANK(G589)),SQRT((G589*H589/I589)/(G589*H589/I589+1)*SQRT(1/H589))))</f>
        <v>0.74919543923165366</v>
      </c>
      <c r="K589" s="2" t="s">
        <v>2531</v>
      </c>
      <c r="L589" s="17">
        <v>5.0000000000000001E-4</v>
      </c>
      <c r="M589" s="2">
        <v>0</v>
      </c>
      <c r="N589" s="2">
        <f t="shared" si="31"/>
        <v>0</v>
      </c>
    </row>
    <row r="590" spans="1:15" x14ac:dyDescent="0.25">
      <c r="A590" s="12" t="s">
        <v>551</v>
      </c>
      <c r="C590">
        <v>156</v>
      </c>
      <c r="D590">
        <v>1</v>
      </c>
      <c r="G590">
        <v>15.04</v>
      </c>
      <c r="H590">
        <v>3</v>
      </c>
      <c r="I590">
        <v>12</v>
      </c>
      <c r="J590">
        <f t="shared" si="32"/>
        <v>0.67532080956421048</v>
      </c>
      <c r="K590" s="2" t="s">
        <v>2531</v>
      </c>
      <c r="L590" s="17">
        <v>5.0000000000000001E-4</v>
      </c>
      <c r="M590" s="2">
        <v>0</v>
      </c>
      <c r="N590" s="2">
        <f t="shared" si="31"/>
        <v>0</v>
      </c>
    </row>
    <row r="591" spans="1:15" x14ac:dyDescent="0.25">
      <c r="A591" s="12" t="s">
        <v>552</v>
      </c>
      <c r="C591">
        <v>156</v>
      </c>
      <c r="D591">
        <v>1</v>
      </c>
      <c r="G591">
        <v>7.59</v>
      </c>
      <c r="H591">
        <v>3</v>
      </c>
      <c r="I591">
        <v>12</v>
      </c>
      <c r="J591">
        <f t="shared" si="32"/>
        <v>0.61489201919313285</v>
      </c>
      <c r="K591" s="2">
        <v>4.0000000000000001E-3</v>
      </c>
      <c r="L591" s="17">
        <v>4.0000000000000001E-3</v>
      </c>
      <c r="M591" s="2">
        <v>0</v>
      </c>
      <c r="N591" s="2">
        <f t="shared" si="31"/>
        <v>0</v>
      </c>
    </row>
    <row r="592" spans="1:15" x14ac:dyDescent="0.25">
      <c r="A592" s="12" t="s">
        <v>553</v>
      </c>
      <c r="C592">
        <v>156</v>
      </c>
      <c r="D592">
        <v>1</v>
      </c>
      <c r="G592">
        <v>6.69</v>
      </c>
      <c r="H592">
        <v>3</v>
      </c>
      <c r="I592">
        <v>12</v>
      </c>
      <c r="J592">
        <f t="shared" si="32"/>
        <v>0.60109607562421519</v>
      </c>
      <c r="K592" s="2">
        <v>7.0000000000000001E-3</v>
      </c>
      <c r="L592" s="17">
        <v>7.0000000000000001E-3</v>
      </c>
      <c r="M592" s="2">
        <v>0</v>
      </c>
      <c r="N592" s="2">
        <f t="shared" si="31"/>
        <v>0</v>
      </c>
    </row>
    <row r="593" spans="1:16" x14ac:dyDescent="0.25">
      <c r="A593" s="12" t="s">
        <v>554</v>
      </c>
      <c r="C593">
        <v>156</v>
      </c>
      <c r="D593">
        <v>1</v>
      </c>
      <c r="G593">
        <v>2</v>
      </c>
      <c r="H593">
        <v>3</v>
      </c>
      <c r="I593">
        <v>12</v>
      </c>
      <c r="J593">
        <f t="shared" si="32"/>
        <v>0.43869133765083079</v>
      </c>
      <c r="K593" s="2">
        <v>0.16800000000000001</v>
      </c>
      <c r="L593" s="17">
        <v>0.16800000000000001</v>
      </c>
      <c r="M593" s="2">
        <v>0</v>
      </c>
      <c r="N593" s="2">
        <f t="shared" si="31"/>
        <v>0</v>
      </c>
    </row>
    <row r="594" spans="1:16" x14ac:dyDescent="0.25">
      <c r="A594" s="12" t="s">
        <v>555</v>
      </c>
      <c r="C594">
        <v>156</v>
      </c>
      <c r="D594">
        <v>1</v>
      </c>
      <c r="G594">
        <v>32.33</v>
      </c>
      <c r="H594">
        <v>3</v>
      </c>
      <c r="I594">
        <v>12</v>
      </c>
      <c r="J594">
        <f t="shared" si="32"/>
        <v>0.71678653712181328</v>
      </c>
      <c r="K594" s="2" t="s">
        <v>2531</v>
      </c>
      <c r="L594" s="17">
        <v>5.0000000000000001E-4</v>
      </c>
      <c r="M594" s="2">
        <v>0</v>
      </c>
      <c r="N594" s="2">
        <f t="shared" si="31"/>
        <v>0</v>
      </c>
    </row>
    <row r="595" spans="1:16" x14ac:dyDescent="0.25">
      <c r="A595" s="12" t="s">
        <v>556</v>
      </c>
      <c r="C595">
        <v>156</v>
      </c>
      <c r="D595">
        <v>1</v>
      </c>
      <c r="G595">
        <v>16.73</v>
      </c>
      <c r="H595">
        <v>3</v>
      </c>
      <c r="I595">
        <v>12</v>
      </c>
      <c r="J595">
        <f t="shared" si="32"/>
        <v>0.68260270625362862</v>
      </c>
      <c r="K595" s="2" t="s">
        <v>2531</v>
      </c>
      <c r="L595" s="17">
        <v>5.0000000000000001E-4</v>
      </c>
      <c r="M595" s="2">
        <v>0</v>
      </c>
      <c r="N595" s="2">
        <f t="shared" si="31"/>
        <v>0</v>
      </c>
    </row>
    <row r="596" spans="1:16" s="8" customFormat="1" x14ac:dyDescent="0.25">
      <c r="A596" s="12" t="s">
        <v>557</v>
      </c>
      <c r="B596"/>
      <c r="C596">
        <v>156</v>
      </c>
      <c r="D596">
        <v>1</v>
      </c>
      <c r="E596"/>
      <c r="F596"/>
      <c r="G596">
        <v>1.1399999999999999</v>
      </c>
      <c r="H596">
        <v>3</v>
      </c>
      <c r="I596">
        <v>12</v>
      </c>
      <c r="J596">
        <f t="shared" si="32"/>
        <v>0.35784137380771669</v>
      </c>
      <c r="K596" s="2">
        <v>0.374</v>
      </c>
      <c r="L596" s="17">
        <v>0.374</v>
      </c>
      <c r="M596" s="2">
        <v>0</v>
      </c>
      <c r="N596" s="2">
        <f t="shared" ref="N596:N649" si="33">IF(M596=0, 0)</f>
        <v>0</v>
      </c>
      <c r="O596"/>
      <c r="P596" s="9"/>
    </row>
    <row r="597" spans="1:16" s="8" customFormat="1" x14ac:dyDescent="0.25">
      <c r="A597" s="12" t="s">
        <v>558</v>
      </c>
      <c r="B597"/>
      <c r="C597">
        <v>156</v>
      </c>
      <c r="D597">
        <v>1</v>
      </c>
      <c r="E597"/>
      <c r="F597"/>
      <c r="G597">
        <v>1.17</v>
      </c>
      <c r="H597">
        <v>3</v>
      </c>
      <c r="I597">
        <v>12</v>
      </c>
      <c r="J597">
        <f t="shared" si="32"/>
        <v>0.36146591048040999</v>
      </c>
      <c r="K597" s="2">
        <v>0.218</v>
      </c>
      <c r="L597" s="17">
        <v>0.218</v>
      </c>
      <c r="M597" s="2">
        <v>0</v>
      </c>
      <c r="N597" s="2">
        <f t="shared" si="33"/>
        <v>0</v>
      </c>
      <c r="O597"/>
      <c r="P597" s="9"/>
    </row>
    <row r="598" spans="1:16" x14ac:dyDescent="0.25">
      <c r="A598" s="12" t="s">
        <v>559</v>
      </c>
      <c r="C598">
        <v>156</v>
      </c>
      <c r="D598">
        <v>1</v>
      </c>
      <c r="G598">
        <v>3.18</v>
      </c>
      <c r="H598">
        <v>3</v>
      </c>
      <c r="I598">
        <v>12</v>
      </c>
      <c r="J598">
        <f t="shared" si="32"/>
        <v>0.50567446562414364</v>
      </c>
      <c r="K598" s="2">
        <v>6.3E-2</v>
      </c>
      <c r="L598" s="17">
        <v>6.3E-2</v>
      </c>
      <c r="M598" s="2">
        <v>0</v>
      </c>
      <c r="N598" s="2">
        <f t="shared" si="33"/>
        <v>0</v>
      </c>
    </row>
    <row r="599" spans="1:16" x14ac:dyDescent="0.25">
      <c r="A599" s="12" t="s">
        <v>560</v>
      </c>
      <c r="C599">
        <v>157</v>
      </c>
      <c r="D599">
        <v>1</v>
      </c>
      <c r="F599">
        <v>0.4</v>
      </c>
      <c r="H599">
        <v>83</v>
      </c>
      <c r="J599">
        <f t="shared" si="32"/>
        <v>4.3863446330651271E-2</v>
      </c>
      <c r="K599" s="2">
        <v>0.69</v>
      </c>
      <c r="L599" s="17">
        <v>0.69</v>
      </c>
      <c r="M599" s="2">
        <v>0</v>
      </c>
      <c r="N599" s="2">
        <f t="shared" si="33"/>
        <v>0</v>
      </c>
    </row>
    <row r="600" spans="1:16" x14ac:dyDescent="0.25">
      <c r="A600" s="12" t="s">
        <v>561</v>
      </c>
      <c r="C600">
        <v>157</v>
      </c>
      <c r="D600">
        <v>1</v>
      </c>
      <c r="F600">
        <v>1.55</v>
      </c>
      <c r="H600">
        <v>83</v>
      </c>
      <c r="J600">
        <f t="shared" si="32"/>
        <v>0.16772446148268047</v>
      </c>
      <c r="K600" s="2">
        <v>0.13</v>
      </c>
      <c r="L600" s="17">
        <v>0.13</v>
      </c>
      <c r="M600" s="2">
        <v>0</v>
      </c>
      <c r="N600" s="2">
        <f t="shared" si="33"/>
        <v>0</v>
      </c>
    </row>
    <row r="601" spans="1:16" x14ac:dyDescent="0.25">
      <c r="A601" s="12" t="s">
        <v>562</v>
      </c>
      <c r="C601">
        <v>157</v>
      </c>
      <c r="D601">
        <v>1</v>
      </c>
      <c r="F601">
        <v>2.12</v>
      </c>
      <c r="H601">
        <v>83</v>
      </c>
      <c r="J601">
        <f t="shared" si="32"/>
        <v>0.22664478589093023</v>
      </c>
      <c r="K601" s="2">
        <v>0.04</v>
      </c>
      <c r="L601" s="17">
        <v>0.04</v>
      </c>
      <c r="M601" s="2">
        <v>0</v>
      </c>
      <c r="N601" s="2">
        <f t="shared" si="33"/>
        <v>0</v>
      </c>
    </row>
    <row r="602" spans="1:16" x14ac:dyDescent="0.25">
      <c r="A602" s="12" t="s">
        <v>563</v>
      </c>
      <c r="C602">
        <v>157</v>
      </c>
      <c r="D602">
        <v>1</v>
      </c>
      <c r="J602">
        <v>0.49</v>
      </c>
    </row>
    <row r="603" spans="1:16" x14ac:dyDescent="0.25">
      <c r="A603" s="12" t="s">
        <v>564</v>
      </c>
      <c r="C603">
        <v>159</v>
      </c>
      <c r="D603">
        <v>1</v>
      </c>
      <c r="E603">
        <v>0</v>
      </c>
      <c r="J603" t="b">
        <f t="shared" ref="J603:J609" si="34">IF(NOT(ISBLANK(F603)),SQRT((F603^2*1/H603)/(F603^2*1/H603+1)),IF(NOT(ISBLANK(G603)),SQRT((G603*H603/I603)/(G603*H603/I603+1)*SQRT(1/H603))))</f>
        <v>0</v>
      </c>
      <c r="K603" s="2" t="s">
        <v>2161</v>
      </c>
      <c r="L603" s="17">
        <v>1E-4</v>
      </c>
      <c r="M603" s="2" t="s">
        <v>2558</v>
      </c>
      <c r="N603" s="2" t="s">
        <v>2558</v>
      </c>
      <c r="O603" t="s">
        <v>2135</v>
      </c>
    </row>
    <row r="604" spans="1:16" x14ac:dyDescent="0.25">
      <c r="A604" s="12" t="s">
        <v>565</v>
      </c>
      <c r="C604">
        <v>159</v>
      </c>
      <c r="D604">
        <v>1</v>
      </c>
      <c r="E604">
        <v>0</v>
      </c>
      <c r="J604" t="b">
        <f t="shared" si="34"/>
        <v>0</v>
      </c>
      <c r="K604" s="2" t="s">
        <v>2161</v>
      </c>
      <c r="L604" s="17">
        <v>1E-4</v>
      </c>
      <c r="M604" s="2" t="s">
        <v>2558</v>
      </c>
      <c r="N604" s="2" t="s">
        <v>2558</v>
      </c>
    </row>
    <row r="605" spans="1:16" x14ac:dyDescent="0.25">
      <c r="A605" s="12" t="s">
        <v>566</v>
      </c>
      <c r="C605">
        <v>159</v>
      </c>
      <c r="D605">
        <v>1</v>
      </c>
      <c r="E605">
        <v>0</v>
      </c>
      <c r="J605" t="b">
        <f t="shared" si="34"/>
        <v>0</v>
      </c>
      <c r="K605" s="2">
        <v>1E-3</v>
      </c>
      <c r="L605" s="17">
        <v>1E-3</v>
      </c>
      <c r="M605" s="2" t="s">
        <v>2558</v>
      </c>
      <c r="N605" s="2" t="s">
        <v>2558</v>
      </c>
    </row>
    <row r="606" spans="1:16" x14ac:dyDescent="0.25">
      <c r="A606" s="12" t="s">
        <v>567</v>
      </c>
      <c r="C606">
        <v>159</v>
      </c>
      <c r="D606">
        <v>1</v>
      </c>
      <c r="E606">
        <v>0</v>
      </c>
      <c r="J606" t="b">
        <f t="shared" si="34"/>
        <v>0</v>
      </c>
      <c r="K606" s="2">
        <v>2.1999999999999999E-2</v>
      </c>
      <c r="L606" s="17">
        <v>2.1999999999999999E-2</v>
      </c>
      <c r="M606" s="2" t="s">
        <v>2558</v>
      </c>
      <c r="N606" s="2" t="s">
        <v>2558</v>
      </c>
    </row>
    <row r="607" spans="1:16" x14ac:dyDescent="0.25">
      <c r="A607" s="12" t="s">
        <v>568</v>
      </c>
      <c r="C607">
        <v>159</v>
      </c>
      <c r="D607">
        <v>1</v>
      </c>
      <c r="F607">
        <v>12.83</v>
      </c>
      <c r="H607">
        <v>352</v>
      </c>
      <c r="J607">
        <f t="shared" si="34"/>
        <v>0.56447630264548976</v>
      </c>
      <c r="K607" s="2" t="s">
        <v>2161</v>
      </c>
      <c r="L607" s="17">
        <v>1E-4</v>
      </c>
      <c r="M607" s="2" t="s">
        <v>2558</v>
      </c>
      <c r="N607" s="2" t="s">
        <v>2558</v>
      </c>
    </row>
    <row r="608" spans="1:16" x14ac:dyDescent="0.25">
      <c r="A608" s="12" t="s">
        <v>569</v>
      </c>
      <c r="C608">
        <v>159</v>
      </c>
      <c r="D608">
        <v>1</v>
      </c>
      <c r="J608" t="b">
        <f t="shared" si="34"/>
        <v>0</v>
      </c>
      <c r="K608" s="2" t="s">
        <v>2161</v>
      </c>
      <c r="L608" s="17">
        <v>1E-4</v>
      </c>
      <c r="M608" s="2" t="s">
        <v>2558</v>
      </c>
      <c r="N608" s="2" t="s">
        <v>2558</v>
      </c>
    </row>
    <row r="609" spans="1:16" x14ac:dyDescent="0.25">
      <c r="A609" s="12" t="s">
        <v>570</v>
      </c>
      <c r="C609">
        <v>159</v>
      </c>
      <c r="D609">
        <v>1</v>
      </c>
      <c r="F609">
        <v>5.08</v>
      </c>
      <c r="H609">
        <v>138</v>
      </c>
      <c r="J609">
        <f t="shared" si="34"/>
        <v>0.3969157014507696</v>
      </c>
      <c r="K609" s="2" t="s">
        <v>2161</v>
      </c>
      <c r="L609" s="17">
        <v>1E-4</v>
      </c>
      <c r="M609" s="2" t="s">
        <v>2558</v>
      </c>
      <c r="N609" s="2" t="s">
        <v>2558</v>
      </c>
    </row>
    <row r="610" spans="1:16" x14ac:dyDescent="0.25">
      <c r="A610" s="12" t="s">
        <v>571</v>
      </c>
      <c r="C610">
        <v>159</v>
      </c>
      <c r="D610">
        <v>1</v>
      </c>
      <c r="J610">
        <v>0.55000000000000004</v>
      </c>
      <c r="K610" s="2" t="s">
        <v>2161</v>
      </c>
      <c r="L610" s="17">
        <v>1E-4</v>
      </c>
      <c r="M610" s="2" t="s">
        <v>2558</v>
      </c>
      <c r="N610" s="2" t="s">
        <v>2558</v>
      </c>
    </row>
    <row r="611" spans="1:16" x14ac:dyDescent="0.25">
      <c r="A611" s="12" t="s">
        <v>572</v>
      </c>
      <c r="C611">
        <v>159</v>
      </c>
      <c r="D611">
        <v>1</v>
      </c>
      <c r="J611">
        <v>0.64</v>
      </c>
      <c r="K611" s="2" t="s">
        <v>2161</v>
      </c>
      <c r="L611" s="17">
        <v>1E-4</v>
      </c>
      <c r="M611" s="2" t="s">
        <v>2558</v>
      </c>
      <c r="N611" s="2" t="s">
        <v>2558</v>
      </c>
    </row>
    <row r="612" spans="1:16" x14ac:dyDescent="0.25">
      <c r="A612" s="12" t="s">
        <v>573</v>
      </c>
      <c r="C612">
        <v>159</v>
      </c>
      <c r="D612">
        <v>1</v>
      </c>
      <c r="F612">
        <v>0.433</v>
      </c>
      <c r="H612">
        <v>120</v>
      </c>
      <c r="J612">
        <f>IF(NOT(ISBLANK(F612)),SQRT((F612^2*1/H612)/(F612^2*1/H612+1)),IF(NOT(ISBLANK(G612)),SQRT((G612*H612/I612)/(G612*H612/I612+1)*SQRT(1/H612))))</f>
        <v>3.9496468470097579E-2</v>
      </c>
      <c r="K612" s="2">
        <v>0.67</v>
      </c>
      <c r="L612" s="17">
        <v>0.67</v>
      </c>
      <c r="M612" s="2" t="s">
        <v>2558</v>
      </c>
      <c r="N612" s="2" t="s">
        <v>2558</v>
      </c>
    </row>
    <row r="613" spans="1:16" x14ac:dyDescent="0.25">
      <c r="A613" s="12" t="s">
        <v>574</v>
      </c>
      <c r="C613">
        <v>162</v>
      </c>
      <c r="D613">
        <v>1</v>
      </c>
      <c r="J613">
        <v>0.46</v>
      </c>
      <c r="K613" s="2" t="s">
        <v>2517</v>
      </c>
      <c r="L613" s="17">
        <v>1E-3</v>
      </c>
      <c r="M613" s="2" t="s">
        <v>2558</v>
      </c>
      <c r="N613" s="2" t="s">
        <v>2558</v>
      </c>
      <c r="O613" t="s">
        <v>2135</v>
      </c>
      <c r="P613" s="2" t="s">
        <v>2560</v>
      </c>
    </row>
    <row r="614" spans="1:16" x14ac:dyDescent="0.25">
      <c r="A614" s="12" t="s">
        <v>575</v>
      </c>
      <c r="C614">
        <v>162</v>
      </c>
      <c r="D614">
        <v>1</v>
      </c>
      <c r="J614">
        <v>0.26</v>
      </c>
      <c r="K614" s="2">
        <v>5.0000000000000001E-3</v>
      </c>
      <c r="L614" s="17">
        <v>5.0000000000000001E-3</v>
      </c>
      <c r="M614" s="2">
        <v>0</v>
      </c>
      <c r="N614" s="2">
        <f t="shared" si="33"/>
        <v>0</v>
      </c>
      <c r="O614" t="s">
        <v>2165</v>
      </c>
      <c r="P614" s="2" t="s">
        <v>2560</v>
      </c>
    </row>
    <row r="615" spans="1:16" x14ac:dyDescent="0.25">
      <c r="A615" s="12" t="s">
        <v>576</v>
      </c>
      <c r="C615">
        <v>162</v>
      </c>
      <c r="D615">
        <v>1</v>
      </c>
      <c r="J615">
        <v>0.11</v>
      </c>
      <c r="K615" s="2">
        <v>0.27</v>
      </c>
      <c r="L615" s="17">
        <v>0.27</v>
      </c>
      <c r="M615" s="2">
        <v>0</v>
      </c>
      <c r="N615" s="2">
        <f t="shared" si="33"/>
        <v>0</v>
      </c>
      <c r="P615" s="2" t="s">
        <v>2560</v>
      </c>
    </row>
    <row r="616" spans="1:16" x14ac:dyDescent="0.25">
      <c r="A616" s="12" t="s">
        <v>2420</v>
      </c>
      <c r="C616">
        <v>164</v>
      </c>
      <c r="D616">
        <v>1</v>
      </c>
      <c r="J616" t="b">
        <f t="shared" ref="J616:J633" si="35">IF(NOT(ISBLANK(F616)),SQRT((F616^2*1/H616)/(F616^2*1/H616+1)),IF(NOT(ISBLANK(G616)),SQRT((G616*H616/I616)/(G616*H616/I616+1)*SQRT(1/H616))))</f>
        <v>0</v>
      </c>
      <c r="K616" s="2" t="s">
        <v>2533</v>
      </c>
      <c r="L616" s="17">
        <v>4.9000000000000002E-2</v>
      </c>
      <c r="O616" t="s">
        <v>2318</v>
      </c>
    </row>
    <row r="617" spans="1:16" x14ac:dyDescent="0.25">
      <c r="A617" s="12" t="s">
        <v>2421</v>
      </c>
      <c r="C617">
        <v>164</v>
      </c>
      <c r="D617">
        <v>1</v>
      </c>
      <c r="J617" t="b">
        <f t="shared" si="35"/>
        <v>0</v>
      </c>
      <c r="K617" s="2">
        <v>0.05</v>
      </c>
      <c r="L617" s="17">
        <v>0.05</v>
      </c>
      <c r="O617" t="s">
        <v>2318</v>
      </c>
    </row>
    <row r="618" spans="1:16" x14ac:dyDescent="0.25">
      <c r="A618" s="12" t="s">
        <v>2422</v>
      </c>
      <c r="C618">
        <v>164</v>
      </c>
      <c r="D618">
        <v>1</v>
      </c>
      <c r="J618" t="b">
        <f t="shared" si="35"/>
        <v>0</v>
      </c>
      <c r="K618" s="2">
        <v>0.05</v>
      </c>
      <c r="L618" s="17">
        <v>0.05</v>
      </c>
      <c r="O618" t="s">
        <v>2318</v>
      </c>
    </row>
    <row r="619" spans="1:16" x14ac:dyDescent="0.25">
      <c r="A619" s="12" t="s">
        <v>2423</v>
      </c>
      <c r="C619">
        <v>164</v>
      </c>
      <c r="D619">
        <v>1</v>
      </c>
      <c r="J619" t="b">
        <f t="shared" si="35"/>
        <v>0</v>
      </c>
      <c r="K619" s="2" t="s">
        <v>2174</v>
      </c>
      <c r="L619" s="17">
        <v>1E-3</v>
      </c>
      <c r="O619" t="s">
        <v>2318</v>
      </c>
    </row>
    <row r="620" spans="1:16" x14ac:dyDescent="0.25">
      <c r="A620" s="12" t="s">
        <v>2424</v>
      </c>
      <c r="C620">
        <v>164</v>
      </c>
      <c r="D620">
        <v>1</v>
      </c>
      <c r="J620" t="b">
        <f t="shared" si="35"/>
        <v>0</v>
      </c>
      <c r="K620" s="2" t="s">
        <v>2174</v>
      </c>
      <c r="L620" s="17">
        <v>1E-3</v>
      </c>
      <c r="O620" t="s">
        <v>2318</v>
      </c>
    </row>
    <row r="621" spans="1:16" x14ac:dyDescent="0.25">
      <c r="A621" s="12" t="s">
        <v>2425</v>
      </c>
      <c r="C621">
        <v>164</v>
      </c>
      <c r="D621">
        <v>1</v>
      </c>
      <c r="G621">
        <v>4.66</v>
      </c>
      <c r="H621">
        <v>1</v>
      </c>
      <c r="I621">
        <v>134</v>
      </c>
      <c r="J621">
        <f t="shared" si="35"/>
        <v>0.18332317084981722</v>
      </c>
      <c r="K621" s="2" t="s">
        <v>2533</v>
      </c>
      <c r="L621" s="17">
        <v>4.9000000000000002E-2</v>
      </c>
      <c r="M621" s="2">
        <v>0</v>
      </c>
      <c r="N621" s="2">
        <f t="shared" si="33"/>
        <v>0</v>
      </c>
    </row>
    <row r="622" spans="1:16" x14ac:dyDescent="0.25">
      <c r="A622" s="12" t="s">
        <v>2426</v>
      </c>
      <c r="C622">
        <v>164</v>
      </c>
      <c r="D622">
        <v>1</v>
      </c>
      <c r="J622" t="b">
        <f t="shared" si="35"/>
        <v>0</v>
      </c>
      <c r="K622" s="2" t="s">
        <v>2174</v>
      </c>
      <c r="L622" s="17">
        <v>1E-3</v>
      </c>
      <c r="O622" t="s">
        <v>2318</v>
      </c>
    </row>
    <row r="623" spans="1:16" x14ac:dyDescent="0.25">
      <c r="A623" s="12" t="s">
        <v>2427</v>
      </c>
      <c r="C623">
        <v>164</v>
      </c>
      <c r="D623">
        <v>1</v>
      </c>
      <c r="G623">
        <v>47.73</v>
      </c>
      <c r="H623">
        <v>1</v>
      </c>
      <c r="I623">
        <v>134</v>
      </c>
      <c r="J623">
        <f t="shared" si="35"/>
        <v>0.51248646963120315</v>
      </c>
      <c r="K623" s="2" t="s">
        <v>2534</v>
      </c>
      <c r="L623" s="17">
        <v>0.01</v>
      </c>
      <c r="M623" s="2">
        <v>0</v>
      </c>
      <c r="N623" s="2">
        <f t="shared" si="33"/>
        <v>0</v>
      </c>
    </row>
    <row r="624" spans="1:16" x14ac:dyDescent="0.25">
      <c r="A624" s="12" t="s">
        <v>2428</v>
      </c>
      <c r="C624">
        <v>164</v>
      </c>
      <c r="D624">
        <v>1</v>
      </c>
      <c r="J624" t="b">
        <f t="shared" si="35"/>
        <v>0</v>
      </c>
      <c r="K624" s="2" t="s">
        <v>2174</v>
      </c>
      <c r="L624" s="17">
        <v>1E-3</v>
      </c>
      <c r="O624" t="s">
        <v>2318</v>
      </c>
    </row>
    <row r="625" spans="1:15" x14ac:dyDescent="0.25">
      <c r="A625" s="12" t="s">
        <v>577</v>
      </c>
      <c r="C625">
        <v>165</v>
      </c>
      <c r="D625">
        <v>1</v>
      </c>
      <c r="G625">
        <v>55.63</v>
      </c>
      <c r="H625">
        <v>1</v>
      </c>
      <c r="I625">
        <v>83</v>
      </c>
      <c r="J625">
        <f t="shared" si="35"/>
        <v>0.63346980461868097</v>
      </c>
      <c r="K625" s="2" t="s">
        <v>2136</v>
      </c>
      <c r="L625" s="17">
        <v>1E-3</v>
      </c>
      <c r="M625" s="2" t="s">
        <v>2558</v>
      </c>
      <c r="N625" s="2" t="s">
        <v>2558</v>
      </c>
      <c r="O625" t="s">
        <v>2135</v>
      </c>
    </row>
    <row r="626" spans="1:15" x14ac:dyDescent="0.25">
      <c r="A626" s="12" t="s">
        <v>578</v>
      </c>
      <c r="C626">
        <v>165</v>
      </c>
      <c r="D626">
        <v>1</v>
      </c>
      <c r="G626">
        <v>0.75</v>
      </c>
      <c r="H626">
        <v>1</v>
      </c>
      <c r="I626">
        <v>83</v>
      </c>
      <c r="J626">
        <f t="shared" si="35"/>
        <v>9.4632044681476762E-2</v>
      </c>
      <c r="K626" s="2">
        <v>0.38800000000000001</v>
      </c>
      <c r="L626" s="17">
        <v>0.38800000000000001</v>
      </c>
      <c r="M626" s="2" t="s">
        <v>2558</v>
      </c>
      <c r="N626" s="2" t="s">
        <v>2558</v>
      </c>
    </row>
    <row r="627" spans="1:15" x14ac:dyDescent="0.25">
      <c r="A627" s="12" t="s">
        <v>579</v>
      </c>
      <c r="B627" s="4" t="s">
        <v>2162</v>
      </c>
      <c r="C627">
        <v>165</v>
      </c>
      <c r="D627">
        <v>1</v>
      </c>
      <c r="G627">
        <v>3.1</v>
      </c>
      <c r="H627">
        <v>1</v>
      </c>
      <c r="I627">
        <v>78</v>
      </c>
      <c r="J627">
        <f t="shared" si="35"/>
        <v>0.19551065010205768</v>
      </c>
      <c r="K627" s="2">
        <v>8.2000000000000003E-2</v>
      </c>
      <c r="L627" s="17">
        <v>8.2000000000000003E-2</v>
      </c>
      <c r="M627" s="2" t="s">
        <v>2558</v>
      </c>
      <c r="N627" s="2" t="s">
        <v>2558</v>
      </c>
    </row>
    <row r="628" spans="1:15" x14ac:dyDescent="0.25">
      <c r="A628" s="12" t="s">
        <v>580</v>
      </c>
      <c r="C628">
        <v>165</v>
      </c>
      <c r="D628">
        <v>1</v>
      </c>
      <c r="G628">
        <v>5.96</v>
      </c>
      <c r="H628">
        <v>1</v>
      </c>
      <c r="I628">
        <v>84</v>
      </c>
      <c r="J628">
        <f t="shared" si="35"/>
        <v>0.25739399256341777</v>
      </c>
      <c r="K628" s="2" t="s">
        <v>2174</v>
      </c>
      <c r="L628" s="17">
        <v>1E-3</v>
      </c>
      <c r="M628" s="2" t="s">
        <v>2558</v>
      </c>
      <c r="N628" s="2" t="s">
        <v>2558</v>
      </c>
    </row>
    <row r="629" spans="1:15" x14ac:dyDescent="0.25">
      <c r="A629" s="12" t="s">
        <v>581</v>
      </c>
      <c r="C629">
        <v>165</v>
      </c>
      <c r="D629">
        <v>1</v>
      </c>
      <c r="G629">
        <v>8.99</v>
      </c>
      <c r="H629">
        <v>1</v>
      </c>
      <c r="I629">
        <v>84</v>
      </c>
      <c r="J629">
        <f t="shared" si="35"/>
        <v>0.31092935218419432</v>
      </c>
      <c r="K629" s="2">
        <v>4.0000000000000001E-3</v>
      </c>
      <c r="L629" s="17">
        <v>4.0000000000000001E-3</v>
      </c>
      <c r="M629" s="2" t="s">
        <v>2558</v>
      </c>
      <c r="N629" s="2" t="s">
        <v>2558</v>
      </c>
    </row>
    <row r="630" spans="1:15" x14ac:dyDescent="0.25">
      <c r="A630" s="12" t="s">
        <v>582</v>
      </c>
      <c r="C630">
        <v>165</v>
      </c>
      <c r="D630">
        <v>1</v>
      </c>
      <c r="F630">
        <v>2.5</v>
      </c>
      <c r="H630">
        <v>37</v>
      </c>
      <c r="J630">
        <f t="shared" si="35"/>
        <v>0.38014296063485276</v>
      </c>
      <c r="K630" s="2">
        <v>1.7000000000000001E-2</v>
      </c>
      <c r="L630" s="17">
        <v>1.7000000000000001E-2</v>
      </c>
      <c r="M630" s="2" t="s">
        <v>2558</v>
      </c>
      <c r="N630" s="2" t="s">
        <v>2558</v>
      </c>
    </row>
    <row r="631" spans="1:15" x14ac:dyDescent="0.25">
      <c r="A631" s="12" t="s">
        <v>583</v>
      </c>
      <c r="C631">
        <v>173</v>
      </c>
      <c r="D631">
        <v>1</v>
      </c>
      <c r="F631">
        <v>7.17</v>
      </c>
      <c r="H631">
        <v>240</v>
      </c>
      <c r="J631">
        <f t="shared" si="35"/>
        <v>0.42001785229623373</v>
      </c>
      <c r="K631" s="2" t="s">
        <v>2141</v>
      </c>
      <c r="L631" s="17">
        <v>1E-3</v>
      </c>
      <c r="M631" s="2">
        <v>0</v>
      </c>
      <c r="N631" s="2">
        <f t="shared" si="33"/>
        <v>0</v>
      </c>
    </row>
    <row r="632" spans="1:15" x14ac:dyDescent="0.25">
      <c r="A632" s="12" t="s">
        <v>584</v>
      </c>
      <c r="C632">
        <v>173</v>
      </c>
      <c r="D632">
        <v>1</v>
      </c>
      <c r="F632">
        <v>6.43</v>
      </c>
      <c r="H632">
        <v>240</v>
      </c>
      <c r="J632">
        <f t="shared" si="35"/>
        <v>0.38334645319066457</v>
      </c>
      <c r="K632" s="2" t="s">
        <v>2141</v>
      </c>
      <c r="L632" s="17">
        <v>1E-3</v>
      </c>
      <c r="M632" s="2">
        <v>0</v>
      </c>
      <c r="N632" s="2">
        <f t="shared" si="33"/>
        <v>0</v>
      </c>
    </row>
    <row r="633" spans="1:15" x14ac:dyDescent="0.25">
      <c r="A633" s="12" t="s">
        <v>585</v>
      </c>
      <c r="C633">
        <v>173</v>
      </c>
      <c r="D633">
        <v>1</v>
      </c>
      <c r="F633">
        <v>3.35</v>
      </c>
      <c r="H633">
        <v>158</v>
      </c>
      <c r="J633">
        <f t="shared" si="35"/>
        <v>0.25752284028131822</v>
      </c>
      <c r="K633" s="2">
        <v>1E-3</v>
      </c>
      <c r="L633" s="17">
        <v>1E-3</v>
      </c>
      <c r="M633" s="2">
        <v>0</v>
      </c>
      <c r="N633" s="2">
        <f t="shared" si="33"/>
        <v>0</v>
      </c>
    </row>
    <row r="634" spans="1:15" x14ac:dyDescent="0.25">
      <c r="A634" s="12" t="s">
        <v>586</v>
      </c>
      <c r="C634">
        <v>173</v>
      </c>
      <c r="D634">
        <v>1</v>
      </c>
      <c r="J634">
        <v>0.21</v>
      </c>
      <c r="K634" s="2">
        <v>2.1000000000000001E-2</v>
      </c>
      <c r="L634" s="17">
        <v>2.1000000000000001E-2</v>
      </c>
    </row>
    <row r="635" spans="1:15" x14ac:dyDescent="0.25">
      <c r="A635" s="12" t="s">
        <v>587</v>
      </c>
      <c r="C635">
        <v>173</v>
      </c>
      <c r="D635">
        <v>1</v>
      </c>
      <c r="J635">
        <v>0.15</v>
      </c>
    </row>
    <row r="636" spans="1:15" x14ac:dyDescent="0.25">
      <c r="A636" s="12" t="s">
        <v>588</v>
      </c>
      <c r="C636">
        <v>173</v>
      </c>
      <c r="D636">
        <v>1</v>
      </c>
      <c r="J636">
        <v>0.17</v>
      </c>
    </row>
    <row r="637" spans="1:15" x14ac:dyDescent="0.25">
      <c r="A637" s="12" t="s">
        <v>589</v>
      </c>
      <c r="C637">
        <v>173</v>
      </c>
      <c r="D637">
        <v>1</v>
      </c>
      <c r="J637">
        <v>-0.14000000000000001</v>
      </c>
    </row>
    <row r="638" spans="1:15" x14ac:dyDescent="0.25">
      <c r="A638" s="12" t="s">
        <v>590</v>
      </c>
      <c r="C638">
        <v>173</v>
      </c>
      <c r="D638">
        <v>1</v>
      </c>
      <c r="G638">
        <v>5.72</v>
      </c>
      <c r="H638">
        <v>1</v>
      </c>
      <c r="I638">
        <v>159</v>
      </c>
      <c r="J638">
        <f t="shared" ref="J638:J658" si="36">IF(NOT(ISBLANK(F638)),SQRT((F638^2*1/H638)/(F638^2*1/H638+1)),IF(NOT(ISBLANK(G638)),SQRT((G638*H638/I638)/(G638*H638/I638+1)*SQRT(1/H638))))</f>
        <v>0.18634804788085216</v>
      </c>
      <c r="K638" s="2">
        <v>1.7999999999999999E-2</v>
      </c>
      <c r="L638" s="17">
        <v>1.7999999999999999E-2</v>
      </c>
      <c r="M638" s="2">
        <v>0</v>
      </c>
      <c r="N638" s="2">
        <f t="shared" si="33"/>
        <v>0</v>
      </c>
    </row>
    <row r="639" spans="1:15" x14ac:dyDescent="0.25">
      <c r="A639" s="12" t="s">
        <v>591</v>
      </c>
      <c r="C639">
        <v>173</v>
      </c>
      <c r="D639">
        <v>1</v>
      </c>
      <c r="G639">
        <v>5.52</v>
      </c>
      <c r="H639">
        <v>1</v>
      </c>
      <c r="I639">
        <v>159</v>
      </c>
      <c r="J639">
        <f t="shared" si="36"/>
        <v>0.18317246439920307</v>
      </c>
      <c r="K639" s="2">
        <v>0.02</v>
      </c>
      <c r="L639" s="17">
        <v>0.02</v>
      </c>
      <c r="M639" s="2">
        <v>0</v>
      </c>
      <c r="N639" s="2">
        <f t="shared" si="33"/>
        <v>0</v>
      </c>
    </row>
    <row r="640" spans="1:15" x14ac:dyDescent="0.25">
      <c r="A640" s="12" t="s">
        <v>592</v>
      </c>
      <c r="C640">
        <v>173</v>
      </c>
      <c r="D640">
        <v>1</v>
      </c>
      <c r="G640">
        <v>0.12</v>
      </c>
      <c r="H640">
        <v>1</v>
      </c>
      <c r="I640">
        <v>159</v>
      </c>
      <c r="J640">
        <f t="shared" si="36"/>
        <v>2.7461751819054483E-2</v>
      </c>
      <c r="K640" s="2">
        <v>0.72599999999999998</v>
      </c>
      <c r="L640" s="17">
        <v>0.72599999999999998</v>
      </c>
      <c r="M640" s="2">
        <v>0</v>
      </c>
      <c r="N640" s="2">
        <f t="shared" si="33"/>
        <v>0</v>
      </c>
    </row>
    <row r="641" spans="1:15" x14ac:dyDescent="0.25">
      <c r="A641" s="12" t="s">
        <v>593</v>
      </c>
      <c r="C641">
        <v>173</v>
      </c>
      <c r="D641">
        <v>1</v>
      </c>
      <c r="G641">
        <v>5.33</v>
      </c>
      <c r="H641">
        <v>1</v>
      </c>
      <c r="I641">
        <v>159</v>
      </c>
      <c r="J641">
        <f t="shared" si="36"/>
        <v>0.18009646022196671</v>
      </c>
      <c r="K641" s="2">
        <v>2.1999999999999999E-2</v>
      </c>
      <c r="L641" s="17">
        <v>2.1999999999999999E-2</v>
      </c>
      <c r="M641" s="2">
        <v>0</v>
      </c>
      <c r="N641" s="2">
        <f t="shared" si="33"/>
        <v>0</v>
      </c>
    </row>
    <row r="642" spans="1:15" x14ac:dyDescent="0.25">
      <c r="A642" s="12" t="s">
        <v>594</v>
      </c>
      <c r="C642">
        <v>173</v>
      </c>
      <c r="D642">
        <v>1</v>
      </c>
      <c r="E642">
        <v>0</v>
      </c>
      <c r="J642" t="b">
        <f t="shared" si="36"/>
        <v>0</v>
      </c>
      <c r="M642" s="2" t="s">
        <v>2558</v>
      </c>
      <c r="N642" s="2" t="s">
        <v>2558</v>
      </c>
    </row>
    <row r="643" spans="1:15" x14ac:dyDescent="0.25">
      <c r="A643" s="12" t="s">
        <v>595</v>
      </c>
      <c r="C643">
        <v>173</v>
      </c>
      <c r="D643">
        <v>1</v>
      </c>
      <c r="E643">
        <v>0</v>
      </c>
      <c r="J643" t="b">
        <f t="shared" si="36"/>
        <v>0</v>
      </c>
      <c r="M643" s="2" t="s">
        <v>2558</v>
      </c>
      <c r="N643" s="2" t="s">
        <v>2558</v>
      </c>
    </row>
    <row r="644" spans="1:15" x14ac:dyDescent="0.25">
      <c r="A644" s="12" t="s">
        <v>596</v>
      </c>
      <c r="C644">
        <v>173</v>
      </c>
      <c r="D644">
        <v>1</v>
      </c>
      <c r="E644">
        <v>0</v>
      </c>
      <c r="J644" t="b">
        <f t="shared" si="36"/>
        <v>0</v>
      </c>
      <c r="M644" s="2" t="s">
        <v>2558</v>
      </c>
      <c r="N644" s="2" t="s">
        <v>2558</v>
      </c>
    </row>
    <row r="645" spans="1:15" x14ac:dyDescent="0.25">
      <c r="A645" s="12" t="s">
        <v>597</v>
      </c>
      <c r="C645">
        <v>174</v>
      </c>
      <c r="D645">
        <v>1</v>
      </c>
      <c r="F645">
        <v>4.58</v>
      </c>
      <c r="H645">
        <v>96</v>
      </c>
      <c r="J645">
        <f t="shared" si="36"/>
        <v>0.42346386026009225</v>
      </c>
      <c r="K645" s="2" t="s">
        <v>2517</v>
      </c>
      <c r="L645" s="17">
        <v>1E-3</v>
      </c>
      <c r="M645" s="2">
        <v>0</v>
      </c>
      <c r="N645" s="2">
        <f t="shared" si="33"/>
        <v>0</v>
      </c>
    </row>
    <row r="646" spans="1:15" x14ac:dyDescent="0.25">
      <c r="A646" s="12" t="s">
        <v>598</v>
      </c>
      <c r="C646">
        <v>174</v>
      </c>
      <c r="D646">
        <v>1</v>
      </c>
      <c r="F646">
        <v>2.89</v>
      </c>
      <c r="H646">
        <v>96</v>
      </c>
      <c r="J646">
        <f t="shared" si="36"/>
        <v>0.28290931430999516</v>
      </c>
      <c r="K646" s="2">
        <v>5.0000000000000001E-3</v>
      </c>
      <c r="L646" s="17">
        <v>5.0000000000000001E-3</v>
      </c>
      <c r="M646" s="2">
        <v>0</v>
      </c>
      <c r="N646" s="2">
        <f t="shared" si="33"/>
        <v>0</v>
      </c>
    </row>
    <row r="647" spans="1:15" x14ac:dyDescent="0.25">
      <c r="A647" s="12" t="s">
        <v>599</v>
      </c>
      <c r="C647">
        <v>174</v>
      </c>
      <c r="D647">
        <v>1</v>
      </c>
      <c r="F647">
        <v>9.74</v>
      </c>
      <c r="H647">
        <v>191.74</v>
      </c>
      <c r="J647">
        <f t="shared" si="36"/>
        <v>0.57532746337688789</v>
      </c>
      <c r="K647" s="2" t="s">
        <v>2519</v>
      </c>
      <c r="L647" s="17">
        <v>1E-3</v>
      </c>
      <c r="M647" s="2">
        <v>0</v>
      </c>
      <c r="N647" s="2">
        <f t="shared" si="33"/>
        <v>0</v>
      </c>
    </row>
    <row r="648" spans="1:15" x14ac:dyDescent="0.25">
      <c r="A648" s="22" t="s">
        <v>600</v>
      </c>
      <c r="B648" s="8"/>
      <c r="C648" s="8">
        <v>175</v>
      </c>
      <c r="D648" s="8">
        <v>1</v>
      </c>
      <c r="E648" s="8">
        <v>0</v>
      </c>
      <c r="F648" s="8"/>
      <c r="G648" s="8"/>
      <c r="H648" s="8"/>
      <c r="I648" s="8"/>
      <c r="J648" s="8" t="b">
        <f t="shared" si="36"/>
        <v>0</v>
      </c>
      <c r="K648" s="9"/>
      <c r="L648" s="19"/>
      <c r="M648" s="9" t="s">
        <v>2558</v>
      </c>
      <c r="N648" s="2" t="s">
        <v>2558</v>
      </c>
      <c r="O648" s="8"/>
    </row>
    <row r="649" spans="1:15" x14ac:dyDescent="0.25">
      <c r="A649" s="22" t="s">
        <v>601</v>
      </c>
      <c r="B649" s="8"/>
      <c r="C649" s="8">
        <v>175</v>
      </c>
      <c r="D649" s="8">
        <v>1</v>
      </c>
      <c r="E649" s="8">
        <v>0</v>
      </c>
      <c r="F649" s="8"/>
      <c r="G649" s="8"/>
      <c r="H649" s="8"/>
      <c r="I649" s="8"/>
      <c r="J649" s="8" t="b">
        <f t="shared" si="36"/>
        <v>0</v>
      </c>
      <c r="K649" s="9">
        <v>2E-3</v>
      </c>
      <c r="L649" s="19">
        <v>2E-3</v>
      </c>
      <c r="M649" s="9">
        <v>0</v>
      </c>
      <c r="N649" s="2">
        <f t="shared" si="33"/>
        <v>0</v>
      </c>
      <c r="O649" s="8"/>
    </row>
    <row r="650" spans="1:15" x14ac:dyDescent="0.25">
      <c r="A650" s="12" t="s">
        <v>602</v>
      </c>
      <c r="C650">
        <v>177</v>
      </c>
      <c r="D650">
        <v>1</v>
      </c>
      <c r="E650">
        <v>0</v>
      </c>
      <c r="J650" t="b">
        <f t="shared" si="36"/>
        <v>0</v>
      </c>
      <c r="K650" s="2">
        <v>1E-3</v>
      </c>
      <c r="L650" s="17">
        <v>1E-3</v>
      </c>
      <c r="M650" s="2" t="s">
        <v>2558</v>
      </c>
      <c r="N650" s="2" t="s">
        <v>2558</v>
      </c>
      <c r="O650" t="s">
        <v>2135</v>
      </c>
    </row>
    <row r="651" spans="1:15" x14ac:dyDescent="0.25">
      <c r="A651" s="12" t="s">
        <v>603</v>
      </c>
      <c r="C651">
        <v>177</v>
      </c>
      <c r="D651">
        <v>1</v>
      </c>
      <c r="E651">
        <v>0</v>
      </c>
      <c r="J651" t="b">
        <f t="shared" si="36"/>
        <v>0</v>
      </c>
      <c r="K651" s="2">
        <v>1E-3</v>
      </c>
      <c r="L651" s="17">
        <v>1E-3</v>
      </c>
      <c r="M651" s="2" t="s">
        <v>2558</v>
      </c>
      <c r="N651" s="2" t="s">
        <v>2558</v>
      </c>
    </row>
    <row r="652" spans="1:15" x14ac:dyDescent="0.25">
      <c r="A652" s="12" t="s">
        <v>604</v>
      </c>
      <c r="C652">
        <v>177</v>
      </c>
      <c r="D652">
        <v>1</v>
      </c>
      <c r="E652">
        <v>0</v>
      </c>
      <c r="J652" t="b">
        <f t="shared" si="36"/>
        <v>0</v>
      </c>
      <c r="K652" s="2">
        <v>1E-3</v>
      </c>
      <c r="L652" s="17">
        <v>1E-3</v>
      </c>
      <c r="M652" s="2" t="s">
        <v>2558</v>
      </c>
      <c r="N652" s="2" t="s">
        <v>2558</v>
      </c>
    </row>
    <row r="653" spans="1:15" x14ac:dyDescent="0.25">
      <c r="A653" s="12" t="s">
        <v>605</v>
      </c>
      <c r="C653">
        <v>177</v>
      </c>
      <c r="D653">
        <v>1</v>
      </c>
      <c r="E653">
        <v>0</v>
      </c>
      <c r="J653" t="b">
        <f t="shared" si="36"/>
        <v>0</v>
      </c>
      <c r="K653" s="2">
        <v>2E-3</v>
      </c>
      <c r="L653" s="17">
        <v>2E-3</v>
      </c>
      <c r="M653" s="2" t="s">
        <v>2558</v>
      </c>
      <c r="N653" s="2" t="s">
        <v>2558</v>
      </c>
    </row>
    <row r="654" spans="1:15" x14ac:dyDescent="0.25">
      <c r="A654" s="12" t="s">
        <v>606</v>
      </c>
      <c r="C654">
        <v>177</v>
      </c>
      <c r="D654">
        <v>2</v>
      </c>
      <c r="E654">
        <v>0</v>
      </c>
      <c r="J654" t="b">
        <f t="shared" si="36"/>
        <v>0</v>
      </c>
      <c r="K654" s="2">
        <v>0.01</v>
      </c>
      <c r="L654" s="17">
        <v>0.01</v>
      </c>
      <c r="M654" s="2" t="s">
        <v>2558</v>
      </c>
      <c r="N654" s="2" t="s">
        <v>2558</v>
      </c>
    </row>
    <row r="655" spans="1:15" x14ac:dyDescent="0.25">
      <c r="A655" s="12" t="s">
        <v>607</v>
      </c>
      <c r="C655">
        <v>177</v>
      </c>
      <c r="D655">
        <v>1</v>
      </c>
      <c r="E655">
        <v>0</v>
      </c>
      <c r="J655" t="b">
        <f t="shared" si="36"/>
        <v>0</v>
      </c>
    </row>
    <row r="656" spans="1:15" x14ac:dyDescent="0.25">
      <c r="A656" s="12" t="s">
        <v>608</v>
      </c>
      <c r="C656">
        <v>177</v>
      </c>
      <c r="D656">
        <v>1</v>
      </c>
      <c r="E656">
        <v>0</v>
      </c>
      <c r="J656" t="b">
        <f t="shared" si="36"/>
        <v>0</v>
      </c>
      <c r="O656" t="s">
        <v>2562</v>
      </c>
    </row>
    <row r="657" spans="1:16" x14ac:dyDescent="0.25">
      <c r="A657" s="12" t="s">
        <v>609</v>
      </c>
      <c r="C657">
        <v>177</v>
      </c>
      <c r="D657">
        <v>1</v>
      </c>
      <c r="E657">
        <v>0</v>
      </c>
      <c r="J657" t="b">
        <f t="shared" si="36"/>
        <v>0</v>
      </c>
      <c r="K657" s="2">
        <v>0.221</v>
      </c>
      <c r="L657" s="17">
        <v>0.221</v>
      </c>
      <c r="M657" s="2" t="s">
        <v>2558</v>
      </c>
      <c r="N657" s="2" t="s">
        <v>2558</v>
      </c>
    </row>
    <row r="658" spans="1:16" x14ac:dyDescent="0.25">
      <c r="A658" s="12" t="s">
        <v>610</v>
      </c>
      <c r="C658">
        <v>177</v>
      </c>
      <c r="D658">
        <v>2</v>
      </c>
      <c r="E658">
        <v>0</v>
      </c>
      <c r="J658" t="b">
        <f t="shared" si="36"/>
        <v>0</v>
      </c>
      <c r="K658" s="2">
        <v>1E-3</v>
      </c>
      <c r="L658" s="17">
        <v>1E-3</v>
      </c>
      <c r="M658" s="2" t="s">
        <v>2558</v>
      </c>
      <c r="N658" s="2" t="s">
        <v>2558</v>
      </c>
    </row>
    <row r="659" spans="1:16" x14ac:dyDescent="0.25">
      <c r="A659" s="12" t="s">
        <v>611</v>
      </c>
      <c r="C659">
        <v>177</v>
      </c>
      <c r="D659">
        <v>1</v>
      </c>
      <c r="J659">
        <v>0.73</v>
      </c>
      <c r="K659" s="2">
        <v>1E-3</v>
      </c>
      <c r="L659" s="17">
        <v>1E-3</v>
      </c>
      <c r="P659" s="2" t="s">
        <v>2560</v>
      </c>
    </row>
    <row r="660" spans="1:16" x14ac:dyDescent="0.25">
      <c r="A660" s="12" t="s">
        <v>612</v>
      </c>
      <c r="C660">
        <v>177</v>
      </c>
      <c r="D660">
        <v>2</v>
      </c>
      <c r="E660">
        <v>0</v>
      </c>
      <c r="J660" t="b">
        <f t="shared" ref="J660:J687" si="37">IF(NOT(ISBLANK(F660)),SQRT((F660^2*1/H660)/(F660^2*1/H660+1)),IF(NOT(ISBLANK(G660)),SQRT((G660*H660/I660)/(G660*H660/I660+1)*SQRT(1/H660))))</f>
        <v>0</v>
      </c>
      <c r="K660" s="2">
        <v>0.01</v>
      </c>
      <c r="L660" s="17">
        <v>0.01</v>
      </c>
      <c r="M660" s="2" t="s">
        <v>2558</v>
      </c>
      <c r="N660" s="2" t="s">
        <v>2558</v>
      </c>
      <c r="O660" t="s">
        <v>2164</v>
      </c>
    </row>
    <row r="661" spans="1:16" x14ac:dyDescent="0.25">
      <c r="A661" s="12" t="s">
        <v>613</v>
      </c>
      <c r="C661">
        <v>177</v>
      </c>
      <c r="D661">
        <v>1</v>
      </c>
      <c r="E661">
        <v>0</v>
      </c>
      <c r="J661" t="b">
        <f t="shared" si="37"/>
        <v>0</v>
      </c>
      <c r="K661" s="2">
        <v>1E-3</v>
      </c>
      <c r="L661" s="17">
        <v>1E-3</v>
      </c>
      <c r="M661" s="2" t="s">
        <v>2558</v>
      </c>
      <c r="N661" s="2" t="s">
        <v>2558</v>
      </c>
    </row>
    <row r="662" spans="1:16" x14ac:dyDescent="0.25">
      <c r="A662" s="12" t="s">
        <v>614</v>
      </c>
      <c r="C662">
        <v>177</v>
      </c>
      <c r="D662">
        <v>1</v>
      </c>
      <c r="E662">
        <v>0</v>
      </c>
      <c r="J662" t="b">
        <f t="shared" si="37"/>
        <v>0</v>
      </c>
      <c r="K662" s="2">
        <v>0.01</v>
      </c>
      <c r="L662" s="17">
        <v>0.01</v>
      </c>
      <c r="M662" s="2" t="s">
        <v>2558</v>
      </c>
      <c r="N662" s="2" t="s">
        <v>2558</v>
      </c>
    </row>
    <row r="663" spans="1:16" x14ac:dyDescent="0.25">
      <c r="A663" s="12" t="s">
        <v>615</v>
      </c>
      <c r="C663">
        <v>177</v>
      </c>
      <c r="D663">
        <v>1</v>
      </c>
      <c r="E663">
        <v>0</v>
      </c>
      <c r="J663" t="b">
        <f t="shared" si="37"/>
        <v>0</v>
      </c>
      <c r="K663" s="2">
        <v>1E-3</v>
      </c>
      <c r="L663" s="17">
        <v>1E-3</v>
      </c>
      <c r="M663" s="2" t="s">
        <v>2558</v>
      </c>
      <c r="N663" s="2" t="s">
        <v>2558</v>
      </c>
    </row>
    <row r="664" spans="1:16" x14ac:dyDescent="0.25">
      <c r="A664" s="12" t="s">
        <v>616</v>
      </c>
      <c r="C664">
        <v>177</v>
      </c>
      <c r="D664">
        <v>1</v>
      </c>
      <c r="E664">
        <v>0</v>
      </c>
      <c r="J664" t="b">
        <f t="shared" si="37"/>
        <v>0</v>
      </c>
      <c r="K664" s="2">
        <v>0.36</v>
      </c>
      <c r="L664" s="17">
        <v>0.36</v>
      </c>
      <c r="M664" s="2" t="s">
        <v>2558</v>
      </c>
      <c r="N664" s="2" t="s">
        <v>2558</v>
      </c>
    </row>
    <row r="665" spans="1:16" x14ac:dyDescent="0.25">
      <c r="A665" s="12" t="s">
        <v>617</v>
      </c>
      <c r="C665">
        <v>177</v>
      </c>
      <c r="D665">
        <v>1</v>
      </c>
      <c r="E665">
        <v>0</v>
      </c>
      <c r="J665" t="b">
        <f t="shared" si="37"/>
        <v>0</v>
      </c>
      <c r="K665" s="2">
        <v>0.01</v>
      </c>
      <c r="L665" s="17">
        <v>0.01</v>
      </c>
      <c r="M665" s="2" t="s">
        <v>2558</v>
      </c>
      <c r="N665" s="2" t="s">
        <v>2558</v>
      </c>
    </row>
    <row r="666" spans="1:16" x14ac:dyDescent="0.25">
      <c r="A666" s="12" t="s">
        <v>618</v>
      </c>
      <c r="C666">
        <v>177</v>
      </c>
      <c r="D666">
        <v>1</v>
      </c>
      <c r="E666">
        <v>0</v>
      </c>
      <c r="J666" t="b">
        <f t="shared" si="37"/>
        <v>0</v>
      </c>
      <c r="K666" s="2">
        <v>0.08</v>
      </c>
      <c r="L666" s="17">
        <v>0.08</v>
      </c>
      <c r="M666" s="2" t="s">
        <v>2558</v>
      </c>
      <c r="N666" s="2" t="s">
        <v>2558</v>
      </c>
    </row>
    <row r="667" spans="1:16" x14ac:dyDescent="0.25">
      <c r="A667" s="12" t="s">
        <v>619</v>
      </c>
      <c r="C667">
        <v>178</v>
      </c>
      <c r="D667">
        <v>1</v>
      </c>
      <c r="F667">
        <v>10.56</v>
      </c>
      <c r="H667">
        <v>1122</v>
      </c>
      <c r="J667">
        <f t="shared" si="37"/>
        <v>0.30067128047502517</v>
      </c>
      <c r="K667" s="2" t="s">
        <v>2136</v>
      </c>
      <c r="L667" s="17">
        <v>1E-3</v>
      </c>
      <c r="M667" s="2" t="s">
        <v>2558</v>
      </c>
      <c r="N667" s="2" t="s">
        <v>2558</v>
      </c>
      <c r="O667" t="s">
        <v>2135</v>
      </c>
    </row>
    <row r="668" spans="1:16" x14ac:dyDescent="0.25">
      <c r="A668" s="12" t="s">
        <v>620</v>
      </c>
      <c r="C668">
        <v>178</v>
      </c>
      <c r="D668">
        <v>1</v>
      </c>
      <c r="F668">
        <v>1.63</v>
      </c>
      <c r="H668">
        <v>1122</v>
      </c>
      <c r="J668">
        <f t="shared" si="37"/>
        <v>4.8604622941127044E-2</v>
      </c>
      <c r="K668" s="2">
        <v>0.10199999999999999</v>
      </c>
      <c r="L668" s="17">
        <v>0.10199999999999999</v>
      </c>
      <c r="M668" s="2" t="s">
        <v>2558</v>
      </c>
      <c r="N668" s="2" t="s">
        <v>2558</v>
      </c>
    </row>
    <row r="669" spans="1:16" x14ac:dyDescent="0.25">
      <c r="A669" s="12" t="s">
        <v>621</v>
      </c>
      <c r="C669">
        <v>183</v>
      </c>
      <c r="D669">
        <v>1</v>
      </c>
      <c r="G669">
        <v>45.13</v>
      </c>
      <c r="H669">
        <v>1</v>
      </c>
      <c r="I669">
        <v>303</v>
      </c>
      <c r="J669">
        <f t="shared" si="37"/>
        <v>0.36004927579218593</v>
      </c>
      <c r="K669" s="2">
        <v>0</v>
      </c>
      <c r="L669" s="17">
        <v>0</v>
      </c>
      <c r="M669" s="2">
        <v>0</v>
      </c>
      <c r="N669" s="2">
        <f t="shared" ref="N669:N698" si="38">IF(M669=0, 0)</f>
        <v>0</v>
      </c>
      <c r="O669" t="s">
        <v>2179</v>
      </c>
    </row>
    <row r="670" spans="1:16" x14ac:dyDescent="0.25">
      <c r="A670" s="12" t="s">
        <v>622</v>
      </c>
      <c r="C670">
        <v>183</v>
      </c>
      <c r="D670">
        <v>1</v>
      </c>
      <c r="G670">
        <v>23.21</v>
      </c>
      <c r="H670">
        <v>1</v>
      </c>
      <c r="I670">
        <v>303</v>
      </c>
      <c r="J670">
        <f t="shared" si="37"/>
        <v>0.26674048414765744</v>
      </c>
      <c r="K670" s="2">
        <v>0</v>
      </c>
      <c r="L670" s="17">
        <v>0</v>
      </c>
      <c r="M670" s="2">
        <v>0</v>
      </c>
      <c r="N670" s="2">
        <f t="shared" si="38"/>
        <v>0</v>
      </c>
    </row>
    <row r="671" spans="1:16" x14ac:dyDescent="0.25">
      <c r="A671" s="12" t="s">
        <v>623</v>
      </c>
      <c r="C671">
        <v>183</v>
      </c>
      <c r="D671">
        <v>1</v>
      </c>
      <c r="G671">
        <v>3.93</v>
      </c>
      <c r="H671">
        <v>1</v>
      </c>
      <c r="I671">
        <v>303</v>
      </c>
      <c r="J671">
        <f t="shared" si="37"/>
        <v>0.11315574426933656</v>
      </c>
      <c r="K671" s="2">
        <v>4.8000000000000001E-2</v>
      </c>
      <c r="L671" s="17">
        <v>4.8000000000000001E-2</v>
      </c>
      <c r="M671" s="2">
        <v>0</v>
      </c>
      <c r="N671" s="2">
        <f t="shared" si="38"/>
        <v>0</v>
      </c>
    </row>
    <row r="672" spans="1:16" x14ac:dyDescent="0.25">
      <c r="A672" s="12" t="s">
        <v>624</v>
      </c>
      <c r="C672">
        <v>183</v>
      </c>
      <c r="D672">
        <v>1</v>
      </c>
      <c r="E672">
        <v>0</v>
      </c>
      <c r="J672" t="b">
        <f t="shared" si="37"/>
        <v>0</v>
      </c>
      <c r="K672" s="2">
        <v>0</v>
      </c>
      <c r="L672" s="17">
        <v>0</v>
      </c>
    </row>
    <row r="673" spans="1:15" x14ac:dyDescent="0.25">
      <c r="A673" s="12" t="s">
        <v>625</v>
      </c>
      <c r="C673">
        <v>183</v>
      </c>
      <c r="D673">
        <v>1</v>
      </c>
      <c r="E673">
        <v>0</v>
      </c>
      <c r="J673" t="b">
        <f t="shared" si="37"/>
        <v>0</v>
      </c>
      <c r="K673" s="2">
        <v>0</v>
      </c>
      <c r="L673" s="17">
        <v>0</v>
      </c>
    </row>
    <row r="674" spans="1:15" x14ac:dyDescent="0.25">
      <c r="A674" s="12" t="s">
        <v>626</v>
      </c>
      <c r="C674">
        <v>186</v>
      </c>
      <c r="D674">
        <v>1</v>
      </c>
      <c r="G674">
        <v>52.27</v>
      </c>
      <c r="H674">
        <v>2</v>
      </c>
      <c r="I674">
        <v>114</v>
      </c>
      <c r="J674">
        <f t="shared" si="37"/>
        <v>0.581591806589703</v>
      </c>
      <c r="K674" s="2" t="s">
        <v>2141</v>
      </c>
      <c r="L674" s="17">
        <v>1E-3</v>
      </c>
      <c r="M674" s="2">
        <v>0</v>
      </c>
      <c r="N674" s="2">
        <f t="shared" si="38"/>
        <v>0</v>
      </c>
    </row>
    <row r="675" spans="1:15" x14ac:dyDescent="0.25">
      <c r="A675" s="12" t="s">
        <v>627</v>
      </c>
      <c r="B675" s="4" t="s">
        <v>2166</v>
      </c>
      <c r="C675">
        <v>186</v>
      </c>
      <c r="D675">
        <v>1</v>
      </c>
      <c r="G675">
        <v>94.13</v>
      </c>
      <c r="H675">
        <v>1</v>
      </c>
      <c r="I675">
        <v>57</v>
      </c>
      <c r="J675">
        <f t="shared" si="37"/>
        <v>0.7892029285863349</v>
      </c>
      <c r="K675" s="2" t="s">
        <v>2141</v>
      </c>
      <c r="L675" s="17">
        <v>1E-3</v>
      </c>
      <c r="M675" s="2">
        <v>0</v>
      </c>
      <c r="N675" s="2">
        <f t="shared" si="38"/>
        <v>0</v>
      </c>
    </row>
    <row r="676" spans="1:15" x14ac:dyDescent="0.25">
      <c r="A676" s="12" t="s">
        <v>628</v>
      </c>
      <c r="C676">
        <v>186</v>
      </c>
      <c r="D676">
        <v>1</v>
      </c>
      <c r="G676">
        <v>17.38</v>
      </c>
      <c r="H676">
        <v>2</v>
      </c>
      <c r="I676">
        <v>114</v>
      </c>
      <c r="J676">
        <f t="shared" si="37"/>
        <v>0.40648011065477907</v>
      </c>
      <c r="K676" s="2" t="s">
        <v>2141</v>
      </c>
      <c r="L676" s="17">
        <v>1E-3</v>
      </c>
      <c r="M676" s="2">
        <v>0</v>
      </c>
      <c r="N676" s="2">
        <f t="shared" si="38"/>
        <v>0</v>
      </c>
    </row>
    <row r="677" spans="1:15" x14ac:dyDescent="0.25">
      <c r="A677" s="12" t="s">
        <v>629</v>
      </c>
      <c r="C677">
        <v>186</v>
      </c>
      <c r="D677">
        <v>1</v>
      </c>
      <c r="G677">
        <v>1.5</v>
      </c>
      <c r="H677">
        <v>1</v>
      </c>
      <c r="I677">
        <v>57</v>
      </c>
      <c r="J677">
        <f t="shared" si="37"/>
        <v>0.16012815380508713</v>
      </c>
      <c r="K677" s="2">
        <v>0.22570999999999999</v>
      </c>
      <c r="L677" s="17">
        <v>0.22570999999999999</v>
      </c>
      <c r="M677" s="2">
        <v>1</v>
      </c>
      <c r="N677" s="2">
        <v>0</v>
      </c>
    </row>
    <row r="678" spans="1:15" x14ac:dyDescent="0.25">
      <c r="A678" s="12" t="s">
        <v>630</v>
      </c>
      <c r="C678">
        <v>186</v>
      </c>
      <c r="D678">
        <v>1</v>
      </c>
      <c r="F678">
        <v>5.58</v>
      </c>
      <c r="H678">
        <v>57</v>
      </c>
      <c r="J678">
        <f t="shared" si="37"/>
        <v>0.59436954059659242</v>
      </c>
      <c r="K678" s="2" t="s">
        <v>2141</v>
      </c>
      <c r="L678" s="17">
        <v>1E-3</v>
      </c>
      <c r="M678" s="2">
        <v>0</v>
      </c>
      <c r="N678" s="2">
        <f t="shared" si="38"/>
        <v>0</v>
      </c>
    </row>
    <row r="679" spans="1:15" x14ac:dyDescent="0.25">
      <c r="A679" s="12" t="s">
        <v>631</v>
      </c>
      <c r="C679">
        <v>186</v>
      </c>
      <c r="D679">
        <v>1</v>
      </c>
      <c r="F679">
        <v>7.71</v>
      </c>
      <c r="H679">
        <v>57</v>
      </c>
      <c r="J679">
        <f t="shared" si="37"/>
        <v>0.7144891428440745</v>
      </c>
      <c r="K679" s="2" t="s">
        <v>2139</v>
      </c>
      <c r="L679" s="17">
        <v>1E-3</v>
      </c>
      <c r="M679" s="2">
        <v>0</v>
      </c>
      <c r="N679" s="2">
        <f t="shared" si="38"/>
        <v>0</v>
      </c>
    </row>
    <row r="680" spans="1:15" x14ac:dyDescent="0.25">
      <c r="A680" s="12" t="s">
        <v>632</v>
      </c>
      <c r="C680">
        <v>191</v>
      </c>
      <c r="D680">
        <v>1</v>
      </c>
      <c r="E680">
        <v>0</v>
      </c>
      <c r="J680" t="b">
        <f t="shared" si="37"/>
        <v>0</v>
      </c>
      <c r="K680" s="2">
        <v>1E-3</v>
      </c>
      <c r="L680" s="17">
        <v>1E-3</v>
      </c>
      <c r="O680" t="s">
        <v>2135</v>
      </c>
    </row>
    <row r="681" spans="1:15" x14ac:dyDescent="0.25">
      <c r="A681" s="12" t="s">
        <v>633</v>
      </c>
      <c r="C681">
        <v>191</v>
      </c>
      <c r="D681">
        <v>1</v>
      </c>
      <c r="G681">
        <v>114.12</v>
      </c>
      <c r="H681">
        <v>1</v>
      </c>
      <c r="I681">
        <v>362</v>
      </c>
      <c r="J681">
        <f t="shared" si="37"/>
        <v>0.48957887387643112</v>
      </c>
      <c r="K681" s="2" t="s">
        <v>2167</v>
      </c>
      <c r="L681" s="17" t="s">
        <v>2572</v>
      </c>
      <c r="M681" s="2" t="s">
        <v>2558</v>
      </c>
      <c r="N681" s="2" t="s">
        <v>2558</v>
      </c>
    </row>
    <row r="682" spans="1:15" x14ac:dyDescent="0.25">
      <c r="A682" s="12" t="s">
        <v>634</v>
      </c>
      <c r="C682">
        <v>191</v>
      </c>
      <c r="D682">
        <v>1</v>
      </c>
      <c r="G682">
        <v>4.1399999999999997</v>
      </c>
      <c r="H682">
        <v>2</v>
      </c>
      <c r="I682">
        <v>362</v>
      </c>
      <c r="J682">
        <f t="shared" si="37"/>
        <v>0.12574552601548417</v>
      </c>
      <c r="K682" s="2">
        <v>1.6E-2</v>
      </c>
      <c r="L682" s="17">
        <v>1.6E-2</v>
      </c>
      <c r="M682" s="2" t="s">
        <v>2558</v>
      </c>
      <c r="N682" s="2" t="s">
        <v>2558</v>
      </c>
    </row>
    <row r="683" spans="1:15" x14ac:dyDescent="0.25">
      <c r="A683" s="12" t="s">
        <v>635</v>
      </c>
      <c r="C683">
        <v>191</v>
      </c>
      <c r="D683">
        <v>1</v>
      </c>
      <c r="G683">
        <v>68.23</v>
      </c>
      <c r="H683">
        <v>1</v>
      </c>
      <c r="I683">
        <v>362</v>
      </c>
      <c r="J683">
        <f t="shared" si="37"/>
        <v>0.39823308704047677</v>
      </c>
      <c r="K683" s="2" t="s">
        <v>2167</v>
      </c>
      <c r="L683" s="17" t="s">
        <v>2572</v>
      </c>
      <c r="M683" s="2" t="s">
        <v>2558</v>
      </c>
      <c r="N683" s="2" t="s">
        <v>2558</v>
      </c>
    </row>
    <row r="684" spans="1:15" x14ac:dyDescent="0.25">
      <c r="A684" s="12" t="s">
        <v>636</v>
      </c>
      <c r="C684">
        <v>191</v>
      </c>
      <c r="D684">
        <v>2</v>
      </c>
      <c r="G684">
        <v>43.14</v>
      </c>
      <c r="H684">
        <v>1</v>
      </c>
      <c r="I684">
        <v>362</v>
      </c>
      <c r="J684">
        <f t="shared" si="37"/>
        <v>0.3263153536476085</v>
      </c>
      <c r="K684" s="2" t="s">
        <v>2167</v>
      </c>
      <c r="L684" s="17" t="s">
        <v>2572</v>
      </c>
      <c r="M684" s="2" t="s">
        <v>2558</v>
      </c>
      <c r="N684" s="2" t="s">
        <v>2558</v>
      </c>
      <c r="O684" t="s">
        <v>2168</v>
      </c>
    </row>
    <row r="685" spans="1:15" x14ac:dyDescent="0.25">
      <c r="A685" s="12" t="s">
        <v>637</v>
      </c>
      <c r="C685">
        <v>191</v>
      </c>
      <c r="D685">
        <v>1</v>
      </c>
      <c r="G685">
        <v>27.16</v>
      </c>
      <c r="H685">
        <v>1</v>
      </c>
      <c r="I685">
        <v>362</v>
      </c>
      <c r="J685">
        <f t="shared" si="37"/>
        <v>0.26418051681004179</v>
      </c>
      <c r="K685" s="2" t="s">
        <v>2167</v>
      </c>
      <c r="L685" s="17" t="s">
        <v>2572</v>
      </c>
      <c r="M685" s="2" t="s">
        <v>2558</v>
      </c>
      <c r="N685" s="2" t="s">
        <v>2558</v>
      </c>
    </row>
    <row r="686" spans="1:15" x14ac:dyDescent="0.25">
      <c r="A686" s="12" t="s">
        <v>638</v>
      </c>
      <c r="C686">
        <v>191</v>
      </c>
      <c r="D686">
        <v>1</v>
      </c>
      <c r="G686">
        <v>74.709999999999994</v>
      </c>
      <c r="H686">
        <v>1</v>
      </c>
      <c r="I686">
        <v>362</v>
      </c>
      <c r="J686">
        <f t="shared" si="37"/>
        <v>0.41361168525820763</v>
      </c>
      <c r="K686" s="2" t="s">
        <v>2167</v>
      </c>
      <c r="L686" s="17" t="s">
        <v>2572</v>
      </c>
      <c r="M686" s="2" t="s">
        <v>2558</v>
      </c>
      <c r="N686" s="2" t="s">
        <v>2558</v>
      </c>
    </row>
    <row r="687" spans="1:15" x14ac:dyDescent="0.25">
      <c r="A687" s="12" t="s">
        <v>639</v>
      </c>
      <c r="C687">
        <v>191</v>
      </c>
      <c r="D687">
        <v>1</v>
      </c>
      <c r="G687">
        <v>3.34</v>
      </c>
      <c r="H687">
        <v>1</v>
      </c>
      <c r="I687">
        <v>362</v>
      </c>
      <c r="J687">
        <f t="shared" si="37"/>
        <v>9.5614689972425351E-2</v>
      </c>
      <c r="K687" s="2">
        <v>6.8000000000000005E-2</v>
      </c>
      <c r="L687" s="17">
        <v>6.8000000000000005E-2</v>
      </c>
      <c r="M687" s="2" t="s">
        <v>2558</v>
      </c>
      <c r="N687" s="2" t="s">
        <v>2558</v>
      </c>
    </row>
    <row r="688" spans="1:15" x14ac:dyDescent="0.25">
      <c r="A688" s="12" t="s">
        <v>640</v>
      </c>
      <c r="B688" s="4" t="s">
        <v>2169</v>
      </c>
      <c r="C688">
        <v>191</v>
      </c>
      <c r="D688">
        <v>1</v>
      </c>
      <c r="J688">
        <v>0.36899999999999999</v>
      </c>
      <c r="O688" t="s">
        <v>2157</v>
      </c>
    </row>
    <row r="689" spans="1:15" x14ac:dyDescent="0.25">
      <c r="A689" s="12" t="s">
        <v>641</v>
      </c>
      <c r="B689" s="4" t="s">
        <v>2170</v>
      </c>
      <c r="C689">
        <v>191</v>
      </c>
      <c r="D689">
        <v>1</v>
      </c>
      <c r="J689">
        <v>0.255</v>
      </c>
      <c r="K689" s="2">
        <v>3.6999999999999998E-2</v>
      </c>
      <c r="L689" s="17">
        <v>3.6999999999999998E-2</v>
      </c>
    </row>
    <row r="690" spans="1:15" x14ac:dyDescent="0.25">
      <c r="A690" s="12" t="s">
        <v>642</v>
      </c>
      <c r="B690" s="4" t="s">
        <v>2171</v>
      </c>
      <c r="C690">
        <v>191</v>
      </c>
      <c r="D690">
        <v>1</v>
      </c>
      <c r="J690">
        <v>-1.4E-2</v>
      </c>
      <c r="O690" t="s">
        <v>2157</v>
      </c>
    </row>
    <row r="691" spans="1:15" x14ac:dyDescent="0.25">
      <c r="A691" s="12" t="s">
        <v>643</v>
      </c>
      <c r="B691" s="4" t="s">
        <v>2171</v>
      </c>
      <c r="C691">
        <v>191</v>
      </c>
      <c r="D691">
        <v>1</v>
      </c>
      <c r="J691">
        <v>-0.27</v>
      </c>
      <c r="O691" t="s">
        <v>2157</v>
      </c>
    </row>
    <row r="692" spans="1:15" x14ac:dyDescent="0.25">
      <c r="A692" s="12" t="s">
        <v>644</v>
      </c>
      <c r="B692" s="4" t="s">
        <v>2172</v>
      </c>
      <c r="C692">
        <v>191</v>
      </c>
      <c r="D692">
        <v>1</v>
      </c>
      <c r="J692">
        <v>-0.13700000000000001</v>
      </c>
      <c r="K692" s="2">
        <v>6.4000000000000001E-2</v>
      </c>
      <c r="L692" s="17">
        <v>6.4000000000000001E-2</v>
      </c>
    </row>
    <row r="693" spans="1:15" x14ac:dyDescent="0.25">
      <c r="A693" s="12" t="s">
        <v>645</v>
      </c>
      <c r="B693" s="4" t="s">
        <v>2173</v>
      </c>
      <c r="C693">
        <v>191</v>
      </c>
      <c r="D693">
        <v>1</v>
      </c>
      <c r="J693">
        <v>0.11899999999999999</v>
      </c>
      <c r="K693" s="2" t="s">
        <v>2174</v>
      </c>
      <c r="L693" s="17">
        <v>1E-3</v>
      </c>
    </row>
    <row r="694" spans="1:15" x14ac:dyDescent="0.25">
      <c r="A694" s="12" t="s">
        <v>646</v>
      </c>
      <c r="C694">
        <v>191</v>
      </c>
      <c r="D694">
        <v>0</v>
      </c>
      <c r="J694" t="b">
        <f t="shared" ref="J694:J714" si="39">IF(NOT(ISBLANK(F694)),SQRT((F694^2*1/H694)/(F694^2*1/H694+1)),IF(NOT(ISBLANK(G694)),SQRT((G694*H694/I694)/(G694*H694/I694+1)*SQRT(1/H694))))</f>
        <v>0</v>
      </c>
    </row>
    <row r="695" spans="1:15" x14ac:dyDescent="0.25">
      <c r="A695" s="12" t="s">
        <v>647</v>
      </c>
      <c r="C695">
        <v>192</v>
      </c>
      <c r="D695">
        <v>1</v>
      </c>
      <c r="F695">
        <v>9.0399999999999991</v>
      </c>
      <c r="H695">
        <v>211</v>
      </c>
      <c r="J695">
        <f t="shared" si="39"/>
        <v>0.52837352116715441</v>
      </c>
      <c r="K695" s="2" t="s">
        <v>2519</v>
      </c>
      <c r="L695" s="17">
        <v>1E-3</v>
      </c>
      <c r="M695" s="2">
        <v>0</v>
      </c>
      <c r="N695" s="2">
        <f t="shared" si="38"/>
        <v>0</v>
      </c>
    </row>
    <row r="696" spans="1:15" x14ac:dyDescent="0.25">
      <c r="A696" s="12" t="s">
        <v>648</v>
      </c>
      <c r="C696">
        <v>192</v>
      </c>
      <c r="D696">
        <v>1</v>
      </c>
      <c r="F696">
        <v>3.64</v>
      </c>
      <c r="H696">
        <v>211</v>
      </c>
      <c r="J696">
        <f t="shared" si="39"/>
        <v>0.24307234182610432</v>
      </c>
      <c r="K696" s="2" t="s">
        <v>2517</v>
      </c>
      <c r="L696" s="17">
        <v>1E-3</v>
      </c>
      <c r="M696" s="2">
        <v>0</v>
      </c>
      <c r="N696" s="2">
        <f t="shared" si="38"/>
        <v>0</v>
      </c>
    </row>
    <row r="697" spans="1:15" x14ac:dyDescent="0.25">
      <c r="A697" s="12" t="s">
        <v>649</v>
      </c>
      <c r="C697">
        <v>192</v>
      </c>
      <c r="D697">
        <v>1</v>
      </c>
      <c r="F697">
        <v>9.0500000000000007</v>
      </c>
      <c r="H697">
        <v>211</v>
      </c>
      <c r="J697">
        <f t="shared" si="39"/>
        <v>0.52879463460546272</v>
      </c>
      <c r="K697" s="2" t="s">
        <v>2519</v>
      </c>
      <c r="L697" s="17">
        <v>1E-3</v>
      </c>
      <c r="M697" s="2">
        <v>0</v>
      </c>
      <c r="N697" s="2">
        <f t="shared" si="38"/>
        <v>0</v>
      </c>
    </row>
    <row r="698" spans="1:15" x14ac:dyDescent="0.25">
      <c r="A698" s="12" t="s">
        <v>650</v>
      </c>
      <c r="C698">
        <v>192</v>
      </c>
      <c r="D698">
        <v>1</v>
      </c>
      <c r="F698">
        <v>4.54</v>
      </c>
      <c r="H698">
        <v>221</v>
      </c>
      <c r="J698">
        <f t="shared" si="39"/>
        <v>0.29207673298998821</v>
      </c>
      <c r="K698" s="2" t="s">
        <v>2519</v>
      </c>
      <c r="L698" s="17">
        <v>1E-3</v>
      </c>
      <c r="M698" s="2">
        <v>0</v>
      </c>
      <c r="N698" s="2">
        <f t="shared" si="38"/>
        <v>0</v>
      </c>
    </row>
    <row r="699" spans="1:15" x14ac:dyDescent="0.25">
      <c r="A699" s="12" t="s">
        <v>651</v>
      </c>
      <c r="C699">
        <v>192</v>
      </c>
      <c r="D699">
        <v>1</v>
      </c>
      <c r="E699">
        <v>0</v>
      </c>
      <c r="J699" t="b">
        <f t="shared" si="39"/>
        <v>0</v>
      </c>
      <c r="K699" s="2">
        <v>0.01</v>
      </c>
      <c r="L699" s="17">
        <v>0.01</v>
      </c>
    </row>
    <row r="700" spans="1:15" x14ac:dyDescent="0.25">
      <c r="A700" s="12" t="s">
        <v>652</v>
      </c>
      <c r="C700">
        <v>192</v>
      </c>
      <c r="D700">
        <v>1</v>
      </c>
      <c r="E700">
        <v>0</v>
      </c>
      <c r="J700" t="b">
        <f t="shared" si="39"/>
        <v>0</v>
      </c>
      <c r="K700" s="2">
        <v>0.21</v>
      </c>
      <c r="L700" s="17">
        <v>0.21</v>
      </c>
    </row>
    <row r="701" spans="1:15" x14ac:dyDescent="0.25">
      <c r="A701" s="12" t="s">
        <v>653</v>
      </c>
      <c r="C701">
        <v>192</v>
      </c>
      <c r="D701">
        <v>0</v>
      </c>
      <c r="J701" t="b">
        <f t="shared" si="39"/>
        <v>0</v>
      </c>
    </row>
    <row r="702" spans="1:15" x14ac:dyDescent="0.25">
      <c r="A702" s="12" t="s">
        <v>654</v>
      </c>
      <c r="B702" t="s">
        <v>2180</v>
      </c>
      <c r="C702">
        <v>192</v>
      </c>
      <c r="D702">
        <v>1</v>
      </c>
      <c r="F702">
        <v>5</v>
      </c>
      <c r="H702">
        <v>221</v>
      </c>
      <c r="J702">
        <f t="shared" si="39"/>
        <v>0.31878835653166915</v>
      </c>
      <c r="K702" s="2" t="s">
        <v>2519</v>
      </c>
      <c r="L702" s="17">
        <v>1E-3</v>
      </c>
      <c r="M702" s="2" t="s">
        <v>2558</v>
      </c>
      <c r="N702" s="2" t="s">
        <v>2558</v>
      </c>
      <c r="O702" t="s">
        <v>2181</v>
      </c>
    </row>
    <row r="703" spans="1:15" x14ac:dyDescent="0.25">
      <c r="A703" s="12" t="s">
        <v>655</v>
      </c>
      <c r="C703">
        <v>192</v>
      </c>
      <c r="D703">
        <v>1</v>
      </c>
      <c r="F703">
        <v>3.23</v>
      </c>
      <c r="H703">
        <v>221</v>
      </c>
      <c r="J703">
        <f t="shared" si="39"/>
        <v>0.21231954442182366</v>
      </c>
      <c r="K703" s="2">
        <v>1E-3</v>
      </c>
      <c r="L703" s="17">
        <v>1E-3</v>
      </c>
    </row>
    <row r="704" spans="1:15" x14ac:dyDescent="0.25">
      <c r="A704" s="12" t="s">
        <v>2429</v>
      </c>
      <c r="C704">
        <v>194</v>
      </c>
      <c r="D704">
        <v>1</v>
      </c>
      <c r="J704" t="b">
        <f t="shared" si="39"/>
        <v>0</v>
      </c>
      <c r="K704" s="2">
        <v>0.26400000000000001</v>
      </c>
      <c r="L704" s="17">
        <v>0.26400000000000001</v>
      </c>
      <c r="O704" t="s">
        <v>2310</v>
      </c>
    </row>
    <row r="705" spans="1:15" x14ac:dyDescent="0.25">
      <c r="A705" s="12" t="s">
        <v>2430</v>
      </c>
      <c r="C705">
        <v>194</v>
      </c>
      <c r="D705">
        <v>1</v>
      </c>
      <c r="J705" t="b">
        <f t="shared" si="39"/>
        <v>0</v>
      </c>
      <c r="K705" s="2">
        <v>2E-3</v>
      </c>
      <c r="L705" s="17">
        <v>2E-3</v>
      </c>
      <c r="O705" t="s">
        <v>2310</v>
      </c>
    </row>
    <row r="706" spans="1:15" x14ac:dyDescent="0.25">
      <c r="A706" s="12" t="s">
        <v>2348</v>
      </c>
      <c r="C706">
        <v>194</v>
      </c>
      <c r="D706">
        <v>1</v>
      </c>
      <c r="J706" t="b">
        <f t="shared" si="39"/>
        <v>0</v>
      </c>
      <c r="K706" s="2">
        <v>3.0000000000000001E-3</v>
      </c>
      <c r="L706" s="17">
        <v>3.0000000000000001E-3</v>
      </c>
      <c r="O706" t="s">
        <v>2319</v>
      </c>
    </row>
    <row r="707" spans="1:15" x14ac:dyDescent="0.25">
      <c r="A707" s="12" t="s">
        <v>2431</v>
      </c>
      <c r="C707">
        <v>194</v>
      </c>
      <c r="D707">
        <v>1</v>
      </c>
      <c r="J707" t="b">
        <f t="shared" si="39"/>
        <v>0</v>
      </c>
      <c r="K707" s="2">
        <v>0.21</v>
      </c>
      <c r="L707" s="17">
        <v>0.21</v>
      </c>
      <c r="O707" t="s">
        <v>2320</v>
      </c>
    </row>
    <row r="708" spans="1:15" x14ac:dyDescent="0.25">
      <c r="A708" s="12" t="s">
        <v>2432</v>
      </c>
      <c r="C708">
        <v>194</v>
      </c>
      <c r="D708">
        <v>2</v>
      </c>
      <c r="J708" t="b">
        <f t="shared" si="39"/>
        <v>0</v>
      </c>
      <c r="K708" s="2">
        <v>0.03</v>
      </c>
      <c r="L708" s="17">
        <v>0.03</v>
      </c>
      <c r="O708" t="s">
        <v>2321</v>
      </c>
    </row>
    <row r="709" spans="1:15" x14ac:dyDescent="0.25">
      <c r="A709" s="12" t="s">
        <v>2433</v>
      </c>
      <c r="C709">
        <v>194</v>
      </c>
      <c r="D709">
        <v>2</v>
      </c>
      <c r="J709" t="b">
        <f t="shared" si="39"/>
        <v>0</v>
      </c>
      <c r="K709" s="2">
        <v>0.14000000000000001</v>
      </c>
      <c r="L709" s="17">
        <v>0.14000000000000001</v>
      </c>
      <c r="O709" t="s">
        <v>2321</v>
      </c>
    </row>
    <row r="710" spans="1:15" x14ac:dyDescent="0.25">
      <c r="A710" s="12" t="s">
        <v>2434</v>
      </c>
      <c r="C710">
        <v>194</v>
      </c>
      <c r="D710">
        <v>1</v>
      </c>
      <c r="J710" t="b">
        <f t="shared" si="39"/>
        <v>0</v>
      </c>
      <c r="K710" s="2">
        <v>0.15</v>
      </c>
      <c r="L710" s="17">
        <v>0.15</v>
      </c>
      <c r="O710" t="s">
        <v>2321</v>
      </c>
    </row>
    <row r="711" spans="1:15" x14ac:dyDescent="0.25">
      <c r="A711" s="12" t="s">
        <v>2435</v>
      </c>
      <c r="C711">
        <v>194</v>
      </c>
      <c r="D711">
        <v>1</v>
      </c>
      <c r="J711" t="b">
        <f t="shared" si="39"/>
        <v>0</v>
      </c>
      <c r="K711" s="2">
        <v>0.03</v>
      </c>
      <c r="L711" s="17">
        <v>0.03</v>
      </c>
      <c r="O711" t="s">
        <v>2321</v>
      </c>
    </row>
    <row r="712" spans="1:15" x14ac:dyDescent="0.25">
      <c r="A712" s="12" t="s">
        <v>656</v>
      </c>
      <c r="C712">
        <v>196</v>
      </c>
      <c r="D712">
        <v>1</v>
      </c>
      <c r="E712">
        <v>0</v>
      </c>
      <c r="J712" t="b">
        <f t="shared" si="39"/>
        <v>0</v>
      </c>
      <c r="K712" s="2" t="s">
        <v>2139</v>
      </c>
      <c r="L712" s="17">
        <v>1E-3</v>
      </c>
    </row>
    <row r="713" spans="1:15" x14ac:dyDescent="0.25">
      <c r="A713" s="12" t="s">
        <v>657</v>
      </c>
      <c r="C713">
        <v>196</v>
      </c>
      <c r="D713">
        <v>1</v>
      </c>
      <c r="E713">
        <v>0</v>
      </c>
      <c r="J713" t="b">
        <f t="shared" si="39"/>
        <v>0</v>
      </c>
      <c r="K713" s="2">
        <v>0.02</v>
      </c>
      <c r="L713" s="17">
        <v>0.02</v>
      </c>
    </row>
    <row r="714" spans="1:15" x14ac:dyDescent="0.25">
      <c r="A714" s="12" t="s">
        <v>2592</v>
      </c>
      <c r="C714">
        <v>198</v>
      </c>
      <c r="D714">
        <v>1</v>
      </c>
      <c r="E714">
        <v>0</v>
      </c>
      <c r="J714" t="b">
        <f t="shared" si="39"/>
        <v>0</v>
      </c>
      <c r="K714" s="2" t="s">
        <v>2136</v>
      </c>
    </row>
    <row r="715" spans="1:15" x14ac:dyDescent="0.25">
      <c r="A715" s="12" t="s">
        <v>2593</v>
      </c>
      <c r="C715">
        <v>198</v>
      </c>
      <c r="D715">
        <v>1</v>
      </c>
      <c r="J715">
        <v>0.15</v>
      </c>
      <c r="K715" s="2">
        <v>0.35</v>
      </c>
    </row>
    <row r="716" spans="1:15" x14ac:dyDescent="0.25">
      <c r="A716" s="12" t="s">
        <v>2594</v>
      </c>
      <c r="C716">
        <v>198</v>
      </c>
      <c r="D716">
        <v>1</v>
      </c>
      <c r="G716">
        <v>159.13</v>
      </c>
      <c r="H716">
        <v>3</v>
      </c>
      <c r="I716">
        <v>33</v>
      </c>
      <c r="J716">
        <f t="shared" ref="J716:J721" si="40">IF(NOT(ISBLANK(F716)),SQRT((F716^2*1/H716)/(F716^2*1/H716+1)),IF(NOT(ISBLANK(G716)),SQRT((G716*H716/I716)/(G716*H716/I716+1)*SQRT(1/H716))))</f>
        <v>0.73486111382790043</v>
      </c>
      <c r="K716" s="2" t="s">
        <v>2517</v>
      </c>
      <c r="L716" s="17">
        <v>1E-3</v>
      </c>
      <c r="M716" s="2" t="s">
        <v>2558</v>
      </c>
      <c r="N716" s="2" t="s">
        <v>2558</v>
      </c>
    </row>
    <row r="717" spans="1:15" x14ac:dyDescent="0.25">
      <c r="A717" s="12" t="s">
        <v>2595</v>
      </c>
      <c r="C717">
        <v>198</v>
      </c>
      <c r="D717">
        <v>1</v>
      </c>
      <c r="G717">
        <v>324.7</v>
      </c>
      <c r="H717">
        <v>1</v>
      </c>
      <c r="I717">
        <v>33</v>
      </c>
      <c r="J717">
        <f t="shared" si="40"/>
        <v>0.95275596008925734</v>
      </c>
      <c r="K717" s="2" t="s">
        <v>2517</v>
      </c>
      <c r="L717" s="17">
        <v>1E-3</v>
      </c>
      <c r="M717" s="2" t="s">
        <v>2558</v>
      </c>
      <c r="N717" s="2" t="s">
        <v>2558</v>
      </c>
    </row>
    <row r="718" spans="1:15" x14ac:dyDescent="0.25">
      <c r="A718" s="12" t="s">
        <v>2596</v>
      </c>
      <c r="C718">
        <v>198</v>
      </c>
      <c r="D718">
        <v>1</v>
      </c>
      <c r="F718">
        <v>1.07</v>
      </c>
      <c r="H718">
        <v>35</v>
      </c>
      <c r="J718">
        <f t="shared" si="40"/>
        <v>0.17797551729558855</v>
      </c>
      <c r="K718" s="2">
        <v>0.28999999999999998</v>
      </c>
      <c r="L718" s="17">
        <v>0.28999999999999998</v>
      </c>
      <c r="M718" s="2" t="s">
        <v>2558</v>
      </c>
      <c r="N718" s="2" t="s">
        <v>2558</v>
      </c>
    </row>
    <row r="719" spans="1:15" x14ac:dyDescent="0.25">
      <c r="A719" s="12" t="s">
        <v>2597</v>
      </c>
      <c r="C719">
        <v>198</v>
      </c>
      <c r="D719">
        <v>1</v>
      </c>
      <c r="G719">
        <v>93.6</v>
      </c>
      <c r="H719">
        <v>3</v>
      </c>
      <c r="I719">
        <v>33</v>
      </c>
      <c r="J719">
        <f t="shared" si="40"/>
        <v>0.71877302238395746</v>
      </c>
      <c r="K719" s="2" t="s">
        <v>2517</v>
      </c>
      <c r="L719" s="17">
        <v>1E-3</v>
      </c>
      <c r="M719" s="2" t="s">
        <v>2558</v>
      </c>
      <c r="N719" s="2" t="s">
        <v>2558</v>
      </c>
    </row>
    <row r="720" spans="1:15" x14ac:dyDescent="0.25">
      <c r="A720" s="12" t="s">
        <v>2598</v>
      </c>
      <c r="C720">
        <v>198</v>
      </c>
      <c r="D720">
        <v>1</v>
      </c>
      <c r="G720">
        <v>239</v>
      </c>
      <c r="H720">
        <v>1</v>
      </c>
      <c r="I720">
        <v>33</v>
      </c>
      <c r="J720">
        <f t="shared" si="40"/>
        <v>0.93737744296960512</v>
      </c>
      <c r="K720" s="2" t="s">
        <v>2136</v>
      </c>
      <c r="L720" s="17">
        <v>1E-3</v>
      </c>
      <c r="M720" s="2" t="s">
        <v>2558</v>
      </c>
      <c r="N720" s="2" t="s">
        <v>2558</v>
      </c>
    </row>
    <row r="721" spans="1:14" x14ac:dyDescent="0.25">
      <c r="A721" s="12" t="s">
        <v>2599</v>
      </c>
      <c r="C721">
        <v>198</v>
      </c>
      <c r="D721">
        <v>1</v>
      </c>
      <c r="F721">
        <v>0.76</v>
      </c>
      <c r="H721">
        <v>35</v>
      </c>
      <c r="J721">
        <f t="shared" si="40"/>
        <v>0.12741638175960249</v>
      </c>
      <c r="K721" s="2">
        <v>0.45</v>
      </c>
      <c r="L721" s="17">
        <v>0.45</v>
      </c>
      <c r="M721" s="2" t="s">
        <v>2558</v>
      </c>
      <c r="N721" s="2" t="s">
        <v>2558</v>
      </c>
    </row>
    <row r="722" spans="1:14" x14ac:dyDescent="0.25">
      <c r="A722" s="11" t="s">
        <v>2447</v>
      </c>
      <c r="C722">
        <v>203</v>
      </c>
      <c r="D722">
        <v>1</v>
      </c>
      <c r="E722">
        <v>0</v>
      </c>
      <c r="J722" t="b">
        <f t="shared" ref="J722:J739" si="41">IF(NOT(ISBLANK(F722)),SQRT((F722^2*1/H722)/(F722^2*1/H722+1)),IF(NOT(ISBLANK(G722)),SQRT((G722*H722/I722)/(G722*H722/I722+1)*SQRT(1/H722))))</f>
        <v>0</v>
      </c>
      <c r="K722" s="2">
        <v>6.0000000000000001E-3</v>
      </c>
      <c r="L722" s="17">
        <v>6.0000000000000001E-3</v>
      </c>
    </row>
    <row r="723" spans="1:14" x14ac:dyDescent="0.25">
      <c r="A723" s="11" t="s">
        <v>2448</v>
      </c>
      <c r="C723">
        <v>203</v>
      </c>
      <c r="D723">
        <v>1</v>
      </c>
      <c r="E723">
        <v>0</v>
      </c>
      <c r="J723" t="b">
        <f t="shared" si="41"/>
        <v>0</v>
      </c>
      <c r="K723" s="2" t="s">
        <v>2139</v>
      </c>
      <c r="L723" s="17">
        <v>1E-3</v>
      </c>
    </row>
    <row r="724" spans="1:14" x14ac:dyDescent="0.25">
      <c r="A724" s="11" t="s">
        <v>2449</v>
      </c>
      <c r="C724">
        <v>203</v>
      </c>
      <c r="D724">
        <v>1</v>
      </c>
      <c r="E724">
        <v>0</v>
      </c>
      <c r="J724" t="b">
        <f t="shared" si="41"/>
        <v>0</v>
      </c>
      <c r="K724" s="2">
        <v>0.01</v>
      </c>
      <c r="L724" s="17">
        <v>0.01</v>
      </c>
    </row>
    <row r="725" spans="1:14" x14ac:dyDescent="0.25">
      <c r="A725" s="11" t="s">
        <v>2450</v>
      </c>
      <c r="C725">
        <v>203</v>
      </c>
      <c r="D725">
        <v>1</v>
      </c>
      <c r="E725">
        <v>0</v>
      </c>
      <c r="J725" t="b">
        <f t="shared" si="41"/>
        <v>0</v>
      </c>
      <c r="K725" s="2" t="s">
        <v>2139</v>
      </c>
      <c r="L725" s="17">
        <v>1E-3</v>
      </c>
    </row>
    <row r="726" spans="1:14" x14ac:dyDescent="0.25">
      <c r="A726" s="11" t="s">
        <v>2451</v>
      </c>
      <c r="C726">
        <v>203</v>
      </c>
      <c r="D726">
        <v>1</v>
      </c>
      <c r="E726">
        <v>0</v>
      </c>
      <c r="J726" t="b">
        <f t="shared" si="41"/>
        <v>0</v>
      </c>
      <c r="K726" s="2">
        <v>1E-3</v>
      </c>
      <c r="L726" s="17">
        <v>1E-3</v>
      </c>
    </row>
    <row r="727" spans="1:14" x14ac:dyDescent="0.25">
      <c r="A727" s="11" t="s">
        <v>2452</v>
      </c>
      <c r="C727">
        <v>203</v>
      </c>
      <c r="D727">
        <v>1</v>
      </c>
      <c r="E727">
        <v>0</v>
      </c>
      <c r="J727" t="b">
        <f t="shared" si="41"/>
        <v>0</v>
      </c>
      <c r="K727" s="2">
        <v>2E-3</v>
      </c>
      <c r="L727" s="17">
        <v>2E-3</v>
      </c>
    </row>
    <row r="728" spans="1:14" x14ac:dyDescent="0.25">
      <c r="A728" s="11" t="s">
        <v>2453</v>
      </c>
      <c r="C728">
        <v>203</v>
      </c>
      <c r="D728">
        <v>1</v>
      </c>
      <c r="E728">
        <v>0</v>
      </c>
      <c r="J728" t="b">
        <f t="shared" si="41"/>
        <v>0</v>
      </c>
      <c r="K728" s="2">
        <v>0.02</v>
      </c>
      <c r="L728" s="17">
        <v>0.02</v>
      </c>
    </row>
    <row r="729" spans="1:14" x14ac:dyDescent="0.25">
      <c r="A729" s="11" t="s">
        <v>2454</v>
      </c>
      <c r="C729">
        <v>203</v>
      </c>
      <c r="D729">
        <v>1</v>
      </c>
      <c r="E729">
        <v>0</v>
      </c>
      <c r="J729" t="b">
        <f t="shared" si="41"/>
        <v>0</v>
      </c>
      <c r="K729" s="2">
        <v>0.02</v>
      </c>
      <c r="L729" s="17">
        <v>0.02</v>
      </c>
    </row>
    <row r="730" spans="1:14" x14ac:dyDescent="0.25">
      <c r="A730" s="11" t="s">
        <v>2455</v>
      </c>
      <c r="C730">
        <v>203</v>
      </c>
      <c r="D730">
        <v>1</v>
      </c>
      <c r="E730">
        <v>0</v>
      </c>
      <c r="J730" t="b">
        <f t="shared" si="41"/>
        <v>0</v>
      </c>
      <c r="K730" s="2">
        <v>0.03</v>
      </c>
      <c r="L730" s="17">
        <v>0.03</v>
      </c>
    </row>
    <row r="731" spans="1:14" x14ac:dyDescent="0.25">
      <c r="A731" s="11" t="s">
        <v>2456</v>
      </c>
      <c r="C731">
        <v>203</v>
      </c>
      <c r="D731">
        <v>1</v>
      </c>
      <c r="E731">
        <v>0</v>
      </c>
      <c r="J731" t="b">
        <f t="shared" si="41"/>
        <v>0</v>
      </c>
      <c r="K731" s="2">
        <v>0.02</v>
      </c>
      <c r="L731" s="17">
        <v>0.02</v>
      </c>
    </row>
    <row r="732" spans="1:14" x14ac:dyDescent="0.25">
      <c r="A732" s="11" t="s">
        <v>2457</v>
      </c>
      <c r="C732">
        <v>203</v>
      </c>
      <c r="D732">
        <v>1</v>
      </c>
      <c r="E732">
        <v>0</v>
      </c>
      <c r="J732" t="b">
        <f t="shared" si="41"/>
        <v>0</v>
      </c>
    </row>
    <row r="733" spans="1:14" x14ac:dyDescent="0.25">
      <c r="A733" s="11" t="s">
        <v>2458</v>
      </c>
      <c r="C733">
        <v>203</v>
      </c>
      <c r="D733">
        <v>1</v>
      </c>
      <c r="E733">
        <v>0</v>
      </c>
      <c r="J733" t="b">
        <f t="shared" si="41"/>
        <v>0</v>
      </c>
    </row>
    <row r="734" spans="1:14" x14ac:dyDescent="0.25">
      <c r="A734" s="11" t="s">
        <v>2459</v>
      </c>
      <c r="C734">
        <v>203</v>
      </c>
      <c r="D734">
        <v>1</v>
      </c>
      <c r="E734">
        <v>0</v>
      </c>
      <c r="J734" t="b">
        <f t="shared" si="41"/>
        <v>0</v>
      </c>
    </row>
    <row r="735" spans="1:14" x14ac:dyDescent="0.25">
      <c r="A735" s="11" t="s">
        <v>2460</v>
      </c>
      <c r="C735">
        <v>203</v>
      </c>
      <c r="D735">
        <v>1</v>
      </c>
      <c r="E735">
        <v>0</v>
      </c>
      <c r="J735" t="b">
        <f t="shared" si="41"/>
        <v>0</v>
      </c>
    </row>
    <row r="736" spans="1:14" x14ac:dyDescent="0.25">
      <c r="A736" s="11" t="s">
        <v>2461</v>
      </c>
      <c r="C736">
        <v>203</v>
      </c>
      <c r="D736">
        <v>1</v>
      </c>
      <c r="E736">
        <v>0</v>
      </c>
      <c r="J736" t="b">
        <f t="shared" si="41"/>
        <v>0</v>
      </c>
      <c r="K736" s="2">
        <v>0.03</v>
      </c>
      <c r="L736" s="17">
        <v>0.03</v>
      </c>
    </row>
    <row r="737" spans="1:15" x14ac:dyDescent="0.25">
      <c r="A737" s="11" t="s">
        <v>2462</v>
      </c>
      <c r="C737">
        <v>203</v>
      </c>
      <c r="D737">
        <v>1</v>
      </c>
      <c r="E737">
        <v>0</v>
      </c>
      <c r="J737" t="b">
        <f t="shared" si="41"/>
        <v>0</v>
      </c>
      <c r="K737" s="2">
        <v>0.03</v>
      </c>
      <c r="L737" s="17">
        <v>0.03</v>
      </c>
    </row>
    <row r="738" spans="1:15" x14ac:dyDescent="0.25">
      <c r="A738" s="11" t="s">
        <v>2463</v>
      </c>
      <c r="C738">
        <v>203</v>
      </c>
      <c r="D738">
        <v>1</v>
      </c>
      <c r="E738">
        <v>0</v>
      </c>
      <c r="J738" t="b">
        <f t="shared" si="41"/>
        <v>0</v>
      </c>
      <c r="K738" s="2">
        <v>0.92</v>
      </c>
      <c r="L738" s="17">
        <v>0.92</v>
      </c>
      <c r="M738" s="2">
        <v>0</v>
      </c>
      <c r="N738" s="2">
        <v>0</v>
      </c>
    </row>
    <row r="739" spans="1:15" x14ac:dyDescent="0.25">
      <c r="A739" s="11" t="s">
        <v>2464</v>
      </c>
      <c r="C739">
        <v>203</v>
      </c>
      <c r="D739">
        <v>1</v>
      </c>
      <c r="E739">
        <v>0</v>
      </c>
      <c r="J739" t="b">
        <f t="shared" si="41"/>
        <v>0</v>
      </c>
      <c r="K739" s="2">
        <v>0.92</v>
      </c>
      <c r="L739" s="17">
        <v>0.92</v>
      </c>
      <c r="M739" s="2" t="s">
        <v>2558</v>
      </c>
      <c r="N739" s="2" t="s">
        <v>2558</v>
      </c>
    </row>
    <row r="740" spans="1:15" x14ac:dyDescent="0.25">
      <c r="A740" s="12" t="s">
        <v>658</v>
      </c>
      <c r="C740">
        <v>207</v>
      </c>
      <c r="D740">
        <v>1</v>
      </c>
      <c r="G740">
        <v>11.3</v>
      </c>
      <c r="H740">
        <v>1</v>
      </c>
      <c r="I740">
        <v>728</v>
      </c>
      <c r="J740">
        <f t="shared" ref="J740:J771" si="42">IF(NOT(ISBLANK(F740)),SQRT((F740^2*1/H740)/(F740^2*1/H740+1)),IF(NOT(ISBLANK(G740)),SQRT((G740*H740/I740)/(G740*H740/I740+1)*SQRT(1/H740))))</f>
        <v>0.12363142317999563</v>
      </c>
      <c r="K740" s="2">
        <v>1E-3</v>
      </c>
      <c r="L740" s="17">
        <v>1E-3</v>
      </c>
      <c r="M740" s="2">
        <v>0</v>
      </c>
      <c r="N740" s="2">
        <f t="shared" ref="N740:N794" si="43">IF(M740=0, 0)</f>
        <v>0</v>
      </c>
    </row>
    <row r="741" spans="1:15" x14ac:dyDescent="0.25">
      <c r="A741" s="12" t="s">
        <v>659</v>
      </c>
      <c r="C741">
        <v>207</v>
      </c>
      <c r="D741">
        <v>1</v>
      </c>
      <c r="G741">
        <v>1.48</v>
      </c>
      <c r="H741">
        <v>9</v>
      </c>
      <c r="I741">
        <v>6552</v>
      </c>
      <c r="J741">
        <f t="shared" si="42"/>
        <v>2.6005399843906887E-2</v>
      </c>
      <c r="K741" s="2">
        <v>0.14799999999999999</v>
      </c>
      <c r="L741" s="17">
        <v>0.14799999999999999</v>
      </c>
      <c r="M741" s="2">
        <v>0</v>
      </c>
      <c r="N741" s="2">
        <f t="shared" si="43"/>
        <v>0</v>
      </c>
    </row>
    <row r="742" spans="1:15" x14ac:dyDescent="0.25">
      <c r="A742" s="12" t="s">
        <v>660</v>
      </c>
      <c r="C742">
        <v>209</v>
      </c>
      <c r="D742">
        <v>1</v>
      </c>
      <c r="G742">
        <v>7.0000000000000007E-2</v>
      </c>
      <c r="H742">
        <v>2</v>
      </c>
      <c r="I742">
        <v>38</v>
      </c>
      <c r="J742">
        <f t="shared" si="42"/>
        <v>5.0946713622142592E-2</v>
      </c>
      <c r="K742" s="2">
        <v>0.93</v>
      </c>
      <c r="L742" s="17">
        <v>0.93</v>
      </c>
      <c r="M742" s="2">
        <v>0</v>
      </c>
      <c r="N742" s="2">
        <f t="shared" si="43"/>
        <v>0</v>
      </c>
    </row>
    <row r="743" spans="1:15" x14ac:dyDescent="0.25">
      <c r="A743" s="12" t="s">
        <v>661</v>
      </c>
      <c r="C743">
        <v>209</v>
      </c>
      <c r="D743">
        <v>1</v>
      </c>
      <c r="G743">
        <v>0.24</v>
      </c>
      <c r="H743">
        <v>1</v>
      </c>
      <c r="I743">
        <v>119</v>
      </c>
      <c r="J743">
        <f t="shared" si="42"/>
        <v>4.4863653442416773E-2</v>
      </c>
      <c r="K743" s="2">
        <v>0.63</v>
      </c>
      <c r="L743" s="17">
        <v>0.63</v>
      </c>
      <c r="M743" s="2">
        <v>0</v>
      </c>
      <c r="N743" s="2">
        <f t="shared" si="43"/>
        <v>0</v>
      </c>
    </row>
    <row r="744" spans="1:15" x14ac:dyDescent="0.25">
      <c r="A744" s="12" t="s">
        <v>662</v>
      </c>
      <c r="C744">
        <v>209</v>
      </c>
      <c r="D744">
        <v>1</v>
      </c>
      <c r="G744">
        <v>130.04</v>
      </c>
      <c r="H744">
        <v>2</v>
      </c>
      <c r="I744">
        <v>19</v>
      </c>
      <c r="J744">
        <f t="shared" si="42"/>
        <v>0.81176742953234649</v>
      </c>
      <c r="K744" s="2" t="s">
        <v>2535</v>
      </c>
      <c r="L744" s="17">
        <v>1E-4</v>
      </c>
      <c r="M744" s="2">
        <v>0</v>
      </c>
      <c r="N744" s="2">
        <f t="shared" si="43"/>
        <v>0</v>
      </c>
    </row>
    <row r="745" spans="1:15" x14ac:dyDescent="0.25">
      <c r="A745" s="12" t="s">
        <v>663</v>
      </c>
      <c r="C745">
        <v>209</v>
      </c>
      <c r="D745">
        <v>1</v>
      </c>
      <c r="F745">
        <v>0.34</v>
      </c>
      <c r="H745">
        <v>19</v>
      </c>
      <c r="J745">
        <f t="shared" si="42"/>
        <v>7.7765138523309268E-2</v>
      </c>
      <c r="K745" s="2">
        <v>0.74</v>
      </c>
      <c r="L745" s="17">
        <v>0.74</v>
      </c>
      <c r="M745" s="2">
        <v>0</v>
      </c>
      <c r="N745" s="2">
        <f t="shared" si="43"/>
        <v>0</v>
      </c>
    </row>
    <row r="746" spans="1:15" x14ac:dyDescent="0.25">
      <c r="A746" s="12" t="s">
        <v>664</v>
      </c>
      <c r="C746">
        <v>209</v>
      </c>
      <c r="D746">
        <v>1</v>
      </c>
      <c r="F746">
        <v>0.46</v>
      </c>
      <c r="H746">
        <v>19</v>
      </c>
      <c r="J746">
        <f t="shared" si="42"/>
        <v>0.10494845846205163</v>
      </c>
      <c r="K746" s="2">
        <v>0.88</v>
      </c>
      <c r="L746" s="17">
        <v>0.88</v>
      </c>
      <c r="M746" s="2">
        <v>0</v>
      </c>
      <c r="N746" s="2">
        <f t="shared" si="43"/>
        <v>0</v>
      </c>
    </row>
    <row r="747" spans="1:15" x14ac:dyDescent="0.25">
      <c r="A747" s="12" t="s">
        <v>665</v>
      </c>
      <c r="C747">
        <v>209</v>
      </c>
      <c r="D747">
        <v>1</v>
      </c>
      <c r="F747">
        <v>0.12</v>
      </c>
      <c r="H747">
        <v>19</v>
      </c>
      <c r="J747">
        <f t="shared" si="42"/>
        <v>2.7519461612073332E-2</v>
      </c>
      <c r="K747" s="2">
        <v>0.9</v>
      </c>
      <c r="L747" s="17">
        <v>0.9</v>
      </c>
      <c r="M747" s="2">
        <v>0</v>
      </c>
      <c r="N747" s="2">
        <f t="shared" si="43"/>
        <v>0</v>
      </c>
    </row>
    <row r="748" spans="1:15" x14ac:dyDescent="0.25">
      <c r="A748" s="12" t="s">
        <v>666</v>
      </c>
      <c r="C748">
        <v>209</v>
      </c>
      <c r="D748">
        <v>1</v>
      </c>
      <c r="F748">
        <v>2.06</v>
      </c>
      <c r="H748">
        <v>2</v>
      </c>
      <c r="I748">
        <v>38</v>
      </c>
      <c r="J748">
        <f t="shared" si="42"/>
        <v>0.82442221228672041</v>
      </c>
      <c r="K748" s="2">
        <v>0.14000000000000001</v>
      </c>
      <c r="L748" s="17">
        <v>0.14000000000000001</v>
      </c>
      <c r="M748" s="2">
        <v>0</v>
      </c>
      <c r="N748" s="2">
        <f t="shared" si="43"/>
        <v>0</v>
      </c>
    </row>
    <row r="749" spans="1:15" x14ac:dyDescent="0.25">
      <c r="A749" s="12" t="s">
        <v>667</v>
      </c>
      <c r="C749">
        <v>209</v>
      </c>
      <c r="D749">
        <v>1</v>
      </c>
      <c r="F749">
        <v>0.2</v>
      </c>
      <c r="H749">
        <v>1</v>
      </c>
      <c r="I749">
        <v>19</v>
      </c>
      <c r="J749">
        <f t="shared" si="42"/>
        <v>0.19611613513818404</v>
      </c>
      <c r="K749" s="2">
        <v>0.66</v>
      </c>
      <c r="L749" s="17">
        <v>0.66</v>
      </c>
      <c r="M749" s="2">
        <v>0</v>
      </c>
      <c r="N749" s="2">
        <f t="shared" si="43"/>
        <v>0</v>
      </c>
    </row>
    <row r="750" spans="1:15" x14ac:dyDescent="0.25">
      <c r="A750" s="12" t="s">
        <v>668</v>
      </c>
      <c r="C750">
        <v>210</v>
      </c>
      <c r="D750">
        <v>1</v>
      </c>
      <c r="E750">
        <v>0</v>
      </c>
      <c r="J750" t="b">
        <f t="shared" si="42"/>
        <v>0</v>
      </c>
      <c r="O750" t="s">
        <v>2176</v>
      </c>
    </row>
    <row r="751" spans="1:15" x14ac:dyDescent="0.25">
      <c r="A751" s="12" t="s">
        <v>669</v>
      </c>
      <c r="C751">
        <v>210</v>
      </c>
      <c r="D751">
        <v>1</v>
      </c>
      <c r="E751">
        <v>0</v>
      </c>
      <c r="J751" t="b">
        <f t="shared" si="42"/>
        <v>0</v>
      </c>
      <c r="K751" s="2" t="s">
        <v>2519</v>
      </c>
      <c r="L751" s="17">
        <v>1E-3</v>
      </c>
    </row>
    <row r="752" spans="1:15" x14ac:dyDescent="0.25">
      <c r="A752" s="12" t="s">
        <v>670</v>
      </c>
      <c r="C752">
        <v>210</v>
      </c>
      <c r="D752">
        <v>1</v>
      </c>
      <c r="E752">
        <v>0</v>
      </c>
      <c r="J752" t="b">
        <f t="shared" si="42"/>
        <v>0</v>
      </c>
      <c r="K752" s="2">
        <v>0.59099999999999997</v>
      </c>
      <c r="L752" s="17">
        <v>0.59099999999999997</v>
      </c>
    </row>
    <row r="753" spans="1:15" x14ac:dyDescent="0.25">
      <c r="A753" s="12" t="s">
        <v>671</v>
      </c>
      <c r="C753">
        <v>210</v>
      </c>
      <c r="D753">
        <v>1</v>
      </c>
      <c r="E753">
        <v>0</v>
      </c>
      <c r="J753" t="b">
        <f t="shared" si="42"/>
        <v>0</v>
      </c>
      <c r="K753" s="2" t="s">
        <v>2517</v>
      </c>
      <c r="L753" s="17">
        <v>1E-3</v>
      </c>
    </row>
    <row r="754" spans="1:15" x14ac:dyDescent="0.25">
      <c r="A754" s="12" t="s">
        <v>672</v>
      </c>
      <c r="C754">
        <v>210</v>
      </c>
      <c r="D754">
        <v>1</v>
      </c>
      <c r="E754">
        <v>0</v>
      </c>
      <c r="J754" t="b">
        <f t="shared" si="42"/>
        <v>0</v>
      </c>
      <c r="K754" s="2" t="s">
        <v>2517</v>
      </c>
      <c r="L754" s="17">
        <v>1E-3</v>
      </c>
    </row>
    <row r="755" spans="1:15" x14ac:dyDescent="0.25">
      <c r="A755" s="12" t="s">
        <v>673</v>
      </c>
      <c r="C755">
        <v>210</v>
      </c>
      <c r="D755">
        <v>1</v>
      </c>
      <c r="E755">
        <v>0</v>
      </c>
      <c r="J755" t="b">
        <f t="shared" si="42"/>
        <v>0</v>
      </c>
      <c r="K755" s="2">
        <v>0.52400000000000002</v>
      </c>
      <c r="L755" s="17">
        <v>0.52400000000000002</v>
      </c>
    </row>
    <row r="756" spans="1:15" x14ac:dyDescent="0.25">
      <c r="A756" s="12" t="s">
        <v>674</v>
      </c>
      <c r="C756">
        <v>210</v>
      </c>
      <c r="D756">
        <v>1</v>
      </c>
      <c r="E756">
        <v>0</v>
      </c>
      <c r="J756" t="b">
        <f t="shared" si="42"/>
        <v>0</v>
      </c>
      <c r="K756" s="2" t="s">
        <v>2519</v>
      </c>
      <c r="L756" s="17">
        <v>1E-3</v>
      </c>
    </row>
    <row r="757" spans="1:15" x14ac:dyDescent="0.25">
      <c r="A757" s="12" t="s">
        <v>675</v>
      </c>
      <c r="C757">
        <v>210</v>
      </c>
      <c r="D757">
        <v>1</v>
      </c>
      <c r="E757">
        <v>0</v>
      </c>
      <c r="J757" t="b">
        <f t="shared" si="42"/>
        <v>0</v>
      </c>
      <c r="K757" s="2">
        <v>0.218</v>
      </c>
      <c r="L757" s="17">
        <v>0.218</v>
      </c>
    </row>
    <row r="758" spans="1:15" x14ac:dyDescent="0.25">
      <c r="A758" s="12" t="s">
        <v>676</v>
      </c>
      <c r="C758">
        <v>210</v>
      </c>
      <c r="D758">
        <v>1</v>
      </c>
      <c r="E758">
        <v>0</v>
      </c>
      <c r="J758" t="b">
        <f t="shared" si="42"/>
        <v>0</v>
      </c>
      <c r="K758" s="2">
        <v>0.34599999999999997</v>
      </c>
      <c r="L758" s="17">
        <v>0.34599999999999997</v>
      </c>
    </row>
    <row r="759" spans="1:15" x14ac:dyDescent="0.25">
      <c r="A759" s="12" t="s">
        <v>677</v>
      </c>
      <c r="C759">
        <v>210</v>
      </c>
      <c r="D759">
        <v>1</v>
      </c>
      <c r="E759">
        <v>0</v>
      </c>
      <c r="J759" t="b">
        <f t="shared" si="42"/>
        <v>0</v>
      </c>
      <c r="O759" t="s">
        <v>2176</v>
      </c>
    </row>
    <row r="760" spans="1:15" x14ac:dyDescent="0.25">
      <c r="A760" s="12" t="s">
        <v>678</v>
      </c>
      <c r="C760">
        <v>210</v>
      </c>
      <c r="D760">
        <v>1</v>
      </c>
      <c r="E760">
        <v>0</v>
      </c>
      <c r="J760" t="b">
        <f t="shared" si="42"/>
        <v>0</v>
      </c>
      <c r="K760" s="2" t="s">
        <v>2517</v>
      </c>
      <c r="L760" s="17">
        <v>1E-3</v>
      </c>
    </row>
    <row r="761" spans="1:15" x14ac:dyDescent="0.25">
      <c r="A761" s="12" t="s">
        <v>679</v>
      </c>
      <c r="C761">
        <v>210</v>
      </c>
      <c r="D761">
        <v>1</v>
      </c>
      <c r="E761">
        <v>0</v>
      </c>
      <c r="J761" t="b">
        <f t="shared" si="42"/>
        <v>0</v>
      </c>
      <c r="K761" s="2">
        <v>0.253</v>
      </c>
      <c r="L761" s="17">
        <v>0.253</v>
      </c>
    </row>
    <row r="762" spans="1:15" x14ac:dyDescent="0.25">
      <c r="A762" s="12" t="s">
        <v>2436</v>
      </c>
      <c r="C762">
        <v>211</v>
      </c>
      <c r="D762">
        <v>1</v>
      </c>
      <c r="G762">
        <v>59.6</v>
      </c>
      <c r="H762">
        <v>1</v>
      </c>
      <c r="I762">
        <v>95</v>
      </c>
      <c r="J762">
        <f t="shared" si="42"/>
        <v>0.62089531816483912</v>
      </c>
      <c r="K762" s="2" t="s">
        <v>2174</v>
      </c>
      <c r="L762" s="17">
        <v>1E-3</v>
      </c>
      <c r="M762" s="2">
        <v>1</v>
      </c>
      <c r="N762" s="2">
        <v>0</v>
      </c>
    </row>
    <row r="763" spans="1:15" x14ac:dyDescent="0.25">
      <c r="A763" s="12" t="s">
        <v>2437</v>
      </c>
      <c r="C763">
        <v>211</v>
      </c>
      <c r="D763">
        <v>1</v>
      </c>
      <c r="G763">
        <v>5.5</v>
      </c>
      <c r="H763">
        <v>1</v>
      </c>
      <c r="I763">
        <v>95</v>
      </c>
      <c r="J763">
        <f t="shared" si="42"/>
        <v>0.23393667553251238</v>
      </c>
      <c r="K763" s="2">
        <v>2.1000000000000001E-2</v>
      </c>
      <c r="L763" s="17">
        <v>2.1000000000000001E-2</v>
      </c>
      <c r="M763" s="2">
        <v>0</v>
      </c>
      <c r="N763" s="2">
        <f t="shared" si="43"/>
        <v>0</v>
      </c>
    </row>
    <row r="764" spans="1:15" x14ac:dyDescent="0.25">
      <c r="A764" s="12" t="s">
        <v>2438</v>
      </c>
      <c r="C764">
        <v>211</v>
      </c>
      <c r="D764">
        <v>1</v>
      </c>
      <c r="F764">
        <v>2.0699999999999998</v>
      </c>
      <c r="H764">
        <v>97</v>
      </c>
      <c r="J764">
        <f t="shared" si="42"/>
        <v>0.20568280844087403</v>
      </c>
      <c r="K764" s="2">
        <v>4.1000000000000002E-2</v>
      </c>
      <c r="L764" s="17">
        <v>4.1000000000000002E-2</v>
      </c>
      <c r="M764" s="2">
        <v>0</v>
      </c>
      <c r="N764" s="2">
        <f t="shared" si="43"/>
        <v>0</v>
      </c>
    </row>
    <row r="765" spans="1:15" x14ac:dyDescent="0.25">
      <c r="A765" s="12" t="s">
        <v>2439</v>
      </c>
      <c r="C765">
        <v>211</v>
      </c>
      <c r="D765">
        <v>1</v>
      </c>
      <c r="F765">
        <v>0.28999999999999998</v>
      </c>
      <c r="H765">
        <v>97</v>
      </c>
      <c r="J765">
        <f t="shared" si="42"/>
        <v>2.9432282507053258E-2</v>
      </c>
      <c r="K765" s="2">
        <v>0.77</v>
      </c>
      <c r="L765" s="17">
        <v>0.77</v>
      </c>
      <c r="M765" s="2">
        <v>0</v>
      </c>
      <c r="N765" s="2">
        <f t="shared" si="43"/>
        <v>0</v>
      </c>
    </row>
    <row r="766" spans="1:15" x14ac:dyDescent="0.25">
      <c r="A766" s="12" t="s">
        <v>680</v>
      </c>
      <c r="C766">
        <v>215</v>
      </c>
      <c r="D766">
        <v>1</v>
      </c>
      <c r="E766">
        <v>0</v>
      </c>
      <c r="J766" t="b">
        <f t="shared" si="42"/>
        <v>0</v>
      </c>
      <c r="K766" s="2">
        <v>0.11899999999999999</v>
      </c>
      <c r="L766" s="17">
        <v>0.11899999999999999</v>
      </c>
    </row>
    <row r="767" spans="1:15" x14ac:dyDescent="0.25">
      <c r="A767" s="12" t="s">
        <v>681</v>
      </c>
      <c r="C767">
        <v>215</v>
      </c>
      <c r="D767">
        <v>1</v>
      </c>
      <c r="E767">
        <v>0</v>
      </c>
      <c r="J767" t="b">
        <f t="shared" si="42"/>
        <v>0</v>
      </c>
      <c r="K767" s="2" t="s">
        <v>2174</v>
      </c>
      <c r="L767" s="17">
        <v>1E-3</v>
      </c>
    </row>
    <row r="768" spans="1:15" x14ac:dyDescent="0.25">
      <c r="A768" s="12" t="s">
        <v>682</v>
      </c>
      <c r="C768">
        <v>215</v>
      </c>
      <c r="D768">
        <v>1</v>
      </c>
      <c r="E768">
        <v>0</v>
      </c>
      <c r="J768" t="b">
        <f t="shared" si="42"/>
        <v>0</v>
      </c>
      <c r="K768" s="2">
        <v>2E-3</v>
      </c>
      <c r="L768" s="17">
        <v>2E-3</v>
      </c>
    </row>
    <row r="769" spans="1:14" x14ac:dyDescent="0.25">
      <c r="A769" s="12" t="s">
        <v>683</v>
      </c>
      <c r="C769">
        <v>215</v>
      </c>
      <c r="D769">
        <v>1</v>
      </c>
      <c r="E769">
        <v>0</v>
      </c>
      <c r="J769" t="b">
        <f t="shared" si="42"/>
        <v>0</v>
      </c>
      <c r="K769" s="2">
        <v>0.38300000000000001</v>
      </c>
      <c r="L769" s="17">
        <v>0.38300000000000001</v>
      </c>
    </row>
    <row r="770" spans="1:14" x14ac:dyDescent="0.25">
      <c r="A770" s="12" t="s">
        <v>684</v>
      </c>
      <c r="C770">
        <v>215</v>
      </c>
      <c r="D770">
        <v>1</v>
      </c>
      <c r="E770">
        <v>0</v>
      </c>
      <c r="J770" t="b">
        <f t="shared" si="42"/>
        <v>0</v>
      </c>
      <c r="K770" s="2">
        <v>2.1999999999999999E-2</v>
      </c>
      <c r="L770" s="17">
        <v>2.1999999999999999E-2</v>
      </c>
    </row>
    <row r="771" spans="1:14" x14ac:dyDescent="0.25">
      <c r="A771" s="12" t="s">
        <v>685</v>
      </c>
      <c r="C771">
        <v>215</v>
      </c>
      <c r="D771">
        <v>1</v>
      </c>
      <c r="E771">
        <v>0</v>
      </c>
      <c r="J771" t="b">
        <f t="shared" si="42"/>
        <v>0</v>
      </c>
      <c r="K771" s="2">
        <v>0.52300000000000002</v>
      </c>
      <c r="L771" s="17">
        <v>0.52300000000000002</v>
      </c>
    </row>
    <row r="772" spans="1:14" x14ac:dyDescent="0.25">
      <c r="A772" s="12" t="s">
        <v>686</v>
      </c>
      <c r="C772">
        <v>215</v>
      </c>
      <c r="D772">
        <v>1</v>
      </c>
      <c r="F772">
        <v>2.35</v>
      </c>
      <c r="H772">
        <v>50</v>
      </c>
      <c r="J772">
        <f t="shared" ref="J772:J801" si="44">IF(NOT(ISBLANK(F772)),SQRT((F772^2*1/H772)/(F772^2*1/H772+1)),IF(NOT(ISBLANK(G772)),SQRT((G772*H772/I772)/(G772*H772/I772+1)*SQRT(1/H772))))</f>
        <v>0.31537942416683873</v>
      </c>
      <c r="K772" s="2">
        <v>0.23</v>
      </c>
      <c r="L772" s="17">
        <v>0.23</v>
      </c>
      <c r="M772" s="2">
        <v>0</v>
      </c>
      <c r="N772" s="2">
        <f t="shared" si="43"/>
        <v>0</v>
      </c>
    </row>
    <row r="773" spans="1:14" x14ac:dyDescent="0.25">
      <c r="A773" s="12" t="s">
        <v>687</v>
      </c>
      <c r="C773">
        <v>215</v>
      </c>
      <c r="D773">
        <v>1</v>
      </c>
      <c r="F773">
        <v>3.98</v>
      </c>
      <c r="H773">
        <v>50</v>
      </c>
      <c r="J773">
        <f t="shared" si="44"/>
        <v>0.49049754918893718</v>
      </c>
      <c r="K773" s="2" t="s">
        <v>2174</v>
      </c>
      <c r="L773" s="17">
        <v>1E-3</v>
      </c>
      <c r="M773" s="2">
        <v>0</v>
      </c>
      <c r="N773" s="2">
        <f t="shared" si="43"/>
        <v>0</v>
      </c>
    </row>
    <row r="774" spans="1:14" x14ac:dyDescent="0.25">
      <c r="A774" s="12" t="s">
        <v>688</v>
      </c>
      <c r="C774">
        <v>215</v>
      </c>
      <c r="D774">
        <v>1</v>
      </c>
      <c r="F774">
        <v>3.74</v>
      </c>
      <c r="H774">
        <v>45</v>
      </c>
      <c r="J774">
        <f t="shared" si="44"/>
        <v>0.48695770158352114</v>
      </c>
      <c r="K774" s="2">
        <v>1E-3</v>
      </c>
      <c r="L774" s="17">
        <v>1E-3</v>
      </c>
      <c r="M774" s="2">
        <v>0</v>
      </c>
      <c r="N774" s="2">
        <f t="shared" si="43"/>
        <v>0</v>
      </c>
    </row>
    <row r="775" spans="1:14" x14ac:dyDescent="0.25">
      <c r="A775" s="12" t="s">
        <v>689</v>
      </c>
      <c r="C775">
        <v>215</v>
      </c>
      <c r="D775">
        <v>1</v>
      </c>
      <c r="F775">
        <v>1.58</v>
      </c>
      <c r="H775">
        <v>49</v>
      </c>
      <c r="J775">
        <f t="shared" si="44"/>
        <v>0.2201753280990002</v>
      </c>
      <c r="K775" s="2">
        <v>0.121</v>
      </c>
      <c r="L775" s="17">
        <v>0.121</v>
      </c>
      <c r="M775" s="2">
        <v>0</v>
      </c>
      <c r="N775" s="2">
        <f t="shared" si="43"/>
        <v>0</v>
      </c>
    </row>
    <row r="776" spans="1:14" x14ac:dyDescent="0.25">
      <c r="A776" s="12" t="s">
        <v>690</v>
      </c>
      <c r="C776">
        <v>215</v>
      </c>
      <c r="D776">
        <v>1</v>
      </c>
      <c r="F776">
        <v>1.74</v>
      </c>
      <c r="H776">
        <v>49</v>
      </c>
      <c r="J776">
        <f t="shared" si="44"/>
        <v>0.24123057496717773</v>
      </c>
      <c r="K776" s="2">
        <v>8.7999999999999995E-2</v>
      </c>
      <c r="L776" s="17">
        <v>8.7999999999999995E-2</v>
      </c>
      <c r="M776" s="2">
        <v>0</v>
      </c>
      <c r="N776" s="2">
        <f t="shared" si="43"/>
        <v>0</v>
      </c>
    </row>
    <row r="777" spans="1:14" x14ac:dyDescent="0.25">
      <c r="A777" s="12" t="s">
        <v>691</v>
      </c>
      <c r="C777">
        <v>215</v>
      </c>
      <c r="D777">
        <v>1</v>
      </c>
      <c r="F777">
        <v>1.41</v>
      </c>
      <c r="H777">
        <v>2</v>
      </c>
      <c r="J777">
        <f t="shared" si="44"/>
        <v>0.70605103320008789</v>
      </c>
      <c r="K777" s="2">
        <v>0.17299999999999999</v>
      </c>
      <c r="L777" s="17">
        <v>0.17299999999999999</v>
      </c>
      <c r="M777" s="2">
        <v>0</v>
      </c>
      <c r="N777" s="2">
        <f t="shared" si="43"/>
        <v>0</v>
      </c>
    </row>
    <row r="778" spans="1:14" x14ac:dyDescent="0.25">
      <c r="A778" s="12" t="s">
        <v>692</v>
      </c>
      <c r="C778">
        <v>215</v>
      </c>
      <c r="D778">
        <v>1</v>
      </c>
      <c r="F778">
        <v>5.52</v>
      </c>
      <c r="H778">
        <v>1</v>
      </c>
      <c r="I778">
        <v>48</v>
      </c>
      <c r="J778">
        <f t="shared" si="44"/>
        <v>0.9839837950921837</v>
      </c>
      <c r="K778" s="2">
        <v>2.3E-2</v>
      </c>
      <c r="L778" s="17">
        <v>2.3E-2</v>
      </c>
      <c r="M778" s="2">
        <v>0</v>
      </c>
      <c r="N778" s="2">
        <f t="shared" si="43"/>
        <v>0</v>
      </c>
    </row>
    <row r="779" spans="1:14" x14ac:dyDescent="0.25">
      <c r="A779" s="12" t="s">
        <v>693</v>
      </c>
      <c r="C779">
        <v>215</v>
      </c>
      <c r="D779">
        <v>1</v>
      </c>
      <c r="F779">
        <v>8.3699999999999992</v>
      </c>
      <c r="H779">
        <v>1</v>
      </c>
      <c r="I779">
        <v>48</v>
      </c>
      <c r="J779">
        <f t="shared" si="44"/>
        <v>0.99293845295773775</v>
      </c>
      <c r="K779" s="2">
        <v>6.0000000000000001E-3</v>
      </c>
      <c r="L779" s="17">
        <v>6.0000000000000001E-3</v>
      </c>
      <c r="M779" s="2">
        <v>0</v>
      </c>
      <c r="N779" s="2">
        <f t="shared" si="43"/>
        <v>0</v>
      </c>
    </row>
    <row r="780" spans="1:14" x14ac:dyDescent="0.25">
      <c r="A780" s="12" t="s">
        <v>694</v>
      </c>
      <c r="C780">
        <v>215</v>
      </c>
      <c r="D780">
        <v>1</v>
      </c>
      <c r="G780">
        <v>11.89</v>
      </c>
      <c r="H780">
        <v>1</v>
      </c>
      <c r="I780">
        <v>48</v>
      </c>
      <c r="J780">
        <f t="shared" si="44"/>
        <v>0.44556777206813392</v>
      </c>
      <c r="K780" s="2">
        <v>1E-3</v>
      </c>
      <c r="L780" s="17">
        <v>1E-3</v>
      </c>
      <c r="M780" s="2">
        <v>0</v>
      </c>
      <c r="N780" s="2">
        <f t="shared" si="43"/>
        <v>0</v>
      </c>
    </row>
    <row r="781" spans="1:14" x14ac:dyDescent="0.25">
      <c r="A781" s="12" t="s">
        <v>695</v>
      </c>
      <c r="C781">
        <v>215</v>
      </c>
      <c r="D781">
        <v>1</v>
      </c>
      <c r="G781">
        <v>1.76</v>
      </c>
      <c r="H781">
        <v>1</v>
      </c>
      <c r="I781">
        <v>47</v>
      </c>
      <c r="J781">
        <f t="shared" si="44"/>
        <v>0.18998726264459473</v>
      </c>
      <c r="K781" s="2">
        <v>0.67700000000000005</v>
      </c>
      <c r="L781" s="17">
        <v>0.67700000000000005</v>
      </c>
      <c r="M781" s="2">
        <v>0</v>
      </c>
      <c r="N781" s="2">
        <f t="shared" si="43"/>
        <v>0</v>
      </c>
    </row>
    <row r="782" spans="1:14" x14ac:dyDescent="0.25">
      <c r="A782" s="12" t="s">
        <v>696</v>
      </c>
      <c r="C782">
        <v>215</v>
      </c>
      <c r="D782">
        <v>1</v>
      </c>
      <c r="G782">
        <v>5.22</v>
      </c>
      <c r="H782">
        <v>1</v>
      </c>
      <c r="I782">
        <v>24</v>
      </c>
      <c r="J782">
        <f t="shared" si="44"/>
        <v>0.42266388994136889</v>
      </c>
      <c r="K782" s="2">
        <v>3.1E-2</v>
      </c>
      <c r="L782" s="17">
        <v>3.1E-2</v>
      </c>
      <c r="M782" s="2">
        <v>0</v>
      </c>
      <c r="N782" s="2">
        <f t="shared" si="43"/>
        <v>0</v>
      </c>
    </row>
    <row r="783" spans="1:14" x14ac:dyDescent="0.25">
      <c r="A783" s="12" t="s">
        <v>697</v>
      </c>
      <c r="B783" s="4" t="s">
        <v>2177</v>
      </c>
      <c r="C783">
        <v>215</v>
      </c>
      <c r="D783">
        <v>1</v>
      </c>
      <c r="G783">
        <v>6.95</v>
      </c>
      <c r="H783">
        <v>1</v>
      </c>
      <c r="I783">
        <v>24</v>
      </c>
      <c r="J783">
        <f t="shared" si="44"/>
        <v>0.47387312126406034</v>
      </c>
      <c r="K783" s="2">
        <v>1.4E-2</v>
      </c>
      <c r="L783" s="17">
        <v>1.4E-2</v>
      </c>
      <c r="M783" s="2">
        <v>0</v>
      </c>
      <c r="N783" s="2">
        <f t="shared" si="43"/>
        <v>0</v>
      </c>
    </row>
    <row r="784" spans="1:14" x14ac:dyDescent="0.25">
      <c r="A784" s="12" t="s">
        <v>698</v>
      </c>
      <c r="C784">
        <v>215</v>
      </c>
      <c r="D784">
        <v>1</v>
      </c>
      <c r="G784">
        <v>0.03</v>
      </c>
      <c r="H784">
        <v>1</v>
      </c>
      <c r="I784">
        <v>24</v>
      </c>
      <c r="J784">
        <f t="shared" si="44"/>
        <v>3.5333262666878668E-2</v>
      </c>
      <c r="K784" s="2">
        <v>0.85599999999999998</v>
      </c>
      <c r="L784" s="17">
        <v>0.85599999999999998</v>
      </c>
      <c r="M784" s="2">
        <v>0</v>
      </c>
      <c r="N784" s="2">
        <f t="shared" si="43"/>
        <v>0</v>
      </c>
    </row>
    <row r="785" spans="1:15" x14ac:dyDescent="0.25">
      <c r="A785" s="12" t="s">
        <v>699</v>
      </c>
      <c r="C785">
        <v>215</v>
      </c>
      <c r="D785">
        <v>1</v>
      </c>
      <c r="E785">
        <v>0</v>
      </c>
      <c r="J785" t="b">
        <f t="shared" si="44"/>
        <v>0</v>
      </c>
      <c r="K785" s="2">
        <v>5.1999999999999998E-2</v>
      </c>
      <c r="L785" s="17">
        <v>5.1999999999999998E-2</v>
      </c>
    </row>
    <row r="786" spans="1:15" x14ac:dyDescent="0.25">
      <c r="A786" s="12" t="s">
        <v>700</v>
      </c>
      <c r="C786">
        <v>215</v>
      </c>
      <c r="D786">
        <v>1</v>
      </c>
      <c r="E786">
        <v>0</v>
      </c>
      <c r="J786" t="b">
        <f t="shared" si="44"/>
        <v>0</v>
      </c>
      <c r="K786" s="2">
        <v>0.2</v>
      </c>
      <c r="L786" s="17">
        <v>0.2</v>
      </c>
    </row>
    <row r="787" spans="1:15" x14ac:dyDescent="0.25">
      <c r="A787" s="12" t="s">
        <v>701</v>
      </c>
      <c r="C787">
        <v>215</v>
      </c>
      <c r="D787">
        <v>1</v>
      </c>
      <c r="G787">
        <v>4.87</v>
      </c>
      <c r="H787">
        <v>1</v>
      </c>
      <c r="I787">
        <v>46</v>
      </c>
      <c r="J787">
        <f t="shared" si="44"/>
        <v>0.30940947705881239</v>
      </c>
      <c r="K787" s="2">
        <v>3.2000000000000001E-2</v>
      </c>
      <c r="L787" s="17">
        <v>3.2000000000000001E-2</v>
      </c>
      <c r="M787" s="2">
        <v>0</v>
      </c>
      <c r="N787" s="2">
        <f t="shared" si="43"/>
        <v>0</v>
      </c>
    </row>
    <row r="788" spans="1:15" x14ac:dyDescent="0.25">
      <c r="A788" s="12" t="s">
        <v>702</v>
      </c>
      <c r="C788">
        <v>215</v>
      </c>
      <c r="D788">
        <v>1</v>
      </c>
      <c r="G788">
        <v>11.46</v>
      </c>
      <c r="H788">
        <v>1</v>
      </c>
      <c r="I788">
        <v>46</v>
      </c>
      <c r="J788">
        <f t="shared" si="44"/>
        <v>0.44659051808766137</v>
      </c>
      <c r="K788" s="2">
        <v>1E-3</v>
      </c>
      <c r="L788" s="17">
        <v>1E-3</v>
      </c>
      <c r="M788" s="2">
        <v>0</v>
      </c>
      <c r="N788" s="2">
        <f t="shared" si="43"/>
        <v>0</v>
      </c>
    </row>
    <row r="789" spans="1:15" x14ac:dyDescent="0.25">
      <c r="A789" s="12" t="s">
        <v>703</v>
      </c>
      <c r="C789">
        <v>215</v>
      </c>
      <c r="D789">
        <v>1</v>
      </c>
      <c r="G789">
        <v>0.246</v>
      </c>
      <c r="H789">
        <v>1</v>
      </c>
      <c r="I789">
        <v>46</v>
      </c>
      <c r="J789">
        <f t="shared" si="44"/>
        <v>7.2934072787117887E-2</v>
      </c>
      <c r="K789" s="2">
        <v>0.622</v>
      </c>
      <c r="L789" s="17">
        <v>0.622</v>
      </c>
      <c r="M789" s="2">
        <v>0</v>
      </c>
      <c r="N789" s="2">
        <f t="shared" si="43"/>
        <v>0</v>
      </c>
    </row>
    <row r="790" spans="1:15" x14ac:dyDescent="0.25">
      <c r="A790" s="12" t="s">
        <v>704</v>
      </c>
      <c r="C790">
        <v>215</v>
      </c>
      <c r="D790">
        <v>1</v>
      </c>
      <c r="G790">
        <v>7.75</v>
      </c>
      <c r="H790">
        <v>1</v>
      </c>
      <c r="I790">
        <v>23</v>
      </c>
      <c r="J790">
        <f t="shared" si="44"/>
        <v>0.50202840589472941</v>
      </c>
      <c r="K790" s="2">
        <v>1.0999999999999999E-2</v>
      </c>
      <c r="L790" s="17">
        <v>1.0999999999999999E-2</v>
      </c>
      <c r="M790" s="2">
        <v>0</v>
      </c>
      <c r="N790" s="2">
        <f t="shared" si="43"/>
        <v>0</v>
      </c>
    </row>
    <row r="791" spans="1:15" x14ac:dyDescent="0.25">
      <c r="A791" s="12" t="s">
        <v>705</v>
      </c>
      <c r="C791">
        <v>215</v>
      </c>
      <c r="D791">
        <v>1</v>
      </c>
      <c r="G791">
        <v>3.53</v>
      </c>
      <c r="H791">
        <v>1</v>
      </c>
      <c r="I791">
        <v>23</v>
      </c>
      <c r="J791">
        <f t="shared" si="44"/>
        <v>0.3647696762315607</v>
      </c>
      <c r="K791" s="2">
        <v>7.2999999999999995E-2</v>
      </c>
      <c r="L791" s="17">
        <v>7.2999999999999995E-2</v>
      </c>
      <c r="M791" s="2">
        <v>1</v>
      </c>
      <c r="N791" s="2">
        <v>0</v>
      </c>
      <c r="O791" t="s">
        <v>2182</v>
      </c>
    </row>
    <row r="792" spans="1:15" x14ac:dyDescent="0.25">
      <c r="A792" s="12" t="s">
        <v>706</v>
      </c>
      <c r="C792">
        <v>215</v>
      </c>
      <c r="D792">
        <v>1</v>
      </c>
      <c r="G792">
        <v>18.809999999999999</v>
      </c>
      <c r="H792">
        <v>1</v>
      </c>
      <c r="I792">
        <v>46</v>
      </c>
      <c r="J792">
        <f t="shared" si="44"/>
        <v>0.53873276189248609</v>
      </c>
      <c r="K792" s="2" t="s">
        <v>2174</v>
      </c>
      <c r="L792" s="17">
        <v>1E-3</v>
      </c>
      <c r="M792" s="2">
        <v>0</v>
      </c>
      <c r="N792" s="2">
        <f t="shared" si="43"/>
        <v>0</v>
      </c>
    </row>
    <row r="793" spans="1:15" x14ac:dyDescent="0.25">
      <c r="A793" s="12" t="s">
        <v>707</v>
      </c>
      <c r="C793">
        <v>215</v>
      </c>
      <c r="D793">
        <v>1</v>
      </c>
      <c r="F793">
        <v>1.07</v>
      </c>
      <c r="H793">
        <v>22</v>
      </c>
      <c r="I793">
        <v>0.29499999999999998</v>
      </c>
      <c r="J793">
        <f t="shared" si="44"/>
        <v>0.22241092859003275</v>
      </c>
      <c r="M793" s="2">
        <v>0</v>
      </c>
      <c r="N793" s="2">
        <f t="shared" si="43"/>
        <v>0</v>
      </c>
    </row>
    <row r="794" spans="1:15" x14ac:dyDescent="0.25">
      <c r="A794" s="12" t="s">
        <v>708</v>
      </c>
      <c r="C794">
        <v>215</v>
      </c>
      <c r="D794">
        <v>1</v>
      </c>
      <c r="F794">
        <v>0</v>
      </c>
      <c r="H794">
        <v>23</v>
      </c>
      <c r="J794">
        <f t="shared" si="44"/>
        <v>0</v>
      </c>
      <c r="K794" s="2">
        <v>1</v>
      </c>
      <c r="L794" s="17">
        <v>1</v>
      </c>
      <c r="M794" s="2">
        <v>0</v>
      </c>
      <c r="N794" s="2">
        <f t="shared" si="43"/>
        <v>0</v>
      </c>
    </row>
    <row r="795" spans="1:15" x14ac:dyDescent="0.25">
      <c r="A795" s="12" t="s">
        <v>709</v>
      </c>
      <c r="C795">
        <v>215</v>
      </c>
      <c r="D795">
        <v>1</v>
      </c>
      <c r="F795">
        <v>0.74</v>
      </c>
      <c r="H795">
        <v>45</v>
      </c>
      <c r="J795">
        <f t="shared" si="44"/>
        <v>0.10964755975013001</v>
      </c>
      <c r="K795" s="2">
        <v>0.46400000000000002</v>
      </c>
      <c r="L795" s="17">
        <v>0.46400000000000002</v>
      </c>
      <c r="M795" s="2">
        <v>0</v>
      </c>
      <c r="N795" s="2">
        <f t="shared" ref="N795:N846" si="45">IF(M795=0, 0)</f>
        <v>0</v>
      </c>
    </row>
    <row r="796" spans="1:15" x14ac:dyDescent="0.25">
      <c r="A796" s="12" t="s">
        <v>710</v>
      </c>
      <c r="C796">
        <v>215</v>
      </c>
      <c r="D796">
        <v>1</v>
      </c>
      <c r="F796">
        <v>0.13</v>
      </c>
      <c r="H796">
        <v>22</v>
      </c>
      <c r="J796">
        <f t="shared" si="44"/>
        <v>2.7705453756159796E-2</v>
      </c>
      <c r="K796" s="2">
        <v>0.89600000000000002</v>
      </c>
      <c r="L796" s="17">
        <v>0.89600000000000002</v>
      </c>
      <c r="M796" s="2">
        <v>0</v>
      </c>
      <c r="N796" s="2">
        <f t="shared" si="45"/>
        <v>0</v>
      </c>
    </row>
    <row r="797" spans="1:15" x14ac:dyDescent="0.25">
      <c r="A797" s="12" t="s">
        <v>711</v>
      </c>
      <c r="C797">
        <v>215</v>
      </c>
      <c r="D797">
        <v>1</v>
      </c>
      <c r="F797">
        <v>0.99</v>
      </c>
      <c r="H797">
        <v>24</v>
      </c>
      <c r="J797">
        <f t="shared" si="44"/>
        <v>0.1980788510772169</v>
      </c>
      <c r="K797" s="2">
        <v>0.33400000000000002</v>
      </c>
      <c r="L797" s="17">
        <v>0.33400000000000002</v>
      </c>
      <c r="M797" s="2">
        <v>0</v>
      </c>
      <c r="N797" s="2">
        <f t="shared" si="45"/>
        <v>0</v>
      </c>
    </row>
    <row r="798" spans="1:15" x14ac:dyDescent="0.25">
      <c r="A798" s="12" t="s">
        <v>712</v>
      </c>
      <c r="C798">
        <v>215</v>
      </c>
      <c r="D798">
        <v>1</v>
      </c>
      <c r="F798">
        <v>0.76</v>
      </c>
      <c r="H798">
        <v>46</v>
      </c>
      <c r="J798">
        <f t="shared" si="44"/>
        <v>0.11135892730318993</v>
      </c>
      <c r="K798" s="2">
        <v>0.45100000000000001</v>
      </c>
      <c r="L798" s="17">
        <v>0.45100000000000001</v>
      </c>
      <c r="M798" s="2">
        <v>0</v>
      </c>
      <c r="N798" s="2">
        <f t="shared" si="45"/>
        <v>0</v>
      </c>
    </row>
    <row r="799" spans="1:15" x14ac:dyDescent="0.25">
      <c r="A799" s="12" t="s">
        <v>713</v>
      </c>
      <c r="C799">
        <v>215</v>
      </c>
      <c r="D799">
        <v>1</v>
      </c>
      <c r="F799">
        <v>3.41</v>
      </c>
      <c r="H799">
        <v>27</v>
      </c>
      <c r="J799">
        <f t="shared" si="44"/>
        <v>0.54865924998353122</v>
      </c>
      <c r="K799" s="2">
        <v>2E-3</v>
      </c>
      <c r="L799" s="17">
        <v>2E-3</v>
      </c>
      <c r="M799" s="2">
        <v>0</v>
      </c>
      <c r="N799" s="2">
        <f t="shared" si="45"/>
        <v>0</v>
      </c>
    </row>
    <row r="800" spans="1:15" x14ac:dyDescent="0.25">
      <c r="A800" s="12" t="s">
        <v>714</v>
      </c>
      <c r="C800">
        <v>215</v>
      </c>
      <c r="D800">
        <v>1</v>
      </c>
      <c r="F800">
        <v>2.19</v>
      </c>
      <c r="H800">
        <v>1</v>
      </c>
      <c r="J800">
        <f t="shared" si="44"/>
        <v>0.90965388773767608</v>
      </c>
      <c r="K800" s="2">
        <v>3.5999999999999997E-2</v>
      </c>
      <c r="L800" s="17">
        <v>3.5999999999999997E-2</v>
      </c>
      <c r="M800" s="2">
        <v>0</v>
      </c>
      <c r="N800" s="2">
        <f t="shared" si="45"/>
        <v>0</v>
      </c>
    </row>
    <row r="801" spans="1:16" x14ac:dyDescent="0.25">
      <c r="A801" s="12" t="s">
        <v>715</v>
      </c>
      <c r="C801">
        <v>215</v>
      </c>
      <c r="D801">
        <v>1</v>
      </c>
      <c r="F801">
        <v>0.89</v>
      </c>
      <c r="H801">
        <v>58</v>
      </c>
      <c r="J801">
        <f t="shared" si="44"/>
        <v>0.11607281580846479</v>
      </c>
      <c r="K801" s="2">
        <v>0.377</v>
      </c>
      <c r="L801" s="17">
        <v>0.377</v>
      </c>
      <c r="M801" s="2">
        <v>0</v>
      </c>
      <c r="N801" s="2">
        <f t="shared" si="45"/>
        <v>0</v>
      </c>
    </row>
    <row r="802" spans="1:16" x14ac:dyDescent="0.25">
      <c r="A802" s="12" t="s">
        <v>716</v>
      </c>
      <c r="C802">
        <v>215</v>
      </c>
      <c r="D802">
        <v>1</v>
      </c>
      <c r="J802">
        <v>0.50600000000000001</v>
      </c>
      <c r="K802" s="2">
        <v>7.0800000000000004E-3</v>
      </c>
      <c r="L802" s="17">
        <v>7.0800000000000004E-3</v>
      </c>
      <c r="P802" s="2" t="s">
        <v>2560</v>
      </c>
    </row>
    <row r="803" spans="1:16" x14ac:dyDescent="0.25">
      <c r="A803" s="12" t="s">
        <v>717</v>
      </c>
      <c r="C803">
        <v>215</v>
      </c>
      <c r="D803">
        <v>1</v>
      </c>
      <c r="J803">
        <v>0.38200000000000001</v>
      </c>
      <c r="K803" s="2">
        <v>4.3699999999999998E-3</v>
      </c>
      <c r="L803" s="17">
        <v>4.3699999999999998E-3</v>
      </c>
      <c r="P803" s="2" t="s">
        <v>2560</v>
      </c>
    </row>
    <row r="804" spans="1:16" x14ac:dyDescent="0.25">
      <c r="A804" s="12" t="s">
        <v>718</v>
      </c>
      <c r="C804">
        <v>215</v>
      </c>
      <c r="D804">
        <v>1</v>
      </c>
      <c r="J804">
        <v>0.31900000000000001</v>
      </c>
      <c r="K804" s="2">
        <v>2.1170000000000001E-2</v>
      </c>
      <c r="L804" s="17">
        <v>2.1170000000000001E-2</v>
      </c>
      <c r="P804" s="2" t="s">
        <v>2560</v>
      </c>
    </row>
    <row r="805" spans="1:16" x14ac:dyDescent="0.25">
      <c r="A805" s="12" t="s">
        <v>719</v>
      </c>
      <c r="C805">
        <v>215</v>
      </c>
      <c r="D805">
        <v>1</v>
      </c>
      <c r="J805">
        <v>0.71099999999999997</v>
      </c>
      <c r="K805" s="2" t="s">
        <v>2174</v>
      </c>
      <c r="L805" s="17">
        <v>1E-3</v>
      </c>
      <c r="P805" s="2" t="s">
        <v>2560</v>
      </c>
    </row>
    <row r="806" spans="1:16" x14ac:dyDescent="0.25">
      <c r="A806" s="12" t="s">
        <v>720</v>
      </c>
      <c r="C806">
        <v>215</v>
      </c>
      <c r="D806">
        <v>2</v>
      </c>
      <c r="J806">
        <v>0.749</v>
      </c>
      <c r="K806" s="2">
        <v>2.1170000000000001E-2</v>
      </c>
      <c r="L806" s="17">
        <v>2.1170000000000001E-2</v>
      </c>
      <c r="O806" t="s">
        <v>2178</v>
      </c>
      <c r="P806" s="2" t="s">
        <v>2560</v>
      </c>
    </row>
    <row r="807" spans="1:16" x14ac:dyDescent="0.25">
      <c r="A807" s="12" t="s">
        <v>721</v>
      </c>
      <c r="C807">
        <v>215</v>
      </c>
      <c r="D807">
        <v>1</v>
      </c>
      <c r="J807">
        <v>0.504</v>
      </c>
      <c r="K807" s="2">
        <v>1.2030000000000001E-2</v>
      </c>
      <c r="L807" s="17">
        <v>1.2030000000000001E-2</v>
      </c>
      <c r="P807" s="2" t="s">
        <v>2560</v>
      </c>
    </row>
    <row r="808" spans="1:16" x14ac:dyDescent="0.25">
      <c r="A808" s="12" t="s">
        <v>722</v>
      </c>
      <c r="C808">
        <v>215</v>
      </c>
      <c r="D808">
        <v>1</v>
      </c>
      <c r="J808">
        <v>0.67700000000000005</v>
      </c>
      <c r="K808" s="2">
        <v>2.7999999999999998E-4</v>
      </c>
      <c r="L808" s="17">
        <v>2.7999999999999998E-4</v>
      </c>
      <c r="P808" s="2" t="s">
        <v>2560</v>
      </c>
    </row>
    <row r="809" spans="1:16" x14ac:dyDescent="0.25">
      <c r="A809" s="12" t="s">
        <v>2440</v>
      </c>
      <c r="C809">
        <v>220</v>
      </c>
      <c r="D809">
        <v>1</v>
      </c>
      <c r="E809">
        <v>0</v>
      </c>
      <c r="J809" t="b">
        <f t="shared" ref="J809:J834" si="46">IF(NOT(ISBLANK(F809)),SQRT((F809^2*1/H809)/(F809^2*1/H809+1)),IF(NOT(ISBLANK(G809)),SQRT((G809*H809/I809)/(G809*H809/I809+1)*SQRT(1/H809))))</f>
        <v>0</v>
      </c>
      <c r="K809" s="2" t="s">
        <v>2174</v>
      </c>
      <c r="L809" s="17">
        <v>1E-3</v>
      </c>
    </row>
    <row r="810" spans="1:16" x14ac:dyDescent="0.25">
      <c r="A810" s="12" t="s">
        <v>2441</v>
      </c>
      <c r="C810">
        <v>220</v>
      </c>
      <c r="D810">
        <v>1</v>
      </c>
      <c r="E810">
        <v>0</v>
      </c>
      <c r="J810" t="b">
        <f t="shared" si="46"/>
        <v>0</v>
      </c>
      <c r="K810" s="2" t="s">
        <v>2174</v>
      </c>
      <c r="L810" s="17">
        <v>1E-3</v>
      </c>
    </row>
    <row r="811" spans="1:16" x14ac:dyDescent="0.25">
      <c r="A811" s="12" t="s">
        <v>2349</v>
      </c>
      <c r="C811">
        <v>220</v>
      </c>
      <c r="D811">
        <v>1</v>
      </c>
      <c r="E811">
        <v>0</v>
      </c>
      <c r="J811" t="b">
        <f t="shared" si="46"/>
        <v>0</v>
      </c>
      <c r="K811" s="2">
        <v>0.52</v>
      </c>
      <c r="L811" s="17">
        <v>0.52</v>
      </c>
    </row>
    <row r="812" spans="1:16" x14ac:dyDescent="0.25">
      <c r="A812" s="12" t="s">
        <v>2442</v>
      </c>
      <c r="C812">
        <v>220</v>
      </c>
      <c r="D812">
        <v>1</v>
      </c>
      <c r="E812">
        <v>0</v>
      </c>
      <c r="J812" t="b">
        <f t="shared" si="46"/>
        <v>0</v>
      </c>
      <c r="K812" s="2">
        <v>0.89</v>
      </c>
      <c r="L812" s="17">
        <v>0.89</v>
      </c>
    </row>
    <row r="813" spans="1:16" x14ac:dyDescent="0.25">
      <c r="A813" s="12" t="s">
        <v>2443</v>
      </c>
      <c r="C813">
        <v>220</v>
      </c>
      <c r="D813">
        <v>1</v>
      </c>
      <c r="E813">
        <v>0</v>
      </c>
      <c r="J813" t="b">
        <f t="shared" si="46"/>
        <v>0</v>
      </c>
      <c r="K813" s="2">
        <v>0.2</v>
      </c>
      <c r="L813" s="17">
        <v>0.2</v>
      </c>
    </row>
    <row r="814" spans="1:16" x14ac:dyDescent="0.25">
      <c r="A814" s="12" t="s">
        <v>2444</v>
      </c>
      <c r="C814">
        <v>220</v>
      </c>
      <c r="D814">
        <v>1</v>
      </c>
      <c r="E814">
        <v>0</v>
      </c>
      <c r="J814" t="b">
        <f t="shared" si="46"/>
        <v>0</v>
      </c>
      <c r="K814" s="2" t="s">
        <v>2174</v>
      </c>
      <c r="L814" s="17">
        <v>1E-3</v>
      </c>
    </row>
    <row r="815" spans="1:16" x14ac:dyDescent="0.25">
      <c r="A815" s="12" t="s">
        <v>2350</v>
      </c>
      <c r="C815">
        <v>220</v>
      </c>
      <c r="D815">
        <v>1</v>
      </c>
      <c r="E815">
        <v>0</v>
      </c>
      <c r="J815" t="b">
        <f t="shared" si="46"/>
        <v>0</v>
      </c>
      <c r="K815" s="2">
        <v>6.0000000000000001E-3</v>
      </c>
      <c r="L815" s="17">
        <v>6.0000000000000001E-3</v>
      </c>
    </row>
    <row r="816" spans="1:16" x14ac:dyDescent="0.25">
      <c r="A816" s="12" t="s">
        <v>2351</v>
      </c>
      <c r="C816">
        <v>220</v>
      </c>
      <c r="D816">
        <v>1</v>
      </c>
      <c r="E816">
        <v>0</v>
      </c>
      <c r="J816" t="b">
        <f t="shared" si="46"/>
        <v>0</v>
      </c>
      <c r="K816" s="2">
        <v>0.14000000000000001</v>
      </c>
      <c r="L816" s="17">
        <v>0.14000000000000001</v>
      </c>
    </row>
    <row r="817" spans="1:15" x14ac:dyDescent="0.25">
      <c r="A817" s="12" t="s">
        <v>2352</v>
      </c>
      <c r="C817">
        <v>220</v>
      </c>
      <c r="D817">
        <v>1</v>
      </c>
      <c r="E817">
        <v>0</v>
      </c>
      <c r="J817" t="b">
        <f t="shared" si="46"/>
        <v>0</v>
      </c>
      <c r="K817" s="2">
        <v>0.52</v>
      </c>
      <c r="L817" s="17">
        <v>0.52</v>
      </c>
    </row>
    <row r="818" spans="1:15" x14ac:dyDescent="0.25">
      <c r="A818" s="12" t="s">
        <v>2353</v>
      </c>
      <c r="C818">
        <v>220</v>
      </c>
      <c r="D818">
        <v>1</v>
      </c>
      <c r="E818">
        <v>0</v>
      </c>
      <c r="J818" t="b">
        <f t="shared" si="46"/>
        <v>0</v>
      </c>
      <c r="K818" s="2">
        <v>0.81</v>
      </c>
      <c r="L818" s="17">
        <v>0.81</v>
      </c>
    </row>
    <row r="819" spans="1:15" x14ac:dyDescent="0.25">
      <c r="A819" s="12" t="s">
        <v>2354</v>
      </c>
      <c r="C819">
        <v>220</v>
      </c>
      <c r="D819">
        <v>1</v>
      </c>
      <c r="E819">
        <v>0</v>
      </c>
      <c r="J819" t="b">
        <f t="shared" si="46"/>
        <v>0</v>
      </c>
      <c r="K819" s="2">
        <v>0.69</v>
      </c>
      <c r="L819" s="17">
        <v>0.69</v>
      </c>
    </row>
    <row r="820" spans="1:15" x14ac:dyDescent="0.25">
      <c r="A820" s="12" t="s">
        <v>2355</v>
      </c>
      <c r="C820">
        <v>220</v>
      </c>
      <c r="D820">
        <v>1</v>
      </c>
      <c r="E820">
        <v>0</v>
      </c>
      <c r="J820" t="b">
        <f t="shared" si="46"/>
        <v>0</v>
      </c>
      <c r="K820" s="2">
        <v>0.38</v>
      </c>
      <c r="L820" s="17">
        <v>0.38</v>
      </c>
    </row>
    <row r="821" spans="1:15" x14ac:dyDescent="0.25">
      <c r="A821" s="12" t="s">
        <v>2356</v>
      </c>
      <c r="C821">
        <v>220</v>
      </c>
      <c r="D821">
        <v>1</v>
      </c>
      <c r="E821">
        <v>0</v>
      </c>
      <c r="J821" t="b">
        <f t="shared" si="46"/>
        <v>0</v>
      </c>
      <c r="K821" s="2">
        <v>0.71</v>
      </c>
      <c r="L821" s="17">
        <v>0.71</v>
      </c>
    </row>
    <row r="822" spans="1:15" x14ac:dyDescent="0.25">
      <c r="A822" s="12" t="s">
        <v>2357</v>
      </c>
      <c r="C822">
        <v>220</v>
      </c>
      <c r="D822">
        <v>1</v>
      </c>
      <c r="E822">
        <v>0</v>
      </c>
      <c r="J822" t="b">
        <f t="shared" si="46"/>
        <v>0</v>
      </c>
      <c r="K822" s="2" t="s">
        <v>2174</v>
      </c>
      <c r="L822" s="17">
        <v>1E-3</v>
      </c>
    </row>
    <row r="823" spans="1:15" x14ac:dyDescent="0.25">
      <c r="A823" s="12" t="s">
        <v>2358</v>
      </c>
      <c r="C823">
        <v>220</v>
      </c>
      <c r="D823">
        <v>1</v>
      </c>
      <c r="E823">
        <v>0</v>
      </c>
      <c r="J823" t="b">
        <f t="shared" si="46"/>
        <v>0</v>
      </c>
      <c r="K823" s="2">
        <v>2.3E-2</v>
      </c>
      <c r="L823" s="17">
        <v>2.3E-2</v>
      </c>
    </row>
    <row r="824" spans="1:15" x14ac:dyDescent="0.25">
      <c r="A824" s="12" t="s">
        <v>2359</v>
      </c>
      <c r="C824">
        <v>220</v>
      </c>
      <c r="D824">
        <v>1</v>
      </c>
      <c r="E824">
        <v>0</v>
      </c>
      <c r="J824" t="b">
        <f t="shared" si="46"/>
        <v>0</v>
      </c>
      <c r="K824" s="2">
        <v>6.0000000000000001E-3</v>
      </c>
      <c r="L824" s="17">
        <v>6.0000000000000001E-3</v>
      </c>
    </row>
    <row r="825" spans="1:15" x14ac:dyDescent="0.25">
      <c r="A825" s="12" t="s">
        <v>723</v>
      </c>
      <c r="C825">
        <v>221</v>
      </c>
      <c r="D825">
        <v>1</v>
      </c>
      <c r="G825">
        <v>6.74</v>
      </c>
      <c r="H825">
        <v>2</v>
      </c>
      <c r="I825">
        <v>140</v>
      </c>
      <c r="J825">
        <f t="shared" si="46"/>
        <v>0.24920775447245136</v>
      </c>
      <c r="K825" s="2">
        <v>2E-3</v>
      </c>
      <c r="L825" s="17">
        <v>2E-3</v>
      </c>
      <c r="M825" s="2" t="s">
        <v>2558</v>
      </c>
      <c r="N825" s="2" t="s">
        <v>2558</v>
      </c>
      <c r="O825" t="s">
        <v>2135</v>
      </c>
    </row>
    <row r="826" spans="1:15" x14ac:dyDescent="0.25">
      <c r="A826" s="12" t="s">
        <v>724</v>
      </c>
      <c r="C826">
        <v>221</v>
      </c>
      <c r="D826">
        <v>1</v>
      </c>
      <c r="G826">
        <v>6.6</v>
      </c>
      <c r="H826">
        <v>2</v>
      </c>
      <c r="I826">
        <v>140</v>
      </c>
      <c r="J826">
        <f t="shared" si="46"/>
        <v>0.24683121673307915</v>
      </c>
      <c r="K826" s="2">
        <v>1.0999999999999999E-2</v>
      </c>
      <c r="L826" s="17">
        <v>1.0999999999999999E-2</v>
      </c>
      <c r="M826" s="2" t="s">
        <v>2558</v>
      </c>
      <c r="N826" s="2" t="s">
        <v>2558</v>
      </c>
      <c r="O826" t="s">
        <v>2135</v>
      </c>
    </row>
    <row r="827" spans="1:15" x14ac:dyDescent="0.25">
      <c r="A827" s="12" t="s">
        <v>725</v>
      </c>
      <c r="C827">
        <v>221</v>
      </c>
      <c r="D827">
        <v>1</v>
      </c>
      <c r="G827">
        <v>2.56</v>
      </c>
      <c r="H827">
        <v>3</v>
      </c>
      <c r="I827">
        <v>139</v>
      </c>
      <c r="J827">
        <f t="shared" si="46"/>
        <v>0.17386607323449288</v>
      </c>
      <c r="K827" s="2">
        <v>5.8000000000000003E-2</v>
      </c>
      <c r="L827" s="17">
        <v>5.8000000000000003E-2</v>
      </c>
      <c r="M827" s="2">
        <v>0</v>
      </c>
      <c r="N827" s="2">
        <f t="shared" si="45"/>
        <v>0</v>
      </c>
    </row>
    <row r="828" spans="1:15" x14ac:dyDescent="0.25">
      <c r="A828" s="12" t="s">
        <v>726</v>
      </c>
      <c r="C828">
        <v>221</v>
      </c>
      <c r="D828">
        <v>1</v>
      </c>
      <c r="F828">
        <v>-1.05</v>
      </c>
      <c r="H828">
        <v>139</v>
      </c>
      <c r="J828">
        <f t="shared" si="46"/>
        <v>8.8708728957035882E-2</v>
      </c>
      <c r="K828" s="2">
        <v>0.29699999999999999</v>
      </c>
      <c r="L828" s="17">
        <v>0.29699999999999999</v>
      </c>
      <c r="M828" s="2">
        <v>0</v>
      </c>
      <c r="N828" s="2">
        <f t="shared" si="45"/>
        <v>0</v>
      </c>
    </row>
    <row r="829" spans="1:15" x14ac:dyDescent="0.25">
      <c r="A829" s="12" t="s">
        <v>727</v>
      </c>
      <c r="C829">
        <v>221</v>
      </c>
      <c r="D829">
        <v>1</v>
      </c>
      <c r="F829">
        <v>2.59</v>
      </c>
      <c r="H829">
        <v>139</v>
      </c>
      <c r="J829">
        <f t="shared" si="46"/>
        <v>0.21456452350661823</v>
      </c>
      <c r="K829" s="2">
        <v>0.11</v>
      </c>
      <c r="L829" s="17">
        <v>0.11</v>
      </c>
      <c r="M829" s="2">
        <v>0</v>
      </c>
      <c r="N829" s="2">
        <f t="shared" si="45"/>
        <v>0</v>
      </c>
    </row>
    <row r="830" spans="1:15" x14ac:dyDescent="0.25">
      <c r="A830" s="12" t="s">
        <v>728</v>
      </c>
      <c r="C830">
        <v>221</v>
      </c>
      <c r="D830">
        <v>1</v>
      </c>
      <c r="F830">
        <v>0.08</v>
      </c>
      <c r="H830">
        <v>139</v>
      </c>
      <c r="J830">
        <f t="shared" si="46"/>
        <v>6.7853552296210252E-3</v>
      </c>
      <c r="K830" s="2">
        <v>0.93500000000000005</v>
      </c>
      <c r="L830" s="17">
        <v>0.93500000000000005</v>
      </c>
      <c r="M830" s="2">
        <v>0</v>
      </c>
      <c r="N830" s="2">
        <f t="shared" si="45"/>
        <v>0</v>
      </c>
    </row>
    <row r="831" spans="1:15" x14ac:dyDescent="0.25">
      <c r="A831" s="12" t="s">
        <v>729</v>
      </c>
      <c r="C831">
        <v>221</v>
      </c>
      <c r="D831">
        <v>1</v>
      </c>
      <c r="G831">
        <v>30.36</v>
      </c>
      <c r="H831">
        <v>3</v>
      </c>
      <c r="I831">
        <v>139</v>
      </c>
      <c r="J831">
        <f t="shared" si="46"/>
        <v>0.47807029872798562</v>
      </c>
      <c r="K831" s="2" t="s">
        <v>2519</v>
      </c>
      <c r="L831" s="17">
        <v>1E-3</v>
      </c>
      <c r="M831" s="2">
        <v>0</v>
      </c>
      <c r="N831" s="2">
        <f t="shared" si="45"/>
        <v>0</v>
      </c>
    </row>
    <row r="832" spans="1:15" x14ac:dyDescent="0.25">
      <c r="A832" s="12" t="s">
        <v>730</v>
      </c>
      <c r="C832">
        <v>221</v>
      </c>
      <c r="D832">
        <v>1</v>
      </c>
      <c r="F832">
        <v>-1.44</v>
      </c>
      <c r="H832">
        <v>139</v>
      </c>
      <c r="J832">
        <f t="shared" si="46"/>
        <v>0.12123823844132446</v>
      </c>
      <c r="K832" s="2">
        <v>0.151</v>
      </c>
      <c r="L832" s="17">
        <v>0.151</v>
      </c>
      <c r="M832" s="2">
        <v>0</v>
      </c>
      <c r="N832" s="2">
        <f t="shared" si="45"/>
        <v>0</v>
      </c>
    </row>
    <row r="833" spans="1:15" x14ac:dyDescent="0.25">
      <c r="A833" s="12" t="s">
        <v>731</v>
      </c>
      <c r="C833">
        <v>221</v>
      </c>
      <c r="D833">
        <v>1</v>
      </c>
      <c r="F833">
        <v>-8.41</v>
      </c>
      <c r="H833">
        <v>139</v>
      </c>
      <c r="J833">
        <f t="shared" si="46"/>
        <v>0.58072120502327729</v>
      </c>
      <c r="K833" s="2" t="s">
        <v>2519</v>
      </c>
      <c r="L833" s="17">
        <v>1E-3</v>
      </c>
      <c r="M833" s="2">
        <v>0</v>
      </c>
      <c r="N833" s="2">
        <f t="shared" si="45"/>
        <v>0</v>
      </c>
    </row>
    <row r="834" spans="1:15" x14ac:dyDescent="0.25">
      <c r="A834" s="12" t="s">
        <v>732</v>
      </c>
      <c r="C834">
        <v>221</v>
      </c>
      <c r="D834">
        <v>1</v>
      </c>
      <c r="F834">
        <v>-1.67</v>
      </c>
      <c r="H834">
        <v>139</v>
      </c>
      <c r="J834">
        <f t="shared" si="46"/>
        <v>0.14024757301217672</v>
      </c>
      <c r="K834" s="2">
        <v>9.6000000000000002E-2</v>
      </c>
      <c r="L834" s="17">
        <v>9.6000000000000002E-2</v>
      </c>
      <c r="M834" s="2">
        <v>0</v>
      </c>
      <c r="N834" s="2">
        <f t="shared" si="45"/>
        <v>0</v>
      </c>
    </row>
    <row r="835" spans="1:15" x14ac:dyDescent="0.25">
      <c r="A835" s="12" t="s">
        <v>2575</v>
      </c>
      <c r="C835">
        <v>222</v>
      </c>
      <c r="D835">
        <v>1</v>
      </c>
      <c r="J835">
        <v>0.18</v>
      </c>
      <c r="K835" s="2" t="s">
        <v>2576</v>
      </c>
      <c r="L835" s="17">
        <v>0.1</v>
      </c>
      <c r="O835" t="s">
        <v>2163</v>
      </c>
    </row>
    <row r="836" spans="1:15" x14ac:dyDescent="0.25">
      <c r="A836" s="12" t="s">
        <v>733</v>
      </c>
      <c r="C836">
        <v>222</v>
      </c>
      <c r="D836">
        <v>1</v>
      </c>
      <c r="F836">
        <v>2.61</v>
      </c>
      <c r="H836">
        <v>95</v>
      </c>
      <c r="J836">
        <f t="shared" ref="J836:J867" si="47">IF(NOT(ISBLANK(F836)),SQRT((F836^2*1/H836)/(F836^2*1/H836+1)),IF(NOT(ISBLANK(G836)),SQRT((G836*H836/I836)/(G836*H836/I836+1)*SQRT(1/H836))))</f>
        <v>0.25866687101850755</v>
      </c>
      <c r="K836" s="2" t="s">
        <v>2534</v>
      </c>
      <c r="L836" s="17">
        <v>0.01</v>
      </c>
      <c r="M836" s="2" t="s">
        <v>2558</v>
      </c>
      <c r="N836" s="2" t="s">
        <v>2558</v>
      </c>
      <c r="O836" t="s">
        <v>2183</v>
      </c>
    </row>
    <row r="837" spans="1:15" x14ac:dyDescent="0.25">
      <c r="A837" s="12" t="s">
        <v>734</v>
      </c>
      <c r="C837">
        <v>222</v>
      </c>
      <c r="D837">
        <v>1</v>
      </c>
      <c r="F837">
        <v>0.04</v>
      </c>
      <c r="H837">
        <v>95</v>
      </c>
      <c r="J837">
        <f t="shared" si="47"/>
        <v>4.103878849506342E-3</v>
      </c>
      <c r="K837" s="2" t="s">
        <v>2145</v>
      </c>
      <c r="L837" s="17">
        <v>0.999</v>
      </c>
      <c r="M837" s="2" t="s">
        <v>2558</v>
      </c>
      <c r="N837" s="2" t="s">
        <v>2558</v>
      </c>
      <c r="O837" t="s">
        <v>2183</v>
      </c>
    </row>
    <row r="838" spans="1:15" x14ac:dyDescent="0.25">
      <c r="A838" s="12" t="s">
        <v>735</v>
      </c>
      <c r="C838">
        <v>225</v>
      </c>
      <c r="D838">
        <v>1</v>
      </c>
      <c r="E838">
        <v>0</v>
      </c>
      <c r="H838">
        <v>0</v>
      </c>
      <c r="J838" t="b">
        <f t="shared" si="47"/>
        <v>0</v>
      </c>
      <c r="O838" t="s">
        <v>2163</v>
      </c>
    </row>
    <row r="839" spans="1:15" x14ac:dyDescent="0.25">
      <c r="A839" s="12" t="s">
        <v>736</v>
      </c>
      <c r="C839">
        <v>225</v>
      </c>
      <c r="D839">
        <v>1</v>
      </c>
      <c r="E839">
        <v>0</v>
      </c>
      <c r="J839" t="b">
        <f t="shared" si="47"/>
        <v>0</v>
      </c>
      <c r="O839" t="s">
        <v>2163</v>
      </c>
    </row>
    <row r="840" spans="1:15" x14ac:dyDescent="0.25">
      <c r="A840" s="12" t="s">
        <v>737</v>
      </c>
      <c r="C840">
        <v>225</v>
      </c>
      <c r="D840">
        <v>1</v>
      </c>
      <c r="E840">
        <v>0</v>
      </c>
      <c r="J840" t="b">
        <f t="shared" si="47"/>
        <v>0</v>
      </c>
      <c r="O840" t="s">
        <v>2163</v>
      </c>
    </row>
    <row r="841" spans="1:15" x14ac:dyDescent="0.25">
      <c r="A841" s="12" t="s">
        <v>738</v>
      </c>
      <c r="C841">
        <v>225</v>
      </c>
      <c r="D841">
        <v>1</v>
      </c>
      <c r="E841">
        <v>0</v>
      </c>
      <c r="J841" t="b">
        <f t="shared" si="47"/>
        <v>0</v>
      </c>
      <c r="K841" s="2" t="s">
        <v>2174</v>
      </c>
      <c r="L841" s="17">
        <v>1E-3</v>
      </c>
      <c r="M841" s="2" t="s">
        <v>2558</v>
      </c>
      <c r="N841" s="2" t="s">
        <v>2558</v>
      </c>
      <c r="O841" t="s">
        <v>2135</v>
      </c>
    </row>
    <row r="842" spans="1:15" x14ac:dyDescent="0.25">
      <c r="A842" s="12" t="s">
        <v>739</v>
      </c>
      <c r="C842">
        <v>225</v>
      </c>
      <c r="D842">
        <v>1</v>
      </c>
      <c r="E842">
        <v>0</v>
      </c>
      <c r="J842" t="b">
        <f t="shared" si="47"/>
        <v>0</v>
      </c>
      <c r="K842" s="2" t="s">
        <v>2174</v>
      </c>
      <c r="L842" s="17">
        <v>1E-3</v>
      </c>
      <c r="M842" s="2" t="s">
        <v>2558</v>
      </c>
      <c r="N842" s="2" t="s">
        <v>2558</v>
      </c>
      <c r="O842" t="s">
        <v>2135</v>
      </c>
    </row>
    <row r="843" spans="1:15" x14ac:dyDescent="0.25">
      <c r="A843" s="12" t="s">
        <v>740</v>
      </c>
      <c r="C843">
        <v>225</v>
      </c>
      <c r="D843">
        <v>1</v>
      </c>
      <c r="E843">
        <v>0</v>
      </c>
      <c r="J843" t="b">
        <f t="shared" si="47"/>
        <v>0</v>
      </c>
      <c r="K843" s="2" t="s">
        <v>2174</v>
      </c>
      <c r="L843" s="17">
        <v>1E-3</v>
      </c>
      <c r="M843" s="2" t="s">
        <v>2558</v>
      </c>
      <c r="N843" s="2" t="s">
        <v>2558</v>
      </c>
      <c r="O843" t="s">
        <v>2135</v>
      </c>
    </row>
    <row r="844" spans="1:15" x14ac:dyDescent="0.25">
      <c r="A844" s="12" t="s">
        <v>741</v>
      </c>
      <c r="C844">
        <v>225</v>
      </c>
      <c r="D844">
        <v>1</v>
      </c>
      <c r="E844">
        <v>0</v>
      </c>
      <c r="J844" t="b">
        <f t="shared" si="47"/>
        <v>0</v>
      </c>
      <c r="K844" s="2">
        <v>4.3800000000000002E-3</v>
      </c>
      <c r="L844" s="17">
        <v>4.3800000000000002E-3</v>
      </c>
      <c r="M844" s="2">
        <v>1</v>
      </c>
      <c r="N844" s="2">
        <v>0</v>
      </c>
    </row>
    <row r="845" spans="1:15" x14ac:dyDescent="0.25">
      <c r="A845" s="12" t="s">
        <v>742</v>
      </c>
      <c r="C845">
        <v>225</v>
      </c>
      <c r="D845">
        <v>1</v>
      </c>
      <c r="E845">
        <v>0</v>
      </c>
      <c r="J845" t="b">
        <f t="shared" si="47"/>
        <v>0</v>
      </c>
      <c r="K845" s="2" t="s">
        <v>2174</v>
      </c>
      <c r="L845" s="17">
        <v>1E-3</v>
      </c>
      <c r="M845" s="2" t="s">
        <v>2558</v>
      </c>
      <c r="N845" s="2" t="s">
        <v>2558</v>
      </c>
      <c r="O845" t="s">
        <v>2135</v>
      </c>
    </row>
    <row r="846" spans="1:15" x14ac:dyDescent="0.25">
      <c r="A846" s="12" t="s">
        <v>743</v>
      </c>
      <c r="C846">
        <v>225</v>
      </c>
      <c r="D846">
        <v>1</v>
      </c>
      <c r="E846">
        <v>0</v>
      </c>
      <c r="J846" t="b">
        <f t="shared" si="47"/>
        <v>0</v>
      </c>
      <c r="K846" s="2">
        <v>0.01</v>
      </c>
      <c r="L846" s="17">
        <v>0.01</v>
      </c>
      <c r="M846" s="2">
        <v>0</v>
      </c>
      <c r="N846" s="2">
        <f t="shared" si="45"/>
        <v>0</v>
      </c>
    </row>
    <row r="847" spans="1:15" x14ac:dyDescent="0.25">
      <c r="A847" s="12" t="s">
        <v>744</v>
      </c>
      <c r="C847">
        <v>229</v>
      </c>
      <c r="D847">
        <v>1</v>
      </c>
      <c r="E847">
        <v>0</v>
      </c>
      <c r="J847" t="b">
        <f t="shared" si="47"/>
        <v>0</v>
      </c>
      <c r="K847" s="2" t="s">
        <v>2174</v>
      </c>
      <c r="L847" s="17">
        <v>1E-3</v>
      </c>
      <c r="M847" s="2" t="s">
        <v>2558</v>
      </c>
      <c r="N847" s="2" t="s">
        <v>2558</v>
      </c>
      <c r="O847" t="s">
        <v>2135</v>
      </c>
    </row>
    <row r="848" spans="1:15" x14ac:dyDescent="0.25">
      <c r="A848" s="12" t="s">
        <v>745</v>
      </c>
      <c r="C848">
        <v>229</v>
      </c>
      <c r="D848">
        <v>1</v>
      </c>
      <c r="E848">
        <v>0</v>
      </c>
      <c r="J848" t="b">
        <f t="shared" si="47"/>
        <v>0</v>
      </c>
      <c r="K848" s="2" t="s">
        <v>2536</v>
      </c>
      <c r="L848" s="17">
        <v>1E-4</v>
      </c>
      <c r="M848" s="2" t="s">
        <v>2558</v>
      </c>
      <c r="N848" s="2" t="s">
        <v>2558</v>
      </c>
    </row>
    <row r="849" spans="1:14" x14ac:dyDescent="0.25">
      <c r="A849" s="12" t="s">
        <v>746</v>
      </c>
      <c r="C849">
        <v>229</v>
      </c>
      <c r="D849">
        <v>1</v>
      </c>
      <c r="E849">
        <v>0</v>
      </c>
      <c r="J849" t="b">
        <f t="shared" si="47"/>
        <v>0</v>
      </c>
      <c r="K849" s="2" t="s">
        <v>2536</v>
      </c>
      <c r="L849" s="17">
        <v>1E-4</v>
      </c>
      <c r="M849" s="2" t="s">
        <v>2558</v>
      </c>
      <c r="N849" s="2" t="s">
        <v>2558</v>
      </c>
    </row>
    <row r="850" spans="1:14" x14ac:dyDescent="0.25">
      <c r="A850" s="12" t="s">
        <v>747</v>
      </c>
      <c r="C850">
        <v>229</v>
      </c>
      <c r="D850">
        <v>1</v>
      </c>
      <c r="E850">
        <v>0</v>
      </c>
      <c r="J850" t="b">
        <f t="shared" si="47"/>
        <v>0</v>
      </c>
      <c r="K850" s="2">
        <v>2E-3</v>
      </c>
      <c r="L850" s="17">
        <v>2E-3</v>
      </c>
      <c r="M850" s="2" t="s">
        <v>2558</v>
      </c>
      <c r="N850" s="2" t="s">
        <v>2558</v>
      </c>
    </row>
    <row r="851" spans="1:14" x14ac:dyDescent="0.25">
      <c r="A851" s="12" t="s">
        <v>748</v>
      </c>
      <c r="C851">
        <v>229</v>
      </c>
      <c r="D851">
        <v>1</v>
      </c>
      <c r="E851">
        <v>0</v>
      </c>
      <c r="J851" t="b">
        <f t="shared" si="47"/>
        <v>0</v>
      </c>
      <c r="K851" s="2" t="s">
        <v>2535</v>
      </c>
      <c r="L851" s="17">
        <v>1E-4</v>
      </c>
      <c r="M851" s="2" t="s">
        <v>2558</v>
      </c>
      <c r="N851" s="2" t="s">
        <v>2558</v>
      </c>
    </row>
    <row r="852" spans="1:14" x14ac:dyDescent="0.25">
      <c r="A852" s="12" t="s">
        <v>749</v>
      </c>
      <c r="C852">
        <v>229</v>
      </c>
      <c r="D852">
        <v>1</v>
      </c>
      <c r="E852">
        <v>0</v>
      </c>
      <c r="J852" t="b">
        <f t="shared" si="47"/>
        <v>0</v>
      </c>
      <c r="K852" s="2">
        <v>5.0000000000000001E-4</v>
      </c>
      <c r="L852" s="17">
        <v>5.0000000000000001E-4</v>
      </c>
      <c r="M852" s="2" t="s">
        <v>2558</v>
      </c>
      <c r="N852" s="2" t="s">
        <v>2558</v>
      </c>
    </row>
    <row r="853" spans="1:14" x14ac:dyDescent="0.25">
      <c r="A853" s="12" t="s">
        <v>750</v>
      </c>
      <c r="C853">
        <v>229</v>
      </c>
      <c r="D853">
        <v>1</v>
      </c>
      <c r="E853">
        <v>0</v>
      </c>
      <c r="J853" t="b">
        <f t="shared" si="47"/>
        <v>0</v>
      </c>
      <c r="K853" s="2" t="s">
        <v>2535</v>
      </c>
      <c r="L853" s="17">
        <v>1E-4</v>
      </c>
      <c r="M853" s="2" t="s">
        <v>2558</v>
      </c>
      <c r="N853" s="2" t="s">
        <v>2558</v>
      </c>
    </row>
    <row r="854" spans="1:14" x14ac:dyDescent="0.25">
      <c r="A854" s="12" t="s">
        <v>751</v>
      </c>
      <c r="C854">
        <v>229</v>
      </c>
      <c r="D854">
        <v>1</v>
      </c>
      <c r="E854">
        <v>0</v>
      </c>
      <c r="J854" t="b">
        <f t="shared" si="47"/>
        <v>0</v>
      </c>
      <c r="K854" s="2" t="s">
        <v>2535</v>
      </c>
      <c r="L854" s="17">
        <v>1E-4</v>
      </c>
      <c r="M854" s="2" t="s">
        <v>2558</v>
      </c>
      <c r="N854" s="2" t="s">
        <v>2558</v>
      </c>
    </row>
    <row r="855" spans="1:14" x14ac:dyDescent="0.25">
      <c r="A855" s="12" t="s">
        <v>752</v>
      </c>
      <c r="C855">
        <v>229</v>
      </c>
      <c r="D855">
        <v>1</v>
      </c>
      <c r="E855">
        <v>0</v>
      </c>
      <c r="J855" t="b">
        <f t="shared" si="47"/>
        <v>0</v>
      </c>
      <c r="K855" s="2" t="s">
        <v>2535</v>
      </c>
      <c r="L855" s="17">
        <v>1E-4</v>
      </c>
      <c r="M855" s="2" t="s">
        <v>2558</v>
      </c>
      <c r="N855" s="2" t="s">
        <v>2558</v>
      </c>
    </row>
    <row r="856" spans="1:14" x14ac:dyDescent="0.25">
      <c r="A856" s="12" t="s">
        <v>753</v>
      </c>
      <c r="C856">
        <v>229</v>
      </c>
      <c r="D856">
        <v>1</v>
      </c>
      <c r="E856">
        <v>0</v>
      </c>
      <c r="J856" t="b">
        <f t="shared" si="47"/>
        <v>0</v>
      </c>
      <c r="K856" s="2" t="s">
        <v>2535</v>
      </c>
      <c r="L856" s="17">
        <v>1E-4</v>
      </c>
      <c r="M856" s="2" t="s">
        <v>2558</v>
      </c>
      <c r="N856" s="2" t="s">
        <v>2558</v>
      </c>
    </row>
    <row r="857" spans="1:14" x14ac:dyDescent="0.25">
      <c r="A857" s="12" t="s">
        <v>754</v>
      </c>
      <c r="C857">
        <v>229</v>
      </c>
      <c r="D857">
        <v>1</v>
      </c>
      <c r="E857">
        <v>0</v>
      </c>
      <c r="J857" t="b">
        <f t="shared" si="47"/>
        <v>0</v>
      </c>
      <c r="K857" s="2" t="s">
        <v>2535</v>
      </c>
      <c r="L857" s="17">
        <v>1E-4</v>
      </c>
      <c r="M857" s="2" t="s">
        <v>2558</v>
      </c>
      <c r="N857" s="2" t="s">
        <v>2558</v>
      </c>
    </row>
    <row r="858" spans="1:14" x14ac:dyDescent="0.25">
      <c r="A858" s="12" t="s">
        <v>755</v>
      </c>
      <c r="C858">
        <v>229</v>
      </c>
      <c r="D858">
        <v>1</v>
      </c>
      <c r="E858">
        <v>0</v>
      </c>
      <c r="J858" t="b">
        <f t="shared" si="47"/>
        <v>0</v>
      </c>
      <c r="K858" s="2" t="s">
        <v>2535</v>
      </c>
      <c r="L858" s="17">
        <v>1E-4</v>
      </c>
      <c r="M858" s="2" t="s">
        <v>2558</v>
      </c>
      <c r="N858" s="2" t="s">
        <v>2558</v>
      </c>
    </row>
    <row r="859" spans="1:14" x14ac:dyDescent="0.25">
      <c r="A859" s="12" t="s">
        <v>756</v>
      </c>
      <c r="C859">
        <v>229</v>
      </c>
      <c r="D859">
        <v>1</v>
      </c>
      <c r="E859">
        <v>0</v>
      </c>
      <c r="J859" t="b">
        <f t="shared" si="47"/>
        <v>0</v>
      </c>
      <c r="K859" s="2" t="s">
        <v>2535</v>
      </c>
      <c r="L859" s="17">
        <v>1E-4</v>
      </c>
      <c r="M859" s="2" t="s">
        <v>2558</v>
      </c>
      <c r="N859" s="2" t="s">
        <v>2558</v>
      </c>
    </row>
    <row r="860" spans="1:14" x14ac:dyDescent="0.25">
      <c r="A860" s="12" t="s">
        <v>757</v>
      </c>
      <c r="C860">
        <v>229</v>
      </c>
      <c r="D860">
        <v>1</v>
      </c>
      <c r="E860">
        <v>0</v>
      </c>
      <c r="J860" t="b">
        <f t="shared" si="47"/>
        <v>0</v>
      </c>
      <c r="K860" s="2" t="s">
        <v>2535</v>
      </c>
      <c r="L860" s="17">
        <v>1E-4</v>
      </c>
      <c r="M860" s="2" t="s">
        <v>2558</v>
      </c>
      <c r="N860" s="2" t="s">
        <v>2558</v>
      </c>
    </row>
    <row r="861" spans="1:14" x14ac:dyDescent="0.25">
      <c r="A861" s="12" t="s">
        <v>758</v>
      </c>
      <c r="C861">
        <v>229</v>
      </c>
      <c r="D861">
        <v>1</v>
      </c>
      <c r="E861">
        <v>0</v>
      </c>
      <c r="J861" t="b">
        <f t="shared" si="47"/>
        <v>0</v>
      </c>
      <c r="K861" s="2">
        <v>6.9999999999999999E-4</v>
      </c>
      <c r="L861" s="17">
        <v>6.9999999999999999E-4</v>
      </c>
      <c r="M861" s="2" t="s">
        <v>2558</v>
      </c>
      <c r="N861" s="2" t="s">
        <v>2558</v>
      </c>
    </row>
    <row r="862" spans="1:14" x14ac:dyDescent="0.25">
      <c r="A862" s="12" t="s">
        <v>759</v>
      </c>
      <c r="C862">
        <v>229</v>
      </c>
      <c r="D862">
        <v>1</v>
      </c>
      <c r="E862">
        <v>0</v>
      </c>
      <c r="J862" t="b">
        <f t="shared" si="47"/>
        <v>0</v>
      </c>
      <c r="K862" s="2" t="s">
        <v>2535</v>
      </c>
      <c r="L862" s="17">
        <v>1E-4</v>
      </c>
      <c r="M862" s="2" t="s">
        <v>2558</v>
      </c>
      <c r="N862" s="2" t="s">
        <v>2558</v>
      </c>
    </row>
    <row r="863" spans="1:14" x14ac:dyDescent="0.25">
      <c r="A863" s="12" t="s">
        <v>760</v>
      </c>
      <c r="C863">
        <v>229</v>
      </c>
      <c r="D863">
        <v>1</v>
      </c>
      <c r="E863">
        <v>0</v>
      </c>
      <c r="J863" t="b">
        <f t="shared" si="47"/>
        <v>0</v>
      </c>
      <c r="K863" s="2">
        <v>2.9999999999999997E-4</v>
      </c>
      <c r="L863" s="17">
        <v>2.9999999999999997E-4</v>
      </c>
      <c r="M863" s="2" t="s">
        <v>2558</v>
      </c>
      <c r="N863" s="2" t="s">
        <v>2558</v>
      </c>
    </row>
    <row r="864" spans="1:14" x14ac:dyDescent="0.25">
      <c r="A864" s="12" t="s">
        <v>761</v>
      </c>
      <c r="C864">
        <v>229</v>
      </c>
      <c r="D864">
        <v>1</v>
      </c>
      <c r="E864">
        <v>0</v>
      </c>
      <c r="J864" t="b">
        <f t="shared" si="47"/>
        <v>0</v>
      </c>
      <c r="K864" s="2" t="s">
        <v>2535</v>
      </c>
      <c r="L864" s="17">
        <v>1E-4</v>
      </c>
      <c r="M864" s="2" t="s">
        <v>2558</v>
      </c>
      <c r="N864" s="2" t="s">
        <v>2558</v>
      </c>
    </row>
    <row r="865" spans="1:14" x14ac:dyDescent="0.25">
      <c r="A865" s="12" t="s">
        <v>762</v>
      </c>
      <c r="C865">
        <v>229</v>
      </c>
      <c r="D865">
        <v>1</v>
      </c>
      <c r="E865">
        <v>0</v>
      </c>
      <c r="J865" t="b">
        <f t="shared" si="47"/>
        <v>0</v>
      </c>
      <c r="K865" s="2" t="s">
        <v>2535</v>
      </c>
      <c r="L865" s="17">
        <v>1E-4</v>
      </c>
      <c r="M865" s="2" t="s">
        <v>2558</v>
      </c>
      <c r="N865" s="2" t="s">
        <v>2558</v>
      </c>
    </row>
    <row r="866" spans="1:14" x14ac:dyDescent="0.25">
      <c r="A866" s="12" t="s">
        <v>763</v>
      </c>
      <c r="C866">
        <v>229</v>
      </c>
      <c r="D866">
        <v>1</v>
      </c>
      <c r="E866">
        <v>0</v>
      </c>
      <c r="J866" t="b">
        <f t="shared" si="47"/>
        <v>0</v>
      </c>
      <c r="K866" s="2">
        <v>2.9999999999999997E-4</v>
      </c>
      <c r="L866" s="17">
        <v>2.9999999999999997E-4</v>
      </c>
      <c r="M866" s="2" t="s">
        <v>2558</v>
      </c>
      <c r="N866" s="2" t="s">
        <v>2558</v>
      </c>
    </row>
    <row r="867" spans="1:14" x14ac:dyDescent="0.25">
      <c r="A867" s="12" t="s">
        <v>764</v>
      </c>
      <c r="C867">
        <v>229</v>
      </c>
      <c r="D867">
        <v>2</v>
      </c>
      <c r="E867">
        <v>0</v>
      </c>
      <c r="J867" t="b">
        <f t="shared" si="47"/>
        <v>0</v>
      </c>
      <c r="K867" s="2" t="s">
        <v>2535</v>
      </c>
      <c r="L867" s="17">
        <v>1E-4</v>
      </c>
      <c r="M867" s="2" t="s">
        <v>2558</v>
      </c>
      <c r="N867" s="2" t="s">
        <v>2558</v>
      </c>
    </row>
    <row r="868" spans="1:14" x14ac:dyDescent="0.25">
      <c r="A868" s="12" t="s">
        <v>765</v>
      </c>
      <c r="C868">
        <v>232</v>
      </c>
      <c r="D868">
        <v>1</v>
      </c>
      <c r="G868">
        <v>108.63</v>
      </c>
      <c r="H868">
        <v>1</v>
      </c>
      <c r="I868">
        <v>21</v>
      </c>
      <c r="J868">
        <f t="shared" ref="J868:J898" si="48">IF(NOT(ISBLANK(F868)),SQRT((F868^2*1/H868)/(F868^2*1/H868+1)),IF(NOT(ISBLANK(G868)),SQRT((G868*H868/I868)/(G868*H868/I868+1)*SQRT(1/H868))))</f>
        <v>0.91542365211732457</v>
      </c>
      <c r="K868" s="2" t="s">
        <v>2517</v>
      </c>
      <c r="L868" s="17">
        <v>1E-3</v>
      </c>
      <c r="M868" s="2">
        <v>0</v>
      </c>
      <c r="N868" s="2">
        <f t="shared" ref="N868:N921" si="49">IF(M868=0, 0)</f>
        <v>0</v>
      </c>
    </row>
    <row r="869" spans="1:14" x14ac:dyDescent="0.25">
      <c r="A869" s="12" t="s">
        <v>766</v>
      </c>
      <c r="C869">
        <v>232</v>
      </c>
      <c r="D869">
        <v>1</v>
      </c>
      <c r="G869">
        <v>41.48</v>
      </c>
      <c r="H869">
        <v>2</v>
      </c>
      <c r="I869">
        <v>49</v>
      </c>
      <c r="J869">
        <f t="shared" si="48"/>
        <v>0.66673878506626549</v>
      </c>
      <c r="K869" s="2" t="s">
        <v>2174</v>
      </c>
      <c r="L869" s="17">
        <v>1E-3</v>
      </c>
      <c r="M869" s="2">
        <v>0</v>
      </c>
      <c r="N869" s="2">
        <f t="shared" si="49"/>
        <v>0</v>
      </c>
    </row>
    <row r="870" spans="1:14" x14ac:dyDescent="0.25">
      <c r="A870" s="12" t="s">
        <v>767</v>
      </c>
      <c r="C870">
        <v>232</v>
      </c>
      <c r="D870">
        <v>1</v>
      </c>
      <c r="G870">
        <v>36.619999999999997</v>
      </c>
      <c r="H870">
        <v>2</v>
      </c>
      <c r="I870">
        <v>58</v>
      </c>
      <c r="J870">
        <f t="shared" si="48"/>
        <v>0.62817920855381826</v>
      </c>
      <c r="K870" s="2" t="s">
        <v>2174</v>
      </c>
      <c r="L870" s="17">
        <v>1E-3</v>
      </c>
      <c r="M870" s="2">
        <v>0</v>
      </c>
      <c r="N870" s="2">
        <f t="shared" si="49"/>
        <v>0</v>
      </c>
    </row>
    <row r="871" spans="1:14" x14ac:dyDescent="0.25">
      <c r="A871" s="12" t="s">
        <v>768</v>
      </c>
      <c r="C871">
        <v>233</v>
      </c>
      <c r="D871">
        <v>1</v>
      </c>
      <c r="F871">
        <v>14.57</v>
      </c>
      <c r="H871">
        <v>70</v>
      </c>
      <c r="J871">
        <f t="shared" si="48"/>
        <v>0.86719292904253353</v>
      </c>
      <c r="K871" s="2" t="s">
        <v>2519</v>
      </c>
      <c r="L871" s="17">
        <v>1E-3</v>
      </c>
      <c r="M871" s="2">
        <v>0</v>
      </c>
      <c r="N871" s="2">
        <f t="shared" si="49"/>
        <v>0</v>
      </c>
    </row>
    <row r="872" spans="1:14" x14ac:dyDescent="0.25">
      <c r="A872" s="12" t="s">
        <v>769</v>
      </c>
      <c r="C872">
        <v>235</v>
      </c>
      <c r="D872">
        <v>1</v>
      </c>
      <c r="E872">
        <v>0</v>
      </c>
      <c r="J872" t="b">
        <f t="shared" si="48"/>
        <v>0</v>
      </c>
      <c r="K872" s="2">
        <v>1.7999999999999999E-2</v>
      </c>
      <c r="L872" s="17">
        <v>1.7999999999999999E-2</v>
      </c>
      <c r="M872" s="2">
        <v>0</v>
      </c>
      <c r="N872" s="2">
        <f t="shared" si="49"/>
        <v>0</v>
      </c>
    </row>
    <row r="873" spans="1:14" x14ac:dyDescent="0.25">
      <c r="A873" s="12" t="s">
        <v>770</v>
      </c>
      <c r="C873">
        <v>235</v>
      </c>
      <c r="D873">
        <v>1</v>
      </c>
      <c r="E873">
        <v>0</v>
      </c>
      <c r="J873" t="b">
        <f t="shared" si="48"/>
        <v>0</v>
      </c>
      <c r="K873" s="2" t="s">
        <v>2519</v>
      </c>
      <c r="L873" s="17">
        <v>1E-3</v>
      </c>
      <c r="M873" s="2">
        <v>0</v>
      </c>
      <c r="N873" s="2">
        <f t="shared" si="49"/>
        <v>0</v>
      </c>
    </row>
    <row r="874" spans="1:14" x14ac:dyDescent="0.25">
      <c r="A874" s="12" t="s">
        <v>771</v>
      </c>
      <c r="C874">
        <v>235</v>
      </c>
      <c r="D874">
        <v>1</v>
      </c>
      <c r="E874">
        <v>0</v>
      </c>
      <c r="J874" t="b">
        <f t="shared" si="48"/>
        <v>0</v>
      </c>
      <c r="K874" s="2">
        <v>3.925E-2</v>
      </c>
      <c r="L874" s="17">
        <v>3.925E-2</v>
      </c>
      <c r="M874" s="2">
        <v>1</v>
      </c>
      <c r="N874" s="2">
        <v>0</v>
      </c>
    </row>
    <row r="875" spans="1:14" x14ac:dyDescent="0.25">
      <c r="A875" s="12" t="s">
        <v>772</v>
      </c>
      <c r="C875">
        <v>235</v>
      </c>
      <c r="D875">
        <v>1</v>
      </c>
      <c r="E875">
        <v>0</v>
      </c>
      <c r="J875" t="b">
        <f t="shared" si="48"/>
        <v>0</v>
      </c>
      <c r="K875" s="2">
        <v>1E-3</v>
      </c>
      <c r="L875" s="17">
        <v>1E-3</v>
      </c>
      <c r="M875" s="2">
        <v>0</v>
      </c>
      <c r="N875" s="2">
        <f t="shared" si="49"/>
        <v>0</v>
      </c>
    </row>
    <row r="876" spans="1:14" x14ac:dyDescent="0.25">
      <c r="A876" s="12" t="s">
        <v>773</v>
      </c>
      <c r="C876">
        <v>236</v>
      </c>
      <c r="D876">
        <v>1</v>
      </c>
      <c r="G876">
        <v>110.82</v>
      </c>
      <c r="H876">
        <v>1</v>
      </c>
      <c r="I876">
        <v>30</v>
      </c>
      <c r="J876">
        <f t="shared" si="48"/>
        <v>0.88710883168307286</v>
      </c>
      <c r="K876" s="2" t="s">
        <v>2519</v>
      </c>
      <c r="L876" s="17">
        <v>1E-3</v>
      </c>
      <c r="M876" s="2">
        <v>0</v>
      </c>
      <c r="N876" s="2">
        <f t="shared" si="49"/>
        <v>0</v>
      </c>
    </row>
    <row r="877" spans="1:14" x14ac:dyDescent="0.25">
      <c r="A877" s="12" t="s">
        <v>774</v>
      </c>
      <c r="C877">
        <v>236</v>
      </c>
      <c r="D877">
        <v>1</v>
      </c>
      <c r="G877">
        <v>4.5599999999999996</v>
      </c>
      <c r="H877">
        <v>1</v>
      </c>
      <c r="I877">
        <v>30</v>
      </c>
      <c r="J877">
        <f t="shared" si="48"/>
        <v>0.36324157862838946</v>
      </c>
      <c r="K877" s="2">
        <v>4.1000000000000002E-2</v>
      </c>
      <c r="L877" s="17">
        <v>4.1000000000000002E-2</v>
      </c>
      <c r="M877" s="2">
        <v>0</v>
      </c>
      <c r="N877" s="2">
        <f t="shared" si="49"/>
        <v>0</v>
      </c>
    </row>
    <row r="878" spans="1:14" x14ac:dyDescent="0.25">
      <c r="A878" s="12" t="s">
        <v>775</v>
      </c>
      <c r="C878">
        <v>236</v>
      </c>
      <c r="D878">
        <v>1</v>
      </c>
      <c r="G878">
        <v>9.6</v>
      </c>
      <c r="H878">
        <v>1</v>
      </c>
      <c r="I878">
        <v>30</v>
      </c>
      <c r="J878">
        <f t="shared" si="48"/>
        <v>0.49236596391733095</v>
      </c>
      <c r="K878" s="2">
        <v>4.0000000000000001E-3</v>
      </c>
      <c r="L878" s="17">
        <v>4.0000000000000001E-3</v>
      </c>
      <c r="M878" s="2">
        <v>0</v>
      </c>
      <c r="N878" s="2">
        <f t="shared" si="49"/>
        <v>0</v>
      </c>
    </row>
    <row r="879" spans="1:14" x14ac:dyDescent="0.25">
      <c r="A879" s="12" t="s">
        <v>776</v>
      </c>
      <c r="C879">
        <v>236</v>
      </c>
      <c r="D879">
        <v>1</v>
      </c>
      <c r="G879">
        <v>6.73</v>
      </c>
      <c r="H879">
        <v>1</v>
      </c>
      <c r="I879">
        <v>30</v>
      </c>
      <c r="J879">
        <f t="shared" si="48"/>
        <v>0.42805252965720197</v>
      </c>
      <c r="K879" s="2">
        <v>1.4999999999999999E-2</v>
      </c>
      <c r="L879" s="17">
        <v>1.4999999999999999E-2</v>
      </c>
      <c r="M879" s="2">
        <v>0</v>
      </c>
      <c r="N879" s="2">
        <f t="shared" si="49"/>
        <v>0</v>
      </c>
    </row>
    <row r="880" spans="1:14" x14ac:dyDescent="0.25">
      <c r="A880" s="12" t="s">
        <v>777</v>
      </c>
      <c r="C880">
        <v>236</v>
      </c>
      <c r="D880">
        <v>1</v>
      </c>
      <c r="F880">
        <v>2.2000000000000002</v>
      </c>
      <c r="H880">
        <v>30</v>
      </c>
      <c r="J880">
        <f t="shared" si="48"/>
        <v>0.37272078116443347</v>
      </c>
      <c r="K880" s="2">
        <v>3.5999999999999997E-2</v>
      </c>
      <c r="L880" s="17">
        <v>3.5999999999999997E-2</v>
      </c>
      <c r="M880" s="2">
        <v>0</v>
      </c>
      <c r="N880" s="2">
        <f t="shared" si="49"/>
        <v>0</v>
      </c>
    </row>
    <row r="881" spans="1:15" x14ac:dyDescent="0.25">
      <c r="A881" s="12" t="s">
        <v>778</v>
      </c>
      <c r="C881">
        <v>236</v>
      </c>
      <c r="D881">
        <v>1</v>
      </c>
      <c r="F881">
        <v>0.84</v>
      </c>
      <c r="H881">
        <v>35</v>
      </c>
      <c r="J881">
        <f t="shared" si="48"/>
        <v>0.14057597953628029</v>
      </c>
      <c r="K881" s="2">
        <v>0.40500000000000003</v>
      </c>
      <c r="L881" s="17">
        <v>0.40500000000000003</v>
      </c>
      <c r="M881" s="2">
        <v>0</v>
      </c>
      <c r="N881" s="2">
        <f t="shared" si="49"/>
        <v>0</v>
      </c>
    </row>
    <row r="882" spans="1:15" x14ac:dyDescent="0.25">
      <c r="A882" s="12" t="s">
        <v>779</v>
      </c>
      <c r="C882">
        <v>236</v>
      </c>
      <c r="D882">
        <v>1</v>
      </c>
      <c r="F882">
        <v>3.91</v>
      </c>
      <c r="H882">
        <v>35</v>
      </c>
      <c r="J882">
        <f t="shared" si="48"/>
        <v>0.55137128388545953</v>
      </c>
      <c r="K882" s="2" t="s">
        <v>2519</v>
      </c>
      <c r="L882" s="17">
        <v>1E-3</v>
      </c>
      <c r="M882" s="2">
        <v>0</v>
      </c>
      <c r="N882" s="2">
        <f t="shared" si="49"/>
        <v>0</v>
      </c>
    </row>
    <row r="883" spans="1:15" x14ac:dyDescent="0.25">
      <c r="A883" s="12" t="s">
        <v>780</v>
      </c>
      <c r="C883">
        <v>236</v>
      </c>
      <c r="D883">
        <v>1</v>
      </c>
      <c r="F883">
        <v>5.6</v>
      </c>
      <c r="H883">
        <v>35</v>
      </c>
      <c r="J883">
        <f t="shared" si="48"/>
        <v>0.68744006259633084</v>
      </c>
      <c r="K883" s="2" t="s">
        <v>2519</v>
      </c>
      <c r="L883" s="17">
        <v>1E-3</v>
      </c>
      <c r="M883" s="2">
        <v>0</v>
      </c>
      <c r="N883" s="2">
        <f t="shared" si="49"/>
        <v>0</v>
      </c>
    </row>
    <row r="884" spans="1:15" x14ac:dyDescent="0.25">
      <c r="A884" s="12" t="s">
        <v>781</v>
      </c>
      <c r="C884">
        <v>236</v>
      </c>
      <c r="D884">
        <v>1</v>
      </c>
      <c r="F884">
        <v>3.45</v>
      </c>
      <c r="H884">
        <v>35</v>
      </c>
      <c r="J884">
        <f t="shared" si="48"/>
        <v>0.50375700584942784</v>
      </c>
      <c r="K884" s="2">
        <v>1E-3</v>
      </c>
      <c r="L884" s="17">
        <v>1E-3</v>
      </c>
      <c r="M884" s="2">
        <v>0</v>
      </c>
      <c r="N884" s="2">
        <f t="shared" si="49"/>
        <v>0</v>
      </c>
    </row>
    <row r="885" spans="1:15" x14ac:dyDescent="0.25">
      <c r="A885" s="12" t="s">
        <v>782</v>
      </c>
      <c r="C885">
        <v>236</v>
      </c>
      <c r="D885">
        <v>1</v>
      </c>
      <c r="F885">
        <v>1.2</v>
      </c>
      <c r="H885">
        <v>31</v>
      </c>
      <c r="J885">
        <f t="shared" si="48"/>
        <v>0.21068849616618707</v>
      </c>
      <c r="K885" s="2">
        <v>0.23899999999999999</v>
      </c>
      <c r="L885" s="17">
        <v>0.23899999999999999</v>
      </c>
      <c r="M885" s="2">
        <v>0</v>
      </c>
      <c r="N885" s="2">
        <f t="shared" si="49"/>
        <v>0</v>
      </c>
    </row>
    <row r="886" spans="1:15" x14ac:dyDescent="0.25">
      <c r="A886" s="12" t="s">
        <v>783</v>
      </c>
      <c r="C886">
        <v>236</v>
      </c>
      <c r="D886">
        <v>1</v>
      </c>
      <c r="F886">
        <v>0.45</v>
      </c>
      <c r="H886">
        <v>31</v>
      </c>
      <c r="J886">
        <f t="shared" si="48"/>
        <v>8.0559695842171333E-2</v>
      </c>
      <c r="K886" s="2">
        <v>0.65700000000000003</v>
      </c>
      <c r="L886" s="17">
        <v>0.65700000000000003</v>
      </c>
      <c r="M886" s="2">
        <v>0</v>
      </c>
      <c r="N886" s="2">
        <f t="shared" si="49"/>
        <v>0</v>
      </c>
    </row>
    <row r="887" spans="1:15" x14ac:dyDescent="0.25">
      <c r="A887" s="12" t="s">
        <v>2360</v>
      </c>
      <c r="C887">
        <v>237</v>
      </c>
      <c r="D887">
        <v>1</v>
      </c>
      <c r="E887">
        <v>0</v>
      </c>
      <c r="J887" t="b">
        <f t="shared" si="48"/>
        <v>0</v>
      </c>
      <c r="K887" s="2" t="s">
        <v>2174</v>
      </c>
      <c r="L887" s="17">
        <v>1E-3</v>
      </c>
    </row>
    <row r="888" spans="1:15" x14ac:dyDescent="0.25">
      <c r="A888" s="12" t="s">
        <v>2361</v>
      </c>
      <c r="C888">
        <v>237</v>
      </c>
      <c r="D888">
        <v>1</v>
      </c>
      <c r="E888">
        <v>0</v>
      </c>
      <c r="J888" t="b">
        <f t="shared" si="48"/>
        <v>0</v>
      </c>
      <c r="K888" s="2" t="s">
        <v>2174</v>
      </c>
      <c r="L888" s="17">
        <v>1E-3</v>
      </c>
    </row>
    <row r="889" spans="1:15" x14ac:dyDescent="0.25">
      <c r="A889" s="12" t="s">
        <v>2362</v>
      </c>
      <c r="C889">
        <v>237</v>
      </c>
      <c r="D889">
        <v>1</v>
      </c>
      <c r="E889">
        <v>0</v>
      </c>
      <c r="J889" t="b">
        <f t="shared" si="48"/>
        <v>0</v>
      </c>
      <c r="K889" s="2" t="s">
        <v>2174</v>
      </c>
      <c r="L889" s="17">
        <v>1E-3</v>
      </c>
    </row>
    <row r="890" spans="1:15" x14ac:dyDescent="0.25">
      <c r="A890" s="12" t="s">
        <v>2363</v>
      </c>
      <c r="C890">
        <v>237</v>
      </c>
      <c r="D890">
        <v>1</v>
      </c>
      <c r="E890">
        <v>0</v>
      </c>
      <c r="J890" t="b">
        <f t="shared" si="48"/>
        <v>0</v>
      </c>
      <c r="K890" s="2">
        <v>1.4E-2</v>
      </c>
      <c r="L890" s="17">
        <v>1.4E-2</v>
      </c>
    </row>
    <row r="891" spans="1:15" x14ac:dyDescent="0.25">
      <c r="A891" s="12" t="s">
        <v>2364</v>
      </c>
      <c r="C891">
        <v>237</v>
      </c>
      <c r="D891">
        <v>1</v>
      </c>
      <c r="E891">
        <v>0</v>
      </c>
      <c r="J891" t="b">
        <f t="shared" si="48"/>
        <v>0</v>
      </c>
      <c r="K891" s="2">
        <v>0.44500000000000001</v>
      </c>
      <c r="L891" s="17">
        <v>0.44500000000000001</v>
      </c>
    </row>
    <row r="892" spans="1:15" x14ac:dyDescent="0.25">
      <c r="A892" s="12" t="s">
        <v>2365</v>
      </c>
      <c r="C892">
        <v>237</v>
      </c>
      <c r="D892">
        <v>1</v>
      </c>
      <c r="E892">
        <v>0</v>
      </c>
      <c r="J892" t="b">
        <f t="shared" si="48"/>
        <v>0</v>
      </c>
      <c r="K892" s="2">
        <v>6.0000000000000001E-3</v>
      </c>
      <c r="L892" s="17">
        <v>6.0000000000000001E-3</v>
      </c>
    </row>
    <row r="893" spans="1:15" x14ac:dyDescent="0.25">
      <c r="A893" s="12" t="s">
        <v>2366</v>
      </c>
      <c r="B893" t="s">
        <v>2563</v>
      </c>
      <c r="C893">
        <v>237</v>
      </c>
      <c r="D893">
        <v>1</v>
      </c>
      <c r="E893">
        <v>0</v>
      </c>
      <c r="J893" t="b">
        <f t="shared" si="48"/>
        <v>0</v>
      </c>
      <c r="K893" s="2">
        <v>1.7000000000000001E-2</v>
      </c>
      <c r="L893" s="17">
        <v>1.7000000000000001E-2</v>
      </c>
      <c r="M893" s="2">
        <v>0</v>
      </c>
      <c r="N893" s="2">
        <v>0</v>
      </c>
      <c r="O893" t="s">
        <v>2310</v>
      </c>
    </row>
    <row r="894" spans="1:15" x14ac:dyDescent="0.25">
      <c r="A894" s="12" t="s">
        <v>2367</v>
      </c>
      <c r="C894">
        <v>237</v>
      </c>
      <c r="D894">
        <v>1</v>
      </c>
      <c r="E894">
        <v>0</v>
      </c>
      <c r="J894" t="b">
        <f t="shared" si="48"/>
        <v>0</v>
      </c>
      <c r="K894" s="2" t="s">
        <v>2174</v>
      </c>
      <c r="L894" s="17">
        <v>1E-3</v>
      </c>
    </row>
    <row r="895" spans="1:15" x14ac:dyDescent="0.25">
      <c r="A895" s="12" t="s">
        <v>2368</v>
      </c>
      <c r="C895">
        <v>237</v>
      </c>
      <c r="D895">
        <v>1</v>
      </c>
      <c r="E895">
        <v>0</v>
      </c>
      <c r="J895" t="b">
        <f t="shared" si="48"/>
        <v>0</v>
      </c>
      <c r="K895" s="2" t="s">
        <v>2174</v>
      </c>
      <c r="L895" s="17">
        <v>1E-3</v>
      </c>
    </row>
    <row r="896" spans="1:15" x14ac:dyDescent="0.25">
      <c r="A896" s="12" t="s">
        <v>2369</v>
      </c>
      <c r="C896">
        <v>237</v>
      </c>
      <c r="D896">
        <v>1</v>
      </c>
      <c r="E896">
        <v>0</v>
      </c>
      <c r="J896" t="b">
        <f t="shared" si="48"/>
        <v>0</v>
      </c>
      <c r="K896" s="2">
        <v>0.03</v>
      </c>
      <c r="L896" s="17">
        <v>0.03</v>
      </c>
    </row>
    <row r="897" spans="1:15" x14ac:dyDescent="0.25">
      <c r="A897" s="12" t="s">
        <v>2370</v>
      </c>
      <c r="C897">
        <v>237</v>
      </c>
      <c r="D897">
        <v>1</v>
      </c>
      <c r="E897">
        <v>0</v>
      </c>
      <c r="J897" t="b">
        <f t="shared" si="48"/>
        <v>0</v>
      </c>
      <c r="K897" s="2">
        <v>8.0000000000000002E-3</v>
      </c>
      <c r="L897" s="17">
        <v>8.0000000000000002E-3</v>
      </c>
    </row>
    <row r="898" spans="1:15" x14ac:dyDescent="0.25">
      <c r="A898" s="12" t="s">
        <v>784</v>
      </c>
      <c r="C898">
        <v>238</v>
      </c>
      <c r="D898">
        <v>1</v>
      </c>
      <c r="E898">
        <v>0</v>
      </c>
      <c r="J898" t="b">
        <f t="shared" si="48"/>
        <v>0</v>
      </c>
      <c r="K898" s="2" t="s">
        <v>2519</v>
      </c>
      <c r="L898" s="17">
        <v>1E-3</v>
      </c>
      <c r="O898" t="s">
        <v>2135</v>
      </c>
    </row>
    <row r="899" spans="1:15" x14ac:dyDescent="0.25">
      <c r="A899" s="12" t="s">
        <v>785</v>
      </c>
      <c r="C899">
        <v>238</v>
      </c>
      <c r="D899">
        <v>1</v>
      </c>
      <c r="E899">
        <v>0</v>
      </c>
      <c r="J899" t="b">
        <f t="shared" ref="J899:J930" si="50">IF(NOT(ISBLANK(F899)),SQRT((F899^2*1/H899)/(F899^2*1/H899+1)),IF(NOT(ISBLANK(G899)),SQRT((G899*H899/I899)/(G899*H899/I899+1)*SQRT(1/H899))))</f>
        <v>0</v>
      </c>
      <c r="K899" s="2" t="s">
        <v>2519</v>
      </c>
      <c r="L899" s="17">
        <v>1E-3</v>
      </c>
    </row>
    <row r="900" spans="1:15" x14ac:dyDescent="0.25">
      <c r="A900" s="12" t="s">
        <v>786</v>
      </c>
      <c r="C900">
        <v>238</v>
      </c>
      <c r="D900">
        <v>1</v>
      </c>
      <c r="E900">
        <v>0</v>
      </c>
      <c r="J900" t="b">
        <f t="shared" si="50"/>
        <v>0</v>
      </c>
      <c r="K900" s="2" t="s">
        <v>2519</v>
      </c>
      <c r="L900" s="17">
        <v>1E-3</v>
      </c>
    </row>
    <row r="901" spans="1:15" x14ac:dyDescent="0.25">
      <c r="A901" s="12" t="s">
        <v>787</v>
      </c>
      <c r="C901">
        <v>238</v>
      </c>
      <c r="D901">
        <v>1</v>
      </c>
      <c r="G901">
        <v>0.93</v>
      </c>
      <c r="H901">
        <v>3</v>
      </c>
      <c r="I901">
        <v>190</v>
      </c>
      <c r="J901">
        <f t="shared" si="50"/>
        <v>9.1407016998530335E-2</v>
      </c>
      <c r="K901" s="2">
        <v>0.43</v>
      </c>
      <c r="L901" s="17">
        <v>0.43</v>
      </c>
      <c r="M901" s="2" t="s">
        <v>2558</v>
      </c>
      <c r="N901" s="2" t="s">
        <v>2558</v>
      </c>
    </row>
    <row r="902" spans="1:15" x14ac:dyDescent="0.25">
      <c r="A902" s="12" t="s">
        <v>788</v>
      </c>
      <c r="C902">
        <v>238</v>
      </c>
      <c r="D902">
        <v>1</v>
      </c>
      <c r="G902">
        <v>35.362000000000002</v>
      </c>
      <c r="H902">
        <v>3</v>
      </c>
      <c r="I902">
        <v>219</v>
      </c>
      <c r="J902">
        <f t="shared" si="50"/>
        <v>0.43405982421846873</v>
      </c>
      <c r="K902" s="2" t="s">
        <v>2519</v>
      </c>
      <c r="L902" s="17">
        <v>1E-3</v>
      </c>
      <c r="M902" s="2" t="s">
        <v>2558</v>
      </c>
      <c r="N902" s="2" t="s">
        <v>2558</v>
      </c>
    </row>
    <row r="903" spans="1:15" x14ac:dyDescent="0.25">
      <c r="A903" s="12" t="s">
        <v>789</v>
      </c>
      <c r="C903">
        <v>238</v>
      </c>
      <c r="D903">
        <v>1</v>
      </c>
      <c r="G903">
        <v>58.71</v>
      </c>
      <c r="H903">
        <v>1</v>
      </c>
      <c r="I903">
        <v>221</v>
      </c>
      <c r="J903">
        <f t="shared" si="50"/>
        <v>0.45814404249827922</v>
      </c>
      <c r="K903" s="2" t="s">
        <v>2519</v>
      </c>
      <c r="L903" s="17">
        <v>1E-3</v>
      </c>
      <c r="M903" s="2" t="s">
        <v>2558</v>
      </c>
      <c r="N903" s="2" t="s">
        <v>2558</v>
      </c>
    </row>
    <row r="904" spans="1:15" x14ac:dyDescent="0.25">
      <c r="A904" s="12" t="s">
        <v>790</v>
      </c>
      <c r="C904">
        <v>238</v>
      </c>
      <c r="D904">
        <v>1</v>
      </c>
      <c r="G904">
        <v>19.649999999999999</v>
      </c>
      <c r="H904">
        <v>1</v>
      </c>
      <c r="I904">
        <v>221</v>
      </c>
      <c r="J904">
        <f t="shared" si="50"/>
        <v>0.28575138520228366</v>
      </c>
      <c r="K904" s="2" t="s">
        <v>2519</v>
      </c>
      <c r="L904" s="17">
        <v>1E-3</v>
      </c>
      <c r="M904" s="2" t="s">
        <v>2558</v>
      </c>
      <c r="N904" s="2" t="s">
        <v>2558</v>
      </c>
    </row>
    <row r="905" spans="1:15" x14ac:dyDescent="0.25">
      <c r="A905" s="12" t="s">
        <v>791</v>
      </c>
      <c r="C905">
        <v>238</v>
      </c>
      <c r="D905">
        <v>1</v>
      </c>
      <c r="F905">
        <v>0.16</v>
      </c>
      <c r="H905">
        <v>251</v>
      </c>
      <c r="J905">
        <f t="shared" si="50"/>
        <v>1.0098595474559598E-2</v>
      </c>
      <c r="K905" s="2">
        <v>0.87</v>
      </c>
      <c r="L905" s="17">
        <v>0.87</v>
      </c>
      <c r="M905" s="2" t="s">
        <v>2558</v>
      </c>
      <c r="N905" s="2" t="s">
        <v>2558</v>
      </c>
    </row>
    <row r="906" spans="1:15" x14ac:dyDescent="0.25">
      <c r="A906" s="12" t="s">
        <v>792</v>
      </c>
      <c r="C906">
        <v>238</v>
      </c>
      <c r="D906">
        <v>1</v>
      </c>
      <c r="E906">
        <v>0</v>
      </c>
      <c r="J906" t="b">
        <f t="shared" si="50"/>
        <v>0</v>
      </c>
      <c r="K906" s="2">
        <v>1.7999999999999999E-2</v>
      </c>
      <c r="L906" s="17">
        <v>1.7999999999999999E-2</v>
      </c>
      <c r="N906" s="2">
        <f t="shared" si="49"/>
        <v>0</v>
      </c>
    </row>
    <row r="907" spans="1:15" x14ac:dyDescent="0.25">
      <c r="A907" s="12" t="s">
        <v>793</v>
      </c>
      <c r="C907">
        <v>238</v>
      </c>
      <c r="D907">
        <v>1</v>
      </c>
      <c r="E907">
        <v>0</v>
      </c>
      <c r="J907" t="b">
        <f t="shared" si="50"/>
        <v>0</v>
      </c>
      <c r="K907" s="2">
        <v>2E-3</v>
      </c>
      <c r="L907" s="17">
        <v>2E-3</v>
      </c>
    </row>
    <row r="908" spans="1:15" x14ac:dyDescent="0.25">
      <c r="A908" s="12" t="s">
        <v>794</v>
      </c>
      <c r="C908">
        <v>238</v>
      </c>
      <c r="D908">
        <v>1</v>
      </c>
      <c r="E908">
        <v>0</v>
      </c>
      <c r="J908" t="b">
        <f t="shared" si="50"/>
        <v>0</v>
      </c>
      <c r="K908" s="2">
        <v>3.7999999999999999E-2</v>
      </c>
      <c r="L908" s="17">
        <v>3.7999999999999999E-2</v>
      </c>
    </row>
    <row r="909" spans="1:15" x14ac:dyDescent="0.25">
      <c r="A909" s="12" t="s">
        <v>795</v>
      </c>
      <c r="C909">
        <v>238</v>
      </c>
      <c r="D909">
        <v>1</v>
      </c>
      <c r="E909">
        <v>0</v>
      </c>
      <c r="J909" t="b">
        <f t="shared" si="50"/>
        <v>0</v>
      </c>
      <c r="K909" s="2">
        <v>1E-3</v>
      </c>
      <c r="L909" s="17">
        <v>1E-3</v>
      </c>
    </row>
    <row r="910" spans="1:15" x14ac:dyDescent="0.25">
      <c r="A910" s="12" t="s">
        <v>796</v>
      </c>
      <c r="C910">
        <v>238</v>
      </c>
      <c r="D910">
        <v>1</v>
      </c>
      <c r="E910">
        <v>0</v>
      </c>
      <c r="J910" t="b">
        <f t="shared" si="50"/>
        <v>0</v>
      </c>
      <c r="K910" s="2" t="s">
        <v>2537</v>
      </c>
      <c r="L910" s="17">
        <v>0.05</v>
      </c>
      <c r="M910" s="2">
        <v>0</v>
      </c>
      <c r="N910" s="2">
        <f t="shared" si="49"/>
        <v>0</v>
      </c>
    </row>
    <row r="911" spans="1:15" x14ac:dyDescent="0.25">
      <c r="A911" s="12" t="s">
        <v>797</v>
      </c>
      <c r="C911">
        <v>238</v>
      </c>
      <c r="D911">
        <v>1</v>
      </c>
      <c r="E911">
        <v>0</v>
      </c>
      <c r="J911" t="b">
        <f t="shared" si="50"/>
        <v>0</v>
      </c>
      <c r="K911" s="2">
        <v>0.06</v>
      </c>
      <c r="L911" s="17">
        <v>0.06</v>
      </c>
      <c r="M911" s="2" t="s">
        <v>2558</v>
      </c>
      <c r="N911" s="2" t="s">
        <v>2558</v>
      </c>
    </row>
    <row r="912" spans="1:15" x14ac:dyDescent="0.25">
      <c r="A912" s="12" t="s">
        <v>798</v>
      </c>
      <c r="C912">
        <v>238</v>
      </c>
      <c r="D912">
        <v>1</v>
      </c>
      <c r="E912">
        <v>0</v>
      </c>
      <c r="J912" t="b">
        <f t="shared" si="50"/>
        <v>0</v>
      </c>
      <c r="K912" s="2">
        <v>5.0000000000000001E-3</v>
      </c>
      <c r="L912" s="17">
        <v>5.0000000000000001E-3</v>
      </c>
    </row>
    <row r="913" spans="1:15" x14ac:dyDescent="0.25">
      <c r="A913" s="12" t="s">
        <v>799</v>
      </c>
      <c r="C913">
        <v>238</v>
      </c>
      <c r="D913">
        <v>1</v>
      </c>
      <c r="E913">
        <v>0</v>
      </c>
      <c r="J913" t="b">
        <f t="shared" si="50"/>
        <v>0</v>
      </c>
      <c r="K913" s="2">
        <v>0.68400000000000005</v>
      </c>
      <c r="L913" s="17">
        <v>0.68400000000000005</v>
      </c>
    </row>
    <row r="914" spans="1:15" x14ac:dyDescent="0.25">
      <c r="A914" s="12" t="s">
        <v>800</v>
      </c>
      <c r="C914">
        <v>238</v>
      </c>
      <c r="D914">
        <v>1</v>
      </c>
      <c r="E914">
        <v>0</v>
      </c>
      <c r="J914" t="b">
        <f t="shared" si="50"/>
        <v>0</v>
      </c>
      <c r="K914" s="2" t="s">
        <v>2519</v>
      </c>
      <c r="L914" s="17">
        <v>1E-3</v>
      </c>
    </row>
    <row r="915" spans="1:15" x14ac:dyDescent="0.25">
      <c r="A915" s="12" t="s">
        <v>801</v>
      </c>
      <c r="C915">
        <v>238</v>
      </c>
      <c r="D915">
        <v>1</v>
      </c>
      <c r="E915">
        <v>0</v>
      </c>
      <c r="J915" t="b">
        <f t="shared" si="50"/>
        <v>0</v>
      </c>
      <c r="K915" s="2">
        <v>0.26</v>
      </c>
      <c r="L915" s="17">
        <v>0.26</v>
      </c>
    </row>
    <row r="916" spans="1:15" x14ac:dyDescent="0.25">
      <c r="A916" s="12" t="s">
        <v>802</v>
      </c>
      <c r="C916">
        <v>241</v>
      </c>
      <c r="D916">
        <v>1</v>
      </c>
      <c r="F916">
        <v>1.0900000000000001</v>
      </c>
      <c r="H916">
        <v>27</v>
      </c>
      <c r="J916">
        <f t="shared" si="50"/>
        <v>0.20530219665289492</v>
      </c>
      <c r="K916" s="2">
        <v>0.28999999999999998</v>
      </c>
      <c r="L916" s="17">
        <v>0.28999999999999998</v>
      </c>
      <c r="M916" s="2">
        <v>0</v>
      </c>
      <c r="N916" s="2">
        <f t="shared" si="49"/>
        <v>0</v>
      </c>
    </row>
    <row r="917" spans="1:15" x14ac:dyDescent="0.25">
      <c r="A917" s="12" t="s">
        <v>803</v>
      </c>
      <c r="C917">
        <v>241</v>
      </c>
      <c r="D917">
        <v>1</v>
      </c>
      <c r="F917">
        <v>6.48</v>
      </c>
      <c r="H917">
        <v>27</v>
      </c>
      <c r="J917">
        <f t="shared" si="50"/>
        <v>0.78015460150807725</v>
      </c>
      <c r="K917" s="2" t="s">
        <v>2519</v>
      </c>
      <c r="L917" s="17">
        <v>1E-3</v>
      </c>
      <c r="M917" s="2">
        <v>0</v>
      </c>
      <c r="N917" s="2">
        <f t="shared" si="49"/>
        <v>0</v>
      </c>
    </row>
    <row r="918" spans="1:15" x14ac:dyDescent="0.25">
      <c r="A918" s="12" t="s">
        <v>804</v>
      </c>
      <c r="C918">
        <v>241</v>
      </c>
      <c r="D918">
        <v>2</v>
      </c>
      <c r="F918">
        <v>0.32</v>
      </c>
      <c r="H918">
        <v>27</v>
      </c>
      <c r="J918">
        <f t="shared" si="50"/>
        <v>6.1467578280298363E-2</v>
      </c>
      <c r="K918" s="2">
        <v>0.75</v>
      </c>
      <c r="L918" s="17">
        <v>0.75</v>
      </c>
      <c r="M918" s="2">
        <v>0</v>
      </c>
      <c r="N918" s="2">
        <f t="shared" si="49"/>
        <v>0</v>
      </c>
      <c r="O918" t="s">
        <v>2184</v>
      </c>
    </row>
    <row r="919" spans="1:15" x14ac:dyDescent="0.25">
      <c r="A919" s="12" t="s">
        <v>805</v>
      </c>
      <c r="B919" s="4" t="s">
        <v>2185</v>
      </c>
      <c r="C919">
        <v>241</v>
      </c>
      <c r="D919">
        <v>1</v>
      </c>
      <c r="F919">
        <v>-3.3</v>
      </c>
      <c r="H919">
        <v>27</v>
      </c>
      <c r="J919">
        <f t="shared" si="50"/>
        <v>0.53610719671143725</v>
      </c>
      <c r="K919" s="2">
        <v>3.0000000000000001E-3</v>
      </c>
      <c r="L919" s="17">
        <v>3.0000000000000001E-3</v>
      </c>
      <c r="M919" s="2">
        <v>0</v>
      </c>
      <c r="N919" s="2">
        <f t="shared" si="49"/>
        <v>0</v>
      </c>
    </row>
    <row r="920" spans="1:15" x14ac:dyDescent="0.25">
      <c r="A920" s="12" t="s">
        <v>806</v>
      </c>
      <c r="C920">
        <v>241</v>
      </c>
      <c r="D920">
        <v>1</v>
      </c>
      <c r="G920">
        <v>132.83000000000001</v>
      </c>
      <c r="H920">
        <v>1</v>
      </c>
      <c r="I920">
        <v>27</v>
      </c>
      <c r="J920">
        <f t="shared" si="50"/>
        <v>0.91163068861214058</v>
      </c>
      <c r="K920" s="2" t="s">
        <v>2136</v>
      </c>
      <c r="L920" s="17">
        <v>1E-3</v>
      </c>
      <c r="M920" s="2">
        <v>0</v>
      </c>
      <c r="N920" s="2">
        <f t="shared" si="49"/>
        <v>0</v>
      </c>
    </row>
    <row r="921" spans="1:15" x14ac:dyDescent="0.25">
      <c r="A921" s="12" t="s">
        <v>807</v>
      </c>
      <c r="C921">
        <v>241</v>
      </c>
      <c r="D921">
        <v>2</v>
      </c>
      <c r="G921">
        <v>14.84</v>
      </c>
      <c r="H921">
        <v>1</v>
      </c>
      <c r="I921">
        <v>27</v>
      </c>
      <c r="J921">
        <f t="shared" si="50"/>
        <v>0.59555395425460678</v>
      </c>
      <c r="K921" s="2" t="s">
        <v>2136</v>
      </c>
      <c r="L921" s="17">
        <v>1E-3</v>
      </c>
      <c r="M921" s="2">
        <v>0</v>
      </c>
      <c r="N921" s="2">
        <f t="shared" si="49"/>
        <v>0</v>
      </c>
      <c r="O921" t="s">
        <v>2184</v>
      </c>
    </row>
    <row r="922" spans="1:15" x14ac:dyDescent="0.25">
      <c r="A922" s="12" t="s">
        <v>808</v>
      </c>
      <c r="C922">
        <v>241</v>
      </c>
      <c r="D922">
        <v>1</v>
      </c>
      <c r="G922">
        <v>11.43</v>
      </c>
      <c r="H922">
        <v>1</v>
      </c>
      <c r="I922">
        <v>27</v>
      </c>
      <c r="J922">
        <f t="shared" si="50"/>
        <v>0.54536582913473963</v>
      </c>
      <c r="K922" s="2">
        <v>2E-3</v>
      </c>
      <c r="L922" s="17">
        <v>2E-3</v>
      </c>
      <c r="M922" s="2">
        <v>0</v>
      </c>
      <c r="N922" s="2">
        <f t="shared" ref="N922:N996" si="51">IF(M922=0, 0)</f>
        <v>0</v>
      </c>
    </row>
    <row r="923" spans="1:15" x14ac:dyDescent="0.25">
      <c r="A923" s="12" t="s">
        <v>809</v>
      </c>
      <c r="C923">
        <v>241</v>
      </c>
      <c r="D923">
        <v>1</v>
      </c>
      <c r="E923">
        <v>0</v>
      </c>
      <c r="J923" t="b">
        <f t="shared" si="50"/>
        <v>0</v>
      </c>
    </row>
    <row r="924" spans="1:15" x14ac:dyDescent="0.25">
      <c r="A924" s="12" t="s">
        <v>810</v>
      </c>
      <c r="C924">
        <v>241</v>
      </c>
      <c r="D924">
        <v>1</v>
      </c>
      <c r="E924">
        <v>0</v>
      </c>
      <c r="J924" t="b">
        <f t="shared" si="50"/>
        <v>0</v>
      </c>
    </row>
    <row r="925" spans="1:15" x14ac:dyDescent="0.25">
      <c r="A925" s="12" t="s">
        <v>811</v>
      </c>
      <c r="C925">
        <v>241</v>
      </c>
      <c r="D925">
        <v>1</v>
      </c>
      <c r="F925">
        <v>2.17</v>
      </c>
      <c r="H925">
        <v>27</v>
      </c>
      <c r="J925">
        <f t="shared" si="50"/>
        <v>0.38536222928494412</v>
      </c>
      <c r="K925" s="2" t="s">
        <v>2538</v>
      </c>
      <c r="L925" s="17">
        <v>3.8969999999999998E-2</v>
      </c>
      <c r="M925" s="2">
        <v>0</v>
      </c>
      <c r="N925" s="2">
        <f t="shared" si="51"/>
        <v>0</v>
      </c>
    </row>
    <row r="926" spans="1:15" x14ac:dyDescent="0.25">
      <c r="A926" s="12" t="s">
        <v>812</v>
      </c>
      <c r="C926">
        <v>241</v>
      </c>
      <c r="D926">
        <v>1</v>
      </c>
      <c r="E926">
        <v>0</v>
      </c>
      <c r="J926" t="b">
        <f t="shared" si="50"/>
        <v>0</v>
      </c>
    </row>
    <row r="927" spans="1:15" x14ac:dyDescent="0.25">
      <c r="A927" s="12" t="s">
        <v>813</v>
      </c>
      <c r="C927">
        <v>241</v>
      </c>
      <c r="D927">
        <v>1</v>
      </c>
      <c r="F927">
        <v>3.1</v>
      </c>
      <c r="H927">
        <v>27</v>
      </c>
      <c r="J927">
        <f t="shared" si="50"/>
        <v>0.51234420620549703</v>
      </c>
      <c r="K927" s="2">
        <v>4.4900000000000001E-3</v>
      </c>
      <c r="L927" s="17">
        <v>4.4900000000000001E-3</v>
      </c>
      <c r="M927" s="2">
        <v>1</v>
      </c>
      <c r="N927" s="2">
        <v>0</v>
      </c>
    </row>
    <row r="928" spans="1:15" x14ac:dyDescent="0.25">
      <c r="A928" s="12" t="s">
        <v>814</v>
      </c>
      <c r="C928">
        <v>241</v>
      </c>
      <c r="D928">
        <v>1</v>
      </c>
      <c r="F928">
        <v>3.29</v>
      </c>
      <c r="H928">
        <v>27</v>
      </c>
      <c r="J928">
        <f t="shared" si="50"/>
        <v>0.53494803479669595</v>
      </c>
      <c r="K928" s="2">
        <v>2.7899999999999999E-3</v>
      </c>
      <c r="L928" s="17">
        <v>2.7899999999999999E-3</v>
      </c>
      <c r="M928" s="2">
        <v>1</v>
      </c>
      <c r="N928" s="2">
        <v>0</v>
      </c>
    </row>
    <row r="929" spans="1:15" x14ac:dyDescent="0.25">
      <c r="A929" s="12" t="s">
        <v>815</v>
      </c>
      <c r="C929">
        <v>241</v>
      </c>
      <c r="D929">
        <v>1</v>
      </c>
      <c r="F929">
        <v>2.39</v>
      </c>
      <c r="H929">
        <v>27</v>
      </c>
      <c r="J929">
        <f t="shared" si="50"/>
        <v>0.41787240089469363</v>
      </c>
      <c r="K929" s="2">
        <v>2.409E-2</v>
      </c>
      <c r="L929" s="17">
        <v>2.409E-2</v>
      </c>
      <c r="M929" s="2">
        <v>1</v>
      </c>
      <c r="N929" s="2">
        <v>0</v>
      </c>
    </row>
    <row r="930" spans="1:15" x14ac:dyDescent="0.25">
      <c r="A930" s="12" t="s">
        <v>816</v>
      </c>
      <c r="C930">
        <v>241</v>
      </c>
      <c r="D930">
        <v>1</v>
      </c>
      <c r="F930">
        <v>1.65</v>
      </c>
      <c r="H930">
        <v>27</v>
      </c>
      <c r="J930">
        <f t="shared" si="50"/>
        <v>0.30265041680431298</v>
      </c>
      <c r="K930" s="2">
        <v>0.11053</v>
      </c>
      <c r="L930" s="17">
        <v>0.11053</v>
      </c>
      <c r="M930" s="2">
        <v>0</v>
      </c>
      <c r="N930" s="2">
        <v>0</v>
      </c>
    </row>
    <row r="931" spans="1:15" x14ac:dyDescent="0.25">
      <c r="A931" s="12" t="s">
        <v>817</v>
      </c>
      <c r="C931">
        <v>241</v>
      </c>
      <c r="D931">
        <v>1</v>
      </c>
      <c r="F931">
        <v>3.12</v>
      </c>
      <c r="H931">
        <v>27</v>
      </c>
      <c r="J931">
        <f t="shared" ref="J931:J973" si="52">IF(NOT(ISBLANK(F931)),SQRT((F931^2*1/H931)/(F931^2*1/H931+1)),IF(NOT(ISBLANK(G931)),SQRT((G931*H931/I931)/(G931*H931/I931+1)*SQRT(1/H931))))</f>
        <v>0.51477579581110811</v>
      </c>
      <c r="K931" s="2">
        <v>4.2700000000000004E-3</v>
      </c>
      <c r="L931" s="17">
        <v>4.2700000000000004E-3</v>
      </c>
      <c r="M931" s="2">
        <v>1</v>
      </c>
      <c r="N931" s="2">
        <v>0</v>
      </c>
    </row>
    <row r="932" spans="1:15" x14ac:dyDescent="0.25">
      <c r="A932" s="12" t="s">
        <v>818</v>
      </c>
      <c r="C932">
        <v>241</v>
      </c>
      <c r="D932">
        <v>1</v>
      </c>
      <c r="F932">
        <v>1.71</v>
      </c>
      <c r="H932">
        <v>27</v>
      </c>
      <c r="J932">
        <f t="shared" si="52"/>
        <v>0.31259754410132973</v>
      </c>
      <c r="K932" s="2">
        <v>9.8739999999999994E-2</v>
      </c>
      <c r="L932" s="17">
        <v>9.8739999999999994E-2</v>
      </c>
      <c r="M932" s="2">
        <v>0</v>
      </c>
      <c r="N932" s="2">
        <v>0</v>
      </c>
    </row>
    <row r="933" spans="1:15" x14ac:dyDescent="0.25">
      <c r="A933" s="12" t="s">
        <v>819</v>
      </c>
      <c r="C933">
        <v>241</v>
      </c>
      <c r="D933">
        <v>1</v>
      </c>
      <c r="F933">
        <v>0.73</v>
      </c>
      <c r="H933">
        <v>27</v>
      </c>
      <c r="J933">
        <f t="shared" si="52"/>
        <v>0.13912234244970403</v>
      </c>
      <c r="K933" s="2">
        <v>0.47167999999999999</v>
      </c>
      <c r="L933" s="17">
        <v>0.47167999999999999</v>
      </c>
      <c r="M933" s="2">
        <v>1</v>
      </c>
      <c r="N933" s="2">
        <v>0</v>
      </c>
      <c r="O933" t="s">
        <v>2571</v>
      </c>
    </row>
    <row r="934" spans="1:15" x14ac:dyDescent="0.25">
      <c r="A934" s="12" t="s">
        <v>820</v>
      </c>
      <c r="C934">
        <v>241</v>
      </c>
      <c r="D934">
        <v>1</v>
      </c>
      <c r="F934">
        <v>2.2400000000000002</v>
      </c>
      <c r="H934">
        <v>27</v>
      </c>
      <c r="J934">
        <f t="shared" si="52"/>
        <v>0.39587094791854421</v>
      </c>
      <c r="K934" s="2">
        <v>3.3000000000000002E-2</v>
      </c>
      <c r="L934" s="17">
        <v>3.3000000000000002E-2</v>
      </c>
      <c r="M934" s="2">
        <v>0</v>
      </c>
      <c r="N934" s="2">
        <f t="shared" si="51"/>
        <v>0</v>
      </c>
    </row>
    <row r="935" spans="1:15" x14ac:dyDescent="0.25">
      <c r="A935" s="12" t="s">
        <v>821</v>
      </c>
      <c r="C935">
        <v>241</v>
      </c>
      <c r="D935">
        <v>1</v>
      </c>
      <c r="F935">
        <v>2.74</v>
      </c>
      <c r="H935">
        <v>27</v>
      </c>
      <c r="J935">
        <f t="shared" si="52"/>
        <v>0.46643720599261435</v>
      </c>
      <c r="K935" s="2">
        <v>1.0999999999999999E-2</v>
      </c>
      <c r="L935" s="17">
        <v>1.0999999999999999E-2</v>
      </c>
      <c r="M935" s="2">
        <v>0</v>
      </c>
      <c r="N935" s="2">
        <f t="shared" si="51"/>
        <v>0</v>
      </c>
    </row>
    <row r="936" spans="1:15" x14ac:dyDescent="0.25">
      <c r="A936" s="12" t="s">
        <v>822</v>
      </c>
      <c r="C936">
        <v>241</v>
      </c>
      <c r="D936">
        <v>1</v>
      </c>
      <c r="F936">
        <v>2.11</v>
      </c>
      <c r="H936">
        <v>27</v>
      </c>
      <c r="J936">
        <f t="shared" si="52"/>
        <v>0.37623364613028615</v>
      </c>
      <c r="K936" s="2">
        <v>4.4269999999999997E-2</v>
      </c>
      <c r="L936" s="17">
        <v>4.4269999999999997E-2</v>
      </c>
      <c r="M936" s="2">
        <v>0</v>
      </c>
      <c r="N936" s="2">
        <v>0</v>
      </c>
    </row>
    <row r="937" spans="1:15" x14ac:dyDescent="0.25">
      <c r="A937" s="12" t="s">
        <v>823</v>
      </c>
      <c r="C937">
        <v>241</v>
      </c>
      <c r="D937">
        <v>1</v>
      </c>
      <c r="F937">
        <v>1.94</v>
      </c>
      <c r="H937">
        <v>27</v>
      </c>
      <c r="J937">
        <f t="shared" si="52"/>
        <v>0.34977047918316917</v>
      </c>
      <c r="K937" s="2">
        <v>6.2890000000000001E-2</v>
      </c>
      <c r="L937" s="17">
        <v>6.2890000000000001E-2</v>
      </c>
      <c r="M937" s="2">
        <v>1</v>
      </c>
      <c r="N937" s="2">
        <v>1</v>
      </c>
    </row>
    <row r="938" spans="1:15" x14ac:dyDescent="0.25">
      <c r="A938" s="12" t="s">
        <v>824</v>
      </c>
      <c r="C938">
        <v>241</v>
      </c>
      <c r="D938">
        <v>1</v>
      </c>
      <c r="F938">
        <v>0.5</v>
      </c>
      <c r="H938">
        <v>27</v>
      </c>
      <c r="J938">
        <f t="shared" si="52"/>
        <v>9.5782628522115137E-2</v>
      </c>
      <c r="K938" s="2">
        <v>0.62112999999999996</v>
      </c>
      <c r="L938" s="17">
        <v>0.62112999999999996</v>
      </c>
      <c r="M938" s="2">
        <v>1</v>
      </c>
      <c r="N938" s="2">
        <v>0</v>
      </c>
    </row>
    <row r="939" spans="1:15" x14ac:dyDescent="0.25">
      <c r="A939" s="12" t="s">
        <v>825</v>
      </c>
      <c r="C939">
        <v>241</v>
      </c>
      <c r="D939">
        <v>1</v>
      </c>
      <c r="F939">
        <v>2.2400000000000002</v>
      </c>
      <c r="H939">
        <v>27</v>
      </c>
      <c r="J939">
        <f t="shared" si="52"/>
        <v>0.39587094791854421</v>
      </c>
      <c r="K939" s="2">
        <v>3.3520000000000001E-2</v>
      </c>
      <c r="L939" s="17">
        <v>3.3520000000000001E-2</v>
      </c>
      <c r="M939" s="2">
        <v>0</v>
      </c>
      <c r="N939" s="2">
        <v>0</v>
      </c>
    </row>
    <row r="940" spans="1:15" x14ac:dyDescent="0.25">
      <c r="A940" s="12" t="s">
        <v>826</v>
      </c>
      <c r="C940">
        <v>241</v>
      </c>
      <c r="D940">
        <v>1</v>
      </c>
      <c r="E940">
        <v>0</v>
      </c>
      <c r="J940" t="b">
        <f t="shared" si="52"/>
        <v>0</v>
      </c>
      <c r="O940" t="s">
        <v>2186</v>
      </c>
    </row>
    <row r="941" spans="1:15" x14ac:dyDescent="0.25">
      <c r="A941" s="12" t="s">
        <v>827</v>
      </c>
      <c r="C941">
        <v>241</v>
      </c>
      <c r="D941">
        <v>1</v>
      </c>
      <c r="E941">
        <v>0</v>
      </c>
      <c r="J941" t="b">
        <f t="shared" si="52"/>
        <v>0</v>
      </c>
      <c r="O941" t="s">
        <v>2186</v>
      </c>
    </row>
    <row r="942" spans="1:15" x14ac:dyDescent="0.25">
      <c r="A942" s="12" t="s">
        <v>828</v>
      </c>
      <c r="C942">
        <v>241</v>
      </c>
      <c r="D942">
        <v>1</v>
      </c>
      <c r="E942">
        <v>0</v>
      </c>
      <c r="J942" t="b">
        <f t="shared" si="52"/>
        <v>0</v>
      </c>
      <c r="O942" t="s">
        <v>2186</v>
      </c>
    </row>
    <row r="943" spans="1:15" x14ac:dyDescent="0.25">
      <c r="A943" s="12" t="s">
        <v>829</v>
      </c>
      <c r="C943">
        <v>241</v>
      </c>
      <c r="D943">
        <v>1</v>
      </c>
      <c r="F943">
        <v>2.34</v>
      </c>
      <c r="H943">
        <v>27</v>
      </c>
      <c r="J943">
        <f t="shared" si="52"/>
        <v>0.41061732140260437</v>
      </c>
      <c r="K943" s="2">
        <v>2.7E-2</v>
      </c>
      <c r="L943" s="17">
        <v>2.7E-2</v>
      </c>
      <c r="M943" s="2">
        <v>0</v>
      </c>
      <c r="N943" s="2">
        <f t="shared" si="51"/>
        <v>0</v>
      </c>
    </row>
    <row r="944" spans="1:15" x14ac:dyDescent="0.25">
      <c r="A944" s="12" t="s">
        <v>830</v>
      </c>
      <c r="C944">
        <v>241</v>
      </c>
      <c r="D944">
        <v>1</v>
      </c>
      <c r="F944">
        <v>2.88</v>
      </c>
      <c r="H944">
        <v>27</v>
      </c>
      <c r="J944">
        <f t="shared" si="52"/>
        <v>0.48477429794806615</v>
      </c>
      <c r="K944" s="2">
        <v>7.6899999999999998E-3</v>
      </c>
      <c r="L944" s="17">
        <v>7.6899999999999998E-3</v>
      </c>
      <c r="M944" s="2">
        <v>1</v>
      </c>
      <c r="N944" s="2">
        <v>0</v>
      </c>
    </row>
    <row r="945" spans="1:16" x14ac:dyDescent="0.25">
      <c r="A945" s="12" t="s">
        <v>831</v>
      </c>
      <c r="C945">
        <v>241</v>
      </c>
      <c r="D945">
        <v>1</v>
      </c>
      <c r="F945">
        <v>2.87</v>
      </c>
      <c r="H945">
        <v>27</v>
      </c>
      <c r="J945">
        <f t="shared" si="52"/>
        <v>0.48348505010653148</v>
      </c>
      <c r="K945" s="2">
        <v>7.8799999999999999E-3</v>
      </c>
      <c r="L945" s="17">
        <v>7.8799999999999999E-3</v>
      </c>
      <c r="M945" s="2">
        <v>1</v>
      </c>
      <c r="N945" s="2">
        <v>0</v>
      </c>
    </row>
    <row r="946" spans="1:16" x14ac:dyDescent="0.25">
      <c r="A946" s="12" t="s">
        <v>832</v>
      </c>
      <c r="C946">
        <v>241</v>
      </c>
      <c r="D946">
        <v>1</v>
      </c>
      <c r="E946">
        <v>0</v>
      </c>
      <c r="J946" t="b">
        <f t="shared" si="52"/>
        <v>0</v>
      </c>
      <c r="O946" t="s">
        <v>2186</v>
      </c>
    </row>
    <row r="947" spans="1:16" x14ac:dyDescent="0.25">
      <c r="A947" s="12" t="s">
        <v>833</v>
      </c>
      <c r="C947">
        <v>241</v>
      </c>
      <c r="D947">
        <v>1</v>
      </c>
      <c r="F947">
        <v>-0.32</v>
      </c>
      <c r="H947">
        <v>27</v>
      </c>
      <c r="J947">
        <f t="shared" si="52"/>
        <v>6.1467578280298363E-2</v>
      </c>
      <c r="K947" s="2">
        <v>0.75</v>
      </c>
      <c r="L947" s="17">
        <v>0.75</v>
      </c>
      <c r="M947" s="2">
        <v>0</v>
      </c>
      <c r="N947" s="2">
        <f t="shared" si="51"/>
        <v>0</v>
      </c>
    </row>
    <row r="948" spans="1:16" x14ac:dyDescent="0.25">
      <c r="A948" s="12" t="s">
        <v>834</v>
      </c>
      <c r="C948">
        <v>241</v>
      </c>
      <c r="D948">
        <v>1</v>
      </c>
      <c r="E948">
        <v>0</v>
      </c>
      <c r="J948" t="b">
        <f t="shared" si="52"/>
        <v>0</v>
      </c>
      <c r="O948" t="s">
        <v>2186</v>
      </c>
    </row>
    <row r="949" spans="1:16" x14ac:dyDescent="0.25">
      <c r="A949" s="12" t="s">
        <v>835</v>
      </c>
      <c r="C949">
        <v>241</v>
      </c>
      <c r="D949">
        <v>1</v>
      </c>
      <c r="F949">
        <v>2.84</v>
      </c>
      <c r="H949">
        <v>27</v>
      </c>
      <c r="J949">
        <f t="shared" si="52"/>
        <v>0.47959837489778817</v>
      </c>
      <c r="K949" s="2">
        <v>8.4700000000000001E-3</v>
      </c>
      <c r="L949" s="17">
        <v>8.4700000000000001E-3</v>
      </c>
      <c r="M949" s="2">
        <v>1</v>
      </c>
      <c r="N949" s="2">
        <v>0</v>
      </c>
      <c r="P949"/>
    </row>
    <row r="950" spans="1:16" x14ac:dyDescent="0.25">
      <c r="A950" s="12" t="s">
        <v>836</v>
      </c>
      <c r="C950">
        <v>241</v>
      </c>
      <c r="D950">
        <v>1</v>
      </c>
      <c r="F950">
        <v>2.85</v>
      </c>
      <c r="H950">
        <v>27</v>
      </c>
      <c r="J950">
        <f t="shared" si="52"/>
        <v>0.48089709037492612</v>
      </c>
      <c r="K950" s="2">
        <v>8.2699999999999996E-3</v>
      </c>
      <c r="L950" s="17">
        <v>8.2699999999999996E-3</v>
      </c>
      <c r="M950" s="2">
        <v>1</v>
      </c>
      <c r="N950" s="2">
        <v>0</v>
      </c>
      <c r="P950"/>
    </row>
    <row r="951" spans="1:16" x14ac:dyDescent="0.25">
      <c r="A951" s="12" t="s">
        <v>837</v>
      </c>
      <c r="C951">
        <v>241</v>
      </c>
      <c r="D951">
        <v>1</v>
      </c>
      <c r="E951">
        <v>0</v>
      </c>
      <c r="J951" t="b">
        <f t="shared" si="52"/>
        <v>0</v>
      </c>
      <c r="O951" t="s">
        <v>2186</v>
      </c>
    </row>
    <row r="952" spans="1:16" x14ac:dyDescent="0.25">
      <c r="A952" s="12" t="s">
        <v>838</v>
      </c>
      <c r="C952">
        <v>241</v>
      </c>
      <c r="D952">
        <v>1</v>
      </c>
      <c r="E952">
        <v>0</v>
      </c>
      <c r="J952" t="b">
        <f t="shared" si="52"/>
        <v>0</v>
      </c>
      <c r="O952" t="s">
        <v>2186</v>
      </c>
    </row>
    <row r="953" spans="1:16" x14ac:dyDescent="0.25">
      <c r="A953" s="12" t="s">
        <v>839</v>
      </c>
      <c r="C953">
        <v>241</v>
      </c>
      <c r="D953">
        <v>1</v>
      </c>
      <c r="F953">
        <v>2.91</v>
      </c>
      <c r="H953">
        <v>27</v>
      </c>
      <c r="J953">
        <f t="shared" si="52"/>
        <v>0.48862313617969311</v>
      </c>
      <c r="K953" s="2">
        <v>7.1599999999999997E-3</v>
      </c>
      <c r="L953" s="17">
        <v>7.1599999999999997E-3</v>
      </c>
      <c r="M953" s="2">
        <v>1</v>
      </c>
      <c r="N953" s="2">
        <v>0</v>
      </c>
    </row>
    <row r="954" spans="1:16" x14ac:dyDescent="0.25">
      <c r="A954" s="12" t="s">
        <v>840</v>
      </c>
      <c r="C954">
        <v>241</v>
      </c>
      <c r="D954">
        <v>1</v>
      </c>
      <c r="F954">
        <v>2.67</v>
      </c>
      <c r="H954">
        <v>27</v>
      </c>
      <c r="J954">
        <f t="shared" si="52"/>
        <v>0.4570356904226261</v>
      </c>
      <c r="K954" s="2">
        <v>1.2999999999999999E-2</v>
      </c>
      <c r="L954" s="17">
        <v>1.2999999999999999E-2</v>
      </c>
      <c r="M954" s="2">
        <v>0</v>
      </c>
      <c r="N954" s="2">
        <f t="shared" si="51"/>
        <v>0</v>
      </c>
    </row>
    <row r="955" spans="1:16" x14ac:dyDescent="0.25">
      <c r="A955" s="12" t="s">
        <v>841</v>
      </c>
      <c r="C955">
        <v>241</v>
      </c>
      <c r="D955">
        <v>1</v>
      </c>
      <c r="F955">
        <v>0.1</v>
      </c>
      <c r="H955">
        <v>27</v>
      </c>
      <c r="J955">
        <f t="shared" si="52"/>
        <v>1.9241446072101126E-2</v>
      </c>
      <c r="K955" s="2">
        <v>0.92</v>
      </c>
      <c r="L955" s="17">
        <v>0.92</v>
      </c>
      <c r="M955" s="2">
        <v>0</v>
      </c>
      <c r="N955" s="2">
        <f t="shared" si="51"/>
        <v>0</v>
      </c>
    </row>
    <row r="956" spans="1:16" x14ac:dyDescent="0.25">
      <c r="A956" s="12" t="s">
        <v>2600</v>
      </c>
      <c r="C956">
        <v>245</v>
      </c>
      <c r="D956">
        <v>1</v>
      </c>
      <c r="F956">
        <v>101.92</v>
      </c>
      <c r="H956">
        <v>1381</v>
      </c>
      <c r="J956">
        <f t="shared" si="52"/>
        <v>0.93949704793423494</v>
      </c>
      <c r="K956" s="2" t="s">
        <v>2174</v>
      </c>
      <c r="L956" s="17">
        <v>1E-3</v>
      </c>
      <c r="M956" s="2" t="s">
        <v>2558</v>
      </c>
      <c r="N956" s="2" t="s">
        <v>2558</v>
      </c>
      <c r="O956" t="s">
        <v>2135</v>
      </c>
    </row>
    <row r="957" spans="1:16" x14ac:dyDescent="0.25">
      <c r="A957" s="12" t="s">
        <v>2601</v>
      </c>
      <c r="C957">
        <v>245</v>
      </c>
      <c r="D957">
        <v>1</v>
      </c>
      <c r="J957">
        <v>0.28999999999999998</v>
      </c>
      <c r="K957" s="2" t="s">
        <v>2174</v>
      </c>
      <c r="L957" s="17">
        <v>1E-3</v>
      </c>
      <c r="M957" s="2" t="s">
        <v>2558</v>
      </c>
      <c r="N957" s="2" t="s">
        <v>2558</v>
      </c>
    </row>
    <row r="958" spans="1:16" x14ac:dyDescent="0.25">
      <c r="A958" s="12" t="s">
        <v>2602</v>
      </c>
      <c r="C958">
        <v>245</v>
      </c>
      <c r="D958">
        <v>1</v>
      </c>
      <c r="J958">
        <v>0.37</v>
      </c>
      <c r="K958" s="2" t="s">
        <v>2174</v>
      </c>
      <c r="L958" s="17">
        <v>1E-3</v>
      </c>
      <c r="M958" s="2" t="s">
        <v>2558</v>
      </c>
      <c r="N958" s="2" t="s">
        <v>2558</v>
      </c>
    </row>
    <row r="959" spans="1:16" x14ac:dyDescent="0.25">
      <c r="A959" s="12" t="s">
        <v>2604</v>
      </c>
      <c r="C959">
        <v>245</v>
      </c>
      <c r="D959">
        <v>1</v>
      </c>
      <c r="J959">
        <v>0.03</v>
      </c>
      <c r="K959" s="2">
        <v>0.36</v>
      </c>
      <c r="L959" s="17">
        <v>0.36</v>
      </c>
      <c r="M959" s="2" t="s">
        <v>2558</v>
      </c>
      <c r="N959" s="2" t="s">
        <v>2558</v>
      </c>
    </row>
    <row r="960" spans="1:16" x14ac:dyDescent="0.25">
      <c r="A960" s="12" t="s">
        <v>2605</v>
      </c>
      <c r="C960">
        <v>245</v>
      </c>
      <c r="D960">
        <v>1</v>
      </c>
      <c r="J960">
        <v>0.01</v>
      </c>
      <c r="K960" s="2">
        <v>0.98</v>
      </c>
      <c r="L960" s="17">
        <v>0.98</v>
      </c>
      <c r="M960" s="2" t="s">
        <v>2558</v>
      </c>
      <c r="N960" s="2" t="s">
        <v>2558</v>
      </c>
    </row>
    <row r="961" spans="1:15" x14ac:dyDescent="0.25">
      <c r="A961" s="12" t="s">
        <v>2606</v>
      </c>
      <c r="C961">
        <v>245</v>
      </c>
      <c r="D961">
        <v>1</v>
      </c>
      <c r="F961">
        <v>7.79</v>
      </c>
      <c r="H961">
        <v>1380</v>
      </c>
      <c r="J961">
        <f t="shared" si="52"/>
        <v>0.20523577993722789</v>
      </c>
      <c r="K961" s="2" t="s">
        <v>2174</v>
      </c>
      <c r="L961" s="17">
        <v>1E-3</v>
      </c>
      <c r="M961" s="2" t="s">
        <v>2558</v>
      </c>
      <c r="N961" s="2" t="s">
        <v>2558</v>
      </c>
    </row>
    <row r="962" spans="1:15" x14ac:dyDescent="0.25">
      <c r="A962" s="12" t="s">
        <v>2607</v>
      </c>
      <c r="C962">
        <v>245</v>
      </c>
      <c r="D962">
        <v>1</v>
      </c>
      <c r="F962">
        <v>4.8600000000000003</v>
      </c>
      <c r="H962">
        <v>1380</v>
      </c>
      <c r="J962">
        <f t="shared" si="52"/>
        <v>0.12972137913893383</v>
      </c>
      <c r="K962" s="2" t="s">
        <v>2603</v>
      </c>
      <c r="L962" s="17">
        <v>1E-3</v>
      </c>
      <c r="M962" s="2" t="s">
        <v>2558</v>
      </c>
      <c r="N962" s="2" t="s">
        <v>2558</v>
      </c>
    </row>
    <row r="963" spans="1:15" x14ac:dyDescent="0.25">
      <c r="A963" s="12" t="s">
        <v>2608</v>
      </c>
      <c r="C963">
        <v>245</v>
      </c>
      <c r="D963">
        <v>1</v>
      </c>
      <c r="F963">
        <v>1.77</v>
      </c>
      <c r="H963">
        <v>1380</v>
      </c>
      <c r="J963">
        <f t="shared" si="52"/>
        <v>4.7592805950501506E-2</v>
      </c>
      <c r="K963" s="2">
        <v>7.8E-2</v>
      </c>
      <c r="L963" s="17">
        <v>7.8E-2</v>
      </c>
      <c r="M963" s="2" t="s">
        <v>2558</v>
      </c>
      <c r="N963" s="2" t="s">
        <v>2558</v>
      </c>
    </row>
    <row r="964" spans="1:15" x14ac:dyDescent="0.25">
      <c r="A964" s="12" t="s">
        <v>2609</v>
      </c>
      <c r="C964">
        <v>245</v>
      </c>
      <c r="D964">
        <v>1</v>
      </c>
      <c r="F964">
        <v>0.66</v>
      </c>
      <c r="H964">
        <v>1380</v>
      </c>
      <c r="J964">
        <f t="shared" si="52"/>
        <v>1.7763799398175954E-2</v>
      </c>
      <c r="K964" s="2">
        <v>0.51</v>
      </c>
      <c r="L964" s="17">
        <v>0.51</v>
      </c>
      <c r="M964" s="2" t="s">
        <v>2558</v>
      </c>
      <c r="N964" s="2" t="s">
        <v>2558</v>
      </c>
    </row>
    <row r="965" spans="1:15" x14ac:dyDescent="0.25">
      <c r="A965" s="12" t="s">
        <v>2610</v>
      </c>
      <c r="C965">
        <v>245</v>
      </c>
      <c r="D965">
        <v>1</v>
      </c>
      <c r="F965">
        <v>1.1399999999999999</v>
      </c>
      <c r="H965">
        <v>1380</v>
      </c>
      <c r="J965">
        <f t="shared" si="52"/>
        <v>3.0673328679193087E-2</v>
      </c>
      <c r="K965" s="2">
        <v>0.25</v>
      </c>
      <c r="L965" s="17">
        <v>0.25</v>
      </c>
      <c r="M965" s="2" t="s">
        <v>2558</v>
      </c>
      <c r="N965" s="2" t="s">
        <v>2558</v>
      </c>
    </row>
    <row r="966" spans="1:15" x14ac:dyDescent="0.25">
      <c r="A966" s="12" t="s">
        <v>2611</v>
      </c>
      <c r="C966">
        <v>245</v>
      </c>
      <c r="D966">
        <v>1</v>
      </c>
      <c r="J966" t="b">
        <f t="shared" si="52"/>
        <v>0</v>
      </c>
      <c r="K966" s="2" t="s">
        <v>2174</v>
      </c>
      <c r="L966" s="17">
        <v>1E-3</v>
      </c>
      <c r="M966" s="2" t="s">
        <v>2558</v>
      </c>
      <c r="N966" s="2" t="s">
        <v>2558</v>
      </c>
    </row>
    <row r="967" spans="1:15" x14ac:dyDescent="0.25">
      <c r="A967" s="12" t="s">
        <v>2612</v>
      </c>
      <c r="C967">
        <v>245</v>
      </c>
      <c r="D967">
        <v>1</v>
      </c>
      <c r="J967" t="b">
        <f t="shared" si="52"/>
        <v>0</v>
      </c>
      <c r="K967" s="2">
        <v>0.57999999999999996</v>
      </c>
      <c r="L967" s="17">
        <v>0.57999999999999996</v>
      </c>
      <c r="M967" s="2" t="s">
        <v>2558</v>
      </c>
      <c r="N967" s="2" t="s">
        <v>2558</v>
      </c>
    </row>
    <row r="968" spans="1:15" x14ac:dyDescent="0.25">
      <c r="A968" s="12" t="s">
        <v>842</v>
      </c>
      <c r="C968">
        <v>250</v>
      </c>
      <c r="D968">
        <v>1</v>
      </c>
      <c r="G968">
        <v>1.35</v>
      </c>
      <c r="H968">
        <v>1</v>
      </c>
      <c r="I968">
        <v>113</v>
      </c>
      <c r="J968">
        <f t="shared" si="52"/>
        <v>0.1086547707383235</v>
      </c>
      <c r="K968" s="2">
        <v>0.248</v>
      </c>
      <c r="L968" s="17">
        <v>0.248</v>
      </c>
      <c r="M968" s="2" t="s">
        <v>2558</v>
      </c>
      <c r="N968" s="2" t="s">
        <v>2558</v>
      </c>
      <c r="O968" t="s">
        <v>2135</v>
      </c>
    </row>
    <row r="969" spans="1:15" x14ac:dyDescent="0.25">
      <c r="A969" s="12" t="s">
        <v>843</v>
      </c>
      <c r="C969">
        <v>250</v>
      </c>
      <c r="D969">
        <v>1</v>
      </c>
      <c r="E969">
        <v>0</v>
      </c>
      <c r="J969" t="b">
        <f t="shared" si="52"/>
        <v>0</v>
      </c>
    </row>
    <row r="970" spans="1:15" x14ac:dyDescent="0.25">
      <c r="A970" s="12" t="s">
        <v>844</v>
      </c>
      <c r="C970">
        <v>250</v>
      </c>
      <c r="D970">
        <v>1</v>
      </c>
      <c r="E970">
        <v>0</v>
      </c>
      <c r="J970" t="b">
        <f t="shared" si="52"/>
        <v>0</v>
      </c>
    </row>
    <row r="971" spans="1:15" x14ac:dyDescent="0.25">
      <c r="A971" s="12" t="s">
        <v>845</v>
      </c>
      <c r="C971">
        <v>250</v>
      </c>
      <c r="D971">
        <v>1</v>
      </c>
      <c r="G971">
        <v>19.13</v>
      </c>
      <c r="H971">
        <v>1</v>
      </c>
      <c r="I971">
        <v>303</v>
      </c>
      <c r="J971">
        <f t="shared" si="52"/>
        <v>0.24369235151965332</v>
      </c>
      <c r="K971" s="2" t="s">
        <v>2174</v>
      </c>
      <c r="L971" s="17">
        <v>1E-3</v>
      </c>
      <c r="M971" s="2" t="s">
        <v>2558</v>
      </c>
      <c r="N971" s="2" t="s">
        <v>2558</v>
      </c>
    </row>
    <row r="972" spans="1:15" x14ac:dyDescent="0.25">
      <c r="A972" s="12" t="s">
        <v>846</v>
      </c>
      <c r="C972">
        <v>250</v>
      </c>
      <c r="D972">
        <v>1</v>
      </c>
      <c r="G972">
        <v>1.32</v>
      </c>
      <c r="H972">
        <v>1</v>
      </c>
      <c r="I972">
        <v>303</v>
      </c>
      <c r="J972">
        <f t="shared" si="52"/>
        <v>6.5859998725908406E-2</v>
      </c>
      <c r="K972" s="2">
        <v>0.251</v>
      </c>
      <c r="L972" s="17">
        <v>0.251</v>
      </c>
      <c r="M972" s="2" t="s">
        <v>2558</v>
      </c>
      <c r="N972" s="2" t="s">
        <v>2558</v>
      </c>
      <c r="O972" t="s">
        <v>2187</v>
      </c>
    </row>
    <row r="973" spans="1:15" x14ac:dyDescent="0.25">
      <c r="A973" s="12" t="s">
        <v>847</v>
      </c>
      <c r="C973">
        <v>250</v>
      </c>
      <c r="D973">
        <v>1</v>
      </c>
      <c r="G973">
        <v>1.68</v>
      </c>
      <c r="H973">
        <v>1</v>
      </c>
      <c r="I973">
        <v>303</v>
      </c>
      <c r="J973">
        <f t="shared" si="52"/>
        <v>7.4256190870734512E-2</v>
      </c>
      <c r="K973" s="2">
        <v>0.19600000000000001</v>
      </c>
      <c r="L973" s="17">
        <v>0.19600000000000001</v>
      </c>
      <c r="M973" s="2" t="s">
        <v>2558</v>
      </c>
      <c r="N973" s="2" t="s">
        <v>2558</v>
      </c>
    </row>
    <row r="974" spans="1:15" x14ac:dyDescent="0.25">
      <c r="A974" s="12" t="s">
        <v>848</v>
      </c>
      <c r="C974">
        <v>250</v>
      </c>
      <c r="D974">
        <v>1</v>
      </c>
      <c r="E974">
        <v>0</v>
      </c>
      <c r="J974" t="b">
        <f t="shared" ref="J974:J1005" si="53">IF(NOT(ISBLANK(F974)),SQRT((F974^2*1/H974)/(F974^2*1/H974+1)),IF(NOT(ISBLANK(G974)),SQRT((G974*H974/I974)/(G974*H974/I974+1)*SQRT(1/H974))))</f>
        <v>0</v>
      </c>
      <c r="K974" s="2">
        <v>0.05</v>
      </c>
      <c r="L974" s="17">
        <v>0.05</v>
      </c>
    </row>
    <row r="975" spans="1:15" x14ac:dyDescent="0.25">
      <c r="A975" s="12" t="s">
        <v>849</v>
      </c>
      <c r="C975">
        <v>254</v>
      </c>
      <c r="D975">
        <v>1</v>
      </c>
      <c r="G975">
        <v>7.29</v>
      </c>
      <c r="H975">
        <v>1</v>
      </c>
      <c r="I975">
        <v>38</v>
      </c>
      <c r="J975">
        <f t="shared" si="53"/>
        <v>0.40120155149177611</v>
      </c>
      <c r="K975" s="2">
        <v>0.01</v>
      </c>
      <c r="L975" s="17">
        <v>0.01</v>
      </c>
      <c r="M975" s="2">
        <v>0</v>
      </c>
      <c r="N975" s="2">
        <f t="shared" si="51"/>
        <v>0</v>
      </c>
    </row>
    <row r="976" spans="1:15" x14ac:dyDescent="0.25">
      <c r="A976" s="12" t="s">
        <v>850</v>
      </c>
      <c r="C976">
        <v>254</v>
      </c>
      <c r="D976">
        <v>1</v>
      </c>
      <c r="G976">
        <v>0.04</v>
      </c>
      <c r="H976">
        <v>1</v>
      </c>
      <c r="I976">
        <v>38</v>
      </c>
      <c r="J976">
        <f t="shared" si="53"/>
        <v>3.2427221756276076E-2</v>
      </c>
      <c r="K976" s="2">
        <v>0.85199999999999998</v>
      </c>
      <c r="L976" s="17">
        <v>0.85199999999999998</v>
      </c>
      <c r="M976" s="2">
        <v>0</v>
      </c>
      <c r="N976" s="2">
        <f t="shared" si="51"/>
        <v>0</v>
      </c>
    </row>
    <row r="977" spans="1:14" x14ac:dyDescent="0.25">
      <c r="A977" s="12" t="s">
        <v>851</v>
      </c>
      <c r="C977">
        <v>254</v>
      </c>
      <c r="D977">
        <v>1</v>
      </c>
      <c r="G977">
        <v>8.5500000000000007</v>
      </c>
      <c r="H977">
        <v>1</v>
      </c>
      <c r="I977">
        <v>38</v>
      </c>
      <c r="J977">
        <f t="shared" si="53"/>
        <v>0.42857142857142855</v>
      </c>
      <c r="K977" s="2">
        <v>6.0000000000000001E-3</v>
      </c>
      <c r="L977" s="17">
        <v>6.0000000000000001E-3</v>
      </c>
      <c r="M977" s="2">
        <v>0</v>
      </c>
      <c r="N977" s="2">
        <f t="shared" si="51"/>
        <v>0</v>
      </c>
    </row>
    <row r="978" spans="1:14" x14ac:dyDescent="0.25">
      <c r="A978" s="12" t="s">
        <v>852</v>
      </c>
      <c r="C978">
        <v>255</v>
      </c>
      <c r="D978">
        <v>1</v>
      </c>
      <c r="G978">
        <v>12.05</v>
      </c>
      <c r="H978">
        <v>1</v>
      </c>
      <c r="I978">
        <v>44</v>
      </c>
      <c r="J978">
        <f t="shared" si="53"/>
        <v>0.46366649554404737</v>
      </c>
      <c r="K978" s="2">
        <v>1E-3</v>
      </c>
      <c r="L978" s="17">
        <v>1E-3</v>
      </c>
      <c r="M978" s="2">
        <v>0</v>
      </c>
      <c r="N978" s="2">
        <f t="shared" si="51"/>
        <v>0</v>
      </c>
    </row>
    <row r="979" spans="1:14" x14ac:dyDescent="0.25">
      <c r="A979" s="12" t="s">
        <v>853</v>
      </c>
      <c r="C979">
        <v>255</v>
      </c>
      <c r="D979">
        <v>1</v>
      </c>
      <c r="G979">
        <v>27.25</v>
      </c>
      <c r="H979">
        <v>1</v>
      </c>
      <c r="I979">
        <v>44</v>
      </c>
      <c r="J979">
        <f t="shared" si="53"/>
        <v>0.61843038440141118</v>
      </c>
      <c r="K979" s="2" t="s">
        <v>2517</v>
      </c>
      <c r="L979" s="17">
        <v>1E-3</v>
      </c>
      <c r="M979" s="2">
        <v>0</v>
      </c>
      <c r="N979" s="2">
        <f t="shared" si="51"/>
        <v>0</v>
      </c>
    </row>
    <row r="980" spans="1:14" x14ac:dyDescent="0.25">
      <c r="A980" s="12" t="s">
        <v>854</v>
      </c>
      <c r="C980">
        <v>255</v>
      </c>
      <c r="D980">
        <v>1</v>
      </c>
      <c r="G980">
        <v>20.22</v>
      </c>
      <c r="H980">
        <v>1</v>
      </c>
      <c r="I980">
        <v>46</v>
      </c>
      <c r="J980">
        <f t="shared" si="53"/>
        <v>0.55258105013990833</v>
      </c>
      <c r="K980" s="2" t="s">
        <v>2517</v>
      </c>
      <c r="L980" s="17">
        <v>1E-3</v>
      </c>
      <c r="M980" s="2">
        <v>0</v>
      </c>
      <c r="N980" s="2">
        <f t="shared" si="51"/>
        <v>0</v>
      </c>
    </row>
    <row r="981" spans="1:14" x14ac:dyDescent="0.25">
      <c r="A981" s="12" t="s">
        <v>855</v>
      </c>
      <c r="B981" s="4" t="s">
        <v>2188</v>
      </c>
      <c r="C981">
        <v>255</v>
      </c>
      <c r="D981">
        <v>1</v>
      </c>
      <c r="G981">
        <v>15.58</v>
      </c>
      <c r="H981">
        <v>1</v>
      </c>
      <c r="I981">
        <v>46</v>
      </c>
      <c r="J981">
        <f t="shared" si="53"/>
        <v>0.50299525062374972</v>
      </c>
      <c r="K981" s="2" t="s">
        <v>2517</v>
      </c>
      <c r="L981" s="17">
        <v>1E-3</v>
      </c>
      <c r="M981" s="2">
        <v>0</v>
      </c>
      <c r="N981" s="2">
        <f t="shared" si="51"/>
        <v>0</v>
      </c>
    </row>
    <row r="982" spans="1:14" x14ac:dyDescent="0.25">
      <c r="A982" s="12" t="s">
        <v>856</v>
      </c>
      <c r="C982">
        <v>255</v>
      </c>
      <c r="D982">
        <v>1</v>
      </c>
      <c r="G982">
        <v>40.369999999999997</v>
      </c>
      <c r="H982">
        <v>1</v>
      </c>
      <c r="I982">
        <v>16</v>
      </c>
      <c r="J982">
        <f t="shared" si="53"/>
        <v>0.84626300792832798</v>
      </c>
      <c r="K982" s="2" t="s">
        <v>2517</v>
      </c>
      <c r="L982" s="17">
        <v>1E-3</v>
      </c>
      <c r="M982" s="2">
        <v>0</v>
      </c>
      <c r="N982" s="2">
        <f t="shared" si="51"/>
        <v>0</v>
      </c>
    </row>
    <row r="983" spans="1:14" x14ac:dyDescent="0.25">
      <c r="A983" s="12" t="s">
        <v>857</v>
      </c>
      <c r="C983">
        <v>255</v>
      </c>
      <c r="D983">
        <v>1</v>
      </c>
      <c r="G983">
        <v>4.7</v>
      </c>
      <c r="H983">
        <v>1</v>
      </c>
      <c r="I983">
        <v>46</v>
      </c>
      <c r="J983">
        <f t="shared" si="53"/>
        <v>0.30447030992404917</v>
      </c>
      <c r="K983" s="2">
        <v>3.5000000000000003E-2</v>
      </c>
      <c r="L983" s="17">
        <v>3.5000000000000003E-2</v>
      </c>
      <c r="M983" s="2">
        <v>0</v>
      </c>
      <c r="N983" s="2">
        <f t="shared" si="51"/>
        <v>0</v>
      </c>
    </row>
    <row r="984" spans="1:14" x14ac:dyDescent="0.25">
      <c r="A984" s="12" t="s">
        <v>858</v>
      </c>
      <c r="C984">
        <v>255</v>
      </c>
      <c r="D984">
        <v>1</v>
      </c>
      <c r="F984">
        <v>2.1</v>
      </c>
      <c r="H984">
        <v>28.2</v>
      </c>
      <c r="J984">
        <f t="shared" si="53"/>
        <v>0.36774256024612562</v>
      </c>
      <c r="K984" s="2">
        <v>4.48E-2</v>
      </c>
      <c r="L984" s="17">
        <v>4.48E-2</v>
      </c>
      <c r="M984" s="2">
        <v>1</v>
      </c>
      <c r="N984" s="2">
        <v>0</v>
      </c>
    </row>
    <row r="985" spans="1:14" x14ac:dyDescent="0.25">
      <c r="A985" s="12" t="s">
        <v>859</v>
      </c>
      <c r="C985">
        <v>255</v>
      </c>
      <c r="D985">
        <v>1</v>
      </c>
      <c r="G985">
        <v>5.31</v>
      </c>
      <c r="H985">
        <v>1</v>
      </c>
      <c r="I985">
        <v>46</v>
      </c>
      <c r="J985">
        <f t="shared" si="53"/>
        <v>0.32169643876440568</v>
      </c>
      <c r="K985" s="2">
        <v>2.5999999999999999E-2</v>
      </c>
      <c r="L985" s="17">
        <v>2.5999999999999999E-2</v>
      </c>
      <c r="M985" s="2">
        <v>0</v>
      </c>
      <c r="N985" s="2">
        <f t="shared" si="51"/>
        <v>0</v>
      </c>
    </row>
    <row r="986" spans="1:14" x14ac:dyDescent="0.25">
      <c r="A986" s="12" t="s">
        <v>860</v>
      </c>
      <c r="B986" s="4" t="s">
        <v>2189</v>
      </c>
      <c r="C986">
        <v>255</v>
      </c>
      <c r="D986">
        <v>1</v>
      </c>
      <c r="G986">
        <v>88.91</v>
      </c>
      <c r="H986">
        <v>1</v>
      </c>
      <c r="I986">
        <v>46</v>
      </c>
      <c r="J986">
        <f t="shared" si="53"/>
        <v>0.81180782653536632</v>
      </c>
      <c r="K986" s="2" t="s">
        <v>2517</v>
      </c>
      <c r="L986" s="17">
        <v>1E-3</v>
      </c>
      <c r="M986" s="2">
        <v>0</v>
      </c>
      <c r="N986" s="2">
        <f t="shared" si="51"/>
        <v>0</v>
      </c>
    </row>
    <row r="987" spans="1:14" x14ac:dyDescent="0.25">
      <c r="A987" s="12" t="s">
        <v>861</v>
      </c>
      <c r="C987">
        <v>255</v>
      </c>
      <c r="D987">
        <v>1</v>
      </c>
      <c r="G987">
        <v>7.2</v>
      </c>
      <c r="H987">
        <v>1</v>
      </c>
      <c r="I987">
        <v>46</v>
      </c>
      <c r="J987">
        <f t="shared" si="53"/>
        <v>0.3678836036909795</v>
      </c>
      <c r="K987" s="2">
        <v>0.01</v>
      </c>
      <c r="L987" s="17">
        <v>0.01</v>
      </c>
      <c r="M987" s="2">
        <v>0</v>
      </c>
      <c r="N987" s="2">
        <f t="shared" si="51"/>
        <v>0</v>
      </c>
    </row>
    <row r="988" spans="1:14" x14ac:dyDescent="0.25">
      <c r="A988" s="12" t="s">
        <v>862</v>
      </c>
      <c r="C988">
        <v>255</v>
      </c>
      <c r="D988">
        <v>1</v>
      </c>
      <c r="G988">
        <v>8.82</v>
      </c>
      <c r="H988">
        <v>1</v>
      </c>
      <c r="I988">
        <v>46</v>
      </c>
      <c r="J988">
        <f t="shared" si="53"/>
        <v>0.40111118915268429</v>
      </c>
      <c r="K988" s="2">
        <v>5.0000000000000001E-3</v>
      </c>
      <c r="L988" s="17">
        <v>5.0000000000000001E-3</v>
      </c>
      <c r="M988" s="2">
        <v>0</v>
      </c>
      <c r="N988" s="2">
        <f t="shared" si="51"/>
        <v>0</v>
      </c>
    </row>
    <row r="989" spans="1:14" x14ac:dyDescent="0.25">
      <c r="A989" s="12" t="s">
        <v>863</v>
      </c>
      <c r="C989">
        <v>255</v>
      </c>
      <c r="D989">
        <v>1</v>
      </c>
      <c r="G989">
        <v>47.78</v>
      </c>
      <c r="H989">
        <v>1</v>
      </c>
      <c r="I989">
        <v>46</v>
      </c>
      <c r="J989">
        <f t="shared" si="53"/>
        <v>0.7137858897726076</v>
      </c>
      <c r="K989" s="2" t="s">
        <v>2517</v>
      </c>
      <c r="L989" s="17">
        <v>1E-3</v>
      </c>
      <c r="M989" s="2">
        <v>0</v>
      </c>
      <c r="N989" s="2">
        <f t="shared" si="51"/>
        <v>0</v>
      </c>
    </row>
    <row r="990" spans="1:14" x14ac:dyDescent="0.25">
      <c r="A990" s="12" t="s">
        <v>864</v>
      </c>
      <c r="C990">
        <v>255</v>
      </c>
      <c r="D990">
        <v>1</v>
      </c>
      <c r="G990">
        <v>33.409999999999997</v>
      </c>
      <c r="H990">
        <v>1</v>
      </c>
      <c r="I990">
        <v>46</v>
      </c>
      <c r="J990">
        <f t="shared" si="53"/>
        <v>0.64863538912604579</v>
      </c>
      <c r="K990" s="2" t="s">
        <v>2517</v>
      </c>
      <c r="L990" s="17">
        <v>1E-3</v>
      </c>
      <c r="M990" s="2">
        <v>0</v>
      </c>
      <c r="N990" s="2">
        <f t="shared" si="51"/>
        <v>0</v>
      </c>
    </row>
    <row r="991" spans="1:14" x14ac:dyDescent="0.25">
      <c r="A991" s="12" t="s">
        <v>865</v>
      </c>
      <c r="C991">
        <v>255</v>
      </c>
      <c r="D991">
        <v>1</v>
      </c>
      <c r="G991">
        <v>10.01</v>
      </c>
      <c r="H991">
        <v>1</v>
      </c>
      <c r="I991">
        <v>46</v>
      </c>
      <c r="J991">
        <f t="shared" si="53"/>
        <v>0.42275061922611235</v>
      </c>
      <c r="K991" s="2">
        <v>3.0000000000000001E-3</v>
      </c>
      <c r="L991" s="17">
        <v>3.0000000000000001E-3</v>
      </c>
      <c r="M991" s="2">
        <v>0</v>
      </c>
      <c r="N991" s="2">
        <f t="shared" si="51"/>
        <v>0</v>
      </c>
    </row>
    <row r="992" spans="1:14" x14ac:dyDescent="0.25">
      <c r="A992" s="12" t="s">
        <v>866</v>
      </c>
      <c r="C992">
        <v>255</v>
      </c>
      <c r="D992">
        <v>1</v>
      </c>
      <c r="G992">
        <v>31.4</v>
      </c>
      <c r="H992">
        <v>1</v>
      </c>
      <c r="I992">
        <v>46</v>
      </c>
      <c r="J992">
        <f t="shared" si="53"/>
        <v>0.6369338698184952</v>
      </c>
      <c r="K992" s="2" t="s">
        <v>2519</v>
      </c>
      <c r="L992" s="17">
        <v>1E-3</v>
      </c>
      <c r="M992" s="2">
        <v>0</v>
      </c>
      <c r="N992" s="2">
        <f t="shared" si="51"/>
        <v>0</v>
      </c>
    </row>
    <row r="993" spans="1:15" x14ac:dyDescent="0.25">
      <c r="A993" s="12" t="s">
        <v>867</v>
      </c>
      <c r="C993">
        <v>255</v>
      </c>
      <c r="D993">
        <v>1</v>
      </c>
      <c r="G993">
        <v>15.25</v>
      </c>
      <c r="H993">
        <v>1</v>
      </c>
      <c r="I993">
        <v>23</v>
      </c>
      <c r="J993">
        <f t="shared" si="53"/>
        <v>0.63142126227861251</v>
      </c>
      <c r="K993" s="2">
        <v>1E-3</v>
      </c>
      <c r="L993" s="17">
        <v>1E-3</v>
      </c>
      <c r="M993" s="2">
        <v>0</v>
      </c>
      <c r="N993" s="2">
        <f t="shared" si="51"/>
        <v>0</v>
      </c>
    </row>
    <row r="994" spans="1:15" x14ac:dyDescent="0.25">
      <c r="A994" s="12" t="s">
        <v>868</v>
      </c>
      <c r="B994" s="4" t="s">
        <v>2190</v>
      </c>
      <c r="C994">
        <v>255</v>
      </c>
      <c r="D994">
        <v>1</v>
      </c>
      <c r="G994">
        <v>31.37</v>
      </c>
      <c r="H994">
        <v>1</v>
      </c>
      <c r="I994">
        <v>23</v>
      </c>
      <c r="J994">
        <f t="shared" si="53"/>
        <v>0.75958712152139995</v>
      </c>
      <c r="K994" s="2" t="s">
        <v>2519</v>
      </c>
      <c r="L994" s="17">
        <v>1E-3</v>
      </c>
      <c r="M994" s="2">
        <v>0</v>
      </c>
      <c r="N994" s="2">
        <f t="shared" si="51"/>
        <v>0</v>
      </c>
    </row>
    <row r="995" spans="1:15" x14ac:dyDescent="0.25">
      <c r="A995" s="12" t="s">
        <v>869</v>
      </c>
      <c r="C995">
        <v>255</v>
      </c>
      <c r="D995">
        <v>1</v>
      </c>
      <c r="F995">
        <v>6.36</v>
      </c>
      <c r="H995">
        <v>23</v>
      </c>
      <c r="J995">
        <f t="shared" si="53"/>
        <v>0.79844070854354099</v>
      </c>
      <c r="K995" s="2" t="s">
        <v>2519</v>
      </c>
      <c r="L995" s="17">
        <v>1E-3</v>
      </c>
      <c r="M995" s="2">
        <v>0</v>
      </c>
      <c r="N995" s="2">
        <f t="shared" si="51"/>
        <v>0</v>
      </c>
    </row>
    <row r="996" spans="1:15" x14ac:dyDescent="0.25">
      <c r="A996" s="12" t="s">
        <v>870</v>
      </c>
      <c r="C996">
        <v>255</v>
      </c>
      <c r="D996">
        <v>1</v>
      </c>
      <c r="F996">
        <v>0.47</v>
      </c>
      <c r="H996">
        <v>23</v>
      </c>
      <c r="J996">
        <f t="shared" si="53"/>
        <v>9.7534516144982472E-2</v>
      </c>
      <c r="K996" s="2">
        <v>0.64100000000000001</v>
      </c>
      <c r="L996" s="17">
        <v>0.64100000000000001</v>
      </c>
      <c r="M996" s="2">
        <v>0</v>
      </c>
      <c r="N996" s="2">
        <f t="shared" si="51"/>
        <v>0</v>
      </c>
    </row>
    <row r="997" spans="1:15" x14ac:dyDescent="0.25">
      <c r="A997" s="12" t="s">
        <v>871</v>
      </c>
      <c r="C997">
        <v>255</v>
      </c>
      <c r="D997">
        <v>1</v>
      </c>
      <c r="F997">
        <v>3.5</v>
      </c>
      <c r="H997">
        <v>23</v>
      </c>
      <c r="J997">
        <f t="shared" si="53"/>
        <v>0.58950634474656327</v>
      </c>
      <c r="K997" s="2">
        <v>2E-3</v>
      </c>
      <c r="L997" s="17">
        <v>2E-3</v>
      </c>
      <c r="M997" s="2">
        <v>0</v>
      </c>
      <c r="N997" s="2">
        <f t="shared" ref="N997:N1057" si="54">IF(M997=0, 0)</f>
        <v>0</v>
      </c>
    </row>
    <row r="998" spans="1:15" x14ac:dyDescent="0.25">
      <c r="A998" s="12" t="s">
        <v>872</v>
      </c>
      <c r="B998" s="4" t="s">
        <v>2191</v>
      </c>
      <c r="C998">
        <v>255</v>
      </c>
      <c r="D998">
        <v>1</v>
      </c>
      <c r="G998">
        <v>17.53</v>
      </c>
      <c r="H998">
        <v>1</v>
      </c>
      <c r="I998">
        <v>23</v>
      </c>
      <c r="J998">
        <f t="shared" si="53"/>
        <v>0.65766185964999713</v>
      </c>
      <c r="K998" s="2" t="s">
        <v>2519</v>
      </c>
      <c r="L998" s="17">
        <v>1E-3</v>
      </c>
      <c r="M998" s="2">
        <v>0</v>
      </c>
      <c r="N998" s="2">
        <f t="shared" si="54"/>
        <v>0</v>
      </c>
    </row>
    <row r="999" spans="1:15" x14ac:dyDescent="0.25">
      <c r="A999" s="12" t="s">
        <v>873</v>
      </c>
      <c r="B999" s="4" t="s">
        <v>2192</v>
      </c>
      <c r="C999">
        <v>255</v>
      </c>
      <c r="D999">
        <v>1</v>
      </c>
      <c r="G999">
        <v>34.61</v>
      </c>
      <c r="H999">
        <v>1</v>
      </c>
      <c r="I999">
        <v>23</v>
      </c>
      <c r="J999">
        <f t="shared" si="53"/>
        <v>0.77508951501894952</v>
      </c>
      <c r="K999" s="2" t="s">
        <v>2519</v>
      </c>
      <c r="L999" s="17">
        <v>1E-3</v>
      </c>
      <c r="M999" s="2" t="s">
        <v>2558</v>
      </c>
      <c r="N999" s="2" t="s">
        <v>2558</v>
      </c>
      <c r="O999" t="s">
        <v>2193</v>
      </c>
    </row>
    <row r="1000" spans="1:15" x14ac:dyDescent="0.25">
      <c r="A1000" s="12" t="s">
        <v>874</v>
      </c>
      <c r="B1000" s="4" t="s">
        <v>2194</v>
      </c>
      <c r="C1000">
        <v>255</v>
      </c>
      <c r="D1000">
        <v>1</v>
      </c>
      <c r="G1000">
        <v>3.843</v>
      </c>
      <c r="H1000">
        <v>1</v>
      </c>
      <c r="I1000">
        <v>23</v>
      </c>
      <c r="J1000">
        <f t="shared" si="53"/>
        <v>0.37837258891392495</v>
      </c>
      <c r="K1000" s="2">
        <v>6.2E-2</v>
      </c>
      <c r="L1000" s="17">
        <v>6.2E-2</v>
      </c>
      <c r="M1000" s="2" t="s">
        <v>2558</v>
      </c>
      <c r="N1000" s="2" t="s">
        <v>2558</v>
      </c>
      <c r="O1000" t="s">
        <v>2193</v>
      </c>
    </row>
    <row r="1001" spans="1:15" x14ac:dyDescent="0.25">
      <c r="A1001" s="12" t="s">
        <v>875</v>
      </c>
      <c r="C1001">
        <v>255</v>
      </c>
      <c r="D1001">
        <v>1</v>
      </c>
      <c r="G1001">
        <v>10.199999999999999</v>
      </c>
      <c r="H1001">
        <v>1</v>
      </c>
      <c r="I1001">
        <v>46</v>
      </c>
      <c r="J1001">
        <f t="shared" si="53"/>
        <v>0.42602190310089477</v>
      </c>
      <c r="K1001" s="2">
        <v>3.0000000000000001E-3</v>
      </c>
      <c r="L1001" s="17">
        <v>3.0000000000000001E-3</v>
      </c>
      <c r="M1001" s="2">
        <v>0</v>
      </c>
      <c r="N1001" s="2">
        <f t="shared" si="54"/>
        <v>0</v>
      </c>
    </row>
    <row r="1002" spans="1:15" x14ac:dyDescent="0.25">
      <c r="A1002" s="12" t="s">
        <v>876</v>
      </c>
      <c r="C1002">
        <v>255</v>
      </c>
      <c r="D1002">
        <v>1</v>
      </c>
      <c r="G1002">
        <v>10.77</v>
      </c>
      <c r="H1002">
        <v>1</v>
      </c>
      <c r="I1002">
        <v>46</v>
      </c>
      <c r="J1002">
        <f t="shared" si="53"/>
        <v>0.43556041661207962</v>
      </c>
      <c r="K1002" s="2">
        <v>2E-3</v>
      </c>
      <c r="L1002" s="17">
        <v>2E-3</v>
      </c>
      <c r="M1002" s="2">
        <v>0</v>
      </c>
      <c r="N1002" s="2">
        <f t="shared" si="54"/>
        <v>0</v>
      </c>
    </row>
    <row r="1003" spans="1:15" x14ac:dyDescent="0.25">
      <c r="A1003" s="12" t="s">
        <v>877</v>
      </c>
      <c r="C1003">
        <v>255</v>
      </c>
      <c r="D1003">
        <v>1</v>
      </c>
      <c r="G1003">
        <v>4.05</v>
      </c>
      <c r="H1003">
        <v>1</v>
      </c>
      <c r="I1003">
        <v>46</v>
      </c>
      <c r="J1003">
        <f t="shared" si="53"/>
        <v>0.28446279355845627</v>
      </c>
      <c r="K1003" s="2">
        <v>0.05</v>
      </c>
      <c r="L1003" s="17">
        <v>0.05</v>
      </c>
      <c r="M1003" s="2">
        <v>0</v>
      </c>
      <c r="N1003" s="2">
        <f t="shared" si="54"/>
        <v>0</v>
      </c>
    </row>
    <row r="1004" spans="1:15" x14ac:dyDescent="0.25">
      <c r="A1004" s="12" t="s">
        <v>878</v>
      </c>
      <c r="C1004">
        <v>255</v>
      </c>
      <c r="D1004">
        <v>1</v>
      </c>
      <c r="G1004">
        <v>6.55</v>
      </c>
      <c r="H1004">
        <v>1</v>
      </c>
      <c r="I1004">
        <v>46</v>
      </c>
      <c r="J1004">
        <f t="shared" si="53"/>
        <v>0.35304843429093508</v>
      </c>
      <c r="K1004" s="2">
        <v>1.4E-2</v>
      </c>
      <c r="L1004" s="17">
        <v>1.4E-2</v>
      </c>
      <c r="M1004" s="2">
        <v>0</v>
      </c>
      <c r="N1004" s="2">
        <f t="shared" si="54"/>
        <v>0</v>
      </c>
    </row>
    <row r="1005" spans="1:15" x14ac:dyDescent="0.25">
      <c r="A1005" s="12" t="s">
        <v>879</v>
      </c>
      <c r="B1005" s="4" t="s">
        <v>2195</v>
      </c>
      <c r="C1005">
        <v>255</v>
      </c>
      <c r="D1005">
        <v>1</v>
      </c>
      <c r="G1005">
        <v>28.79</v>
      </c>
      <c r="H1005">
        <v>1</v>
      </c>
      <c r="I1005">
        <v>46</v>
      </c>
      <c r="J1005">
        <f t="shared" si="53"/>
        <v>0.62043896661823383</v>
      </c>
      <c r="K1005" s="2" t="s">
        <v>2519</v>
      </c>
      <c r="L1005" s="17">
        <v>1E-3</v>
      </c>
      <c r="M1005" s="2">
        <v>0</v>
      </c>
      <c r="N1005" s="2">
        <f t="shared" si="54"/>
        <v>0</v>
      </c>
    </row>
    <row r="1006" spans="1:15" x14ac:dyDescent="0.25">
      <c r="A1006" s="12" t="s">
        <v>880</v>
      </c>
      <c r="C1006">
        <v>255</v>
      </c>
      <c r="D1006">
        <v>1</v>
      </c>
      <c r="G1006">
        <v>61.17</v>
      </c>
      <c r="H1006">
        <v>1</v>
      </c>
      <c r="I1006">
        <v>23</v>
      </c>
      <c r="J1006">
        <f t="shared" ref="J1006:J1037" si="55">IF(NOT(ISBLANK(F1006)),SQRT((F1006^2*1/H1006)/(F1006^2*1/H1006+1)),IF(NOT(ISBLANK(G1006)),SQRT((G1006*H1006/I1006)/(G1006*H1006/I1006+1)*SQRT(1/H1006))))</f>
        <v>0.85249251920888813</v>
      </c>
      <c r="K1006" s="2" t="s">
        <v>2519</v>
      </c>
      <c r="L1006" s="17">
        <v>1E-3</v>
      </c>
      <c r="M1006" s="2">
        <v>0</v>
      </c>
      <c r="N1006" s="2">
        <f t="shared" si="54"/>
        <v>0</v>
      </c>
    </row>
    <row r="1007" spans="1:15" x14ac:dyDescent="0.25">
      <c r="A1007" s="12" t="s">
        <v>881</v>
      </c>
      <c r="B1007" s="4" t="s">
        <v>2196</v>
      </c>
      <c r="C1007">
        <v>255</v>
      </c>
      <c r="D1007">
        <v>1</v>
      </c>
      <c r="G1007">
        <v>121.75</v>
      </c>
      <c r="H1007">
        <v>1</v>
      </c>
      <c r="I1007">
        <v>23</v>
      </c>
      <c r="J1007">
        <f t="shared" si="55"/>
        <v>0.91711796082004737</v>
      </c>
      <c r="K1007" s="2" t="s">
        <v>2519</v>
      </c>
      <c r="L1007" s="17">
        <v>1E-3</v>
      </c>
      <c r="M1007" s="2">
        <v>0</v>
      </c>
      <c r="N1007" s="2">
        <f t="shared" si="54"/>
        <v>0</v>
      </c>
    </row>
    <row r="1008" spans="1:15" x14ac:dyDescent="0.25">
      <c r="A1008" s="12" t="s">
        <v>882</v>
      </c>
      <c r="C1008">
        <v>255</v>
      </c>
      <c r="D1008">
        <v>1</v>
      </c>
      <c r="G1008">
        <v>6.38</v>
      </c>
      <c r="H1008">
        <v>1</v>
      </c>
      <c r="I1008">
        <v>23</v>
      </c>
      <c r="J1008">
        <f t="shared" si="55"/>
        <v>0.46599841940616082</v>
      </c>
      <c r="K1008" s="2">
        <v>1.9E-2</v>
      </c>
      <c r="L1008" s="17">
        <v>1.9E-2</v>
      </c>
      <c r="M1008" s="2">
        <v>0</v>
      </c>
      <c r="N1008" s="2">
        <f t="shared" si="54"/>
        <v>0</v>
      </c>
    </row>
    <row r="1009" spans="1:14" x14ac:dyDescent="0.25">
      <c r="A1009" s="12" t="s">
        <v>883</v>
      </c>
      <c r="C1009">
        <v>255</v>
      </c>
      <c r="D1009">
        <v>1</v>
      </c>
      <c r="G1009">
        <v>24.81</v>
      </c>
      <c r="H1009">
        <v>1</v>
      </c>
      <c r="I1009">
        <v>23</v>
      </c>
      <c r="J1009">
        <f t="shared" si="55"/>
        <v>0.72036733291545774</v>
      </c>
      <c r="K1009" s="2" t="s">
        <v>2519</v>
      </c>
      <c r="L1009" s="17">
        <v>1E-3</v>
      </c>
      <c r="M1009" s="2">
        <v>0</v>
      </c>
      <c r="N1009" s="2">
        <f t="shared" si="54"/>
        <v>0</v>
      </c>
    </row>
    <row r="1010" spans="1:14" x14ac:dyDescent="0.25">
      <c r="A1010" s="12" t="s">
        <v>884</v>
      </c>
      <c r="C1010">
        <v>255</v>
      </c>
      <c r="D1010">
        <v>1</v>
      </c>
      <c r="F1010">
        <v>4.21</v>
      </c>
      <c r="H1010">
        <v>23</v>
      </c>
      <c r="J1010">
        <f t="shared" si="55"/>
        <v>0.65971498396885608</v>
      </c>
      <c r="K1010" s="2" t="s">
        <v>2519</v>
      </c>
      <c r="L1010" s="17">
        <v>1E-3</v>
      </c>
      <c r="M1010" s="2">
        <v>0</v>
      </c>
      <c r="N1010" s="2">
        <f t="shared" si="54"/>
        <v>0</v>
      </c>
    </row>
    <row r="1011" spans="1:14" x14ac:dyDescent="0.25">
      <c r="A1011" s="12" t="s">
        <v>885</v>
      </c>
      <c r="C1011">
        <v>255</v>
      </c>
      <c r="D1011">
        <v>1</v>
      </c>
      <c r="F1011">
        <v>0.03</v>
      </c>
      <c r="H1011">
        <v>23</v>
      </c>
      <c r="J1011">
        <f t="shared" si="55"/>
        <v>6.2553100364087658E-3</v>
      </c>
      <c r="K1011" s="2">
        <v>0.98</v>
      </c>
      <c r="L1011" s="17">
        <v>0.98</v>
      </c>
      <c r="M1011" s="2">
        <v>0</v>
      </c>
      <c r="N1011" s="2">
        <f t="shared" si="54"/>
        <v>0</v>
      </c>
    </row>
    <row r="1012" spans="1:14" x14ac:dyDescent="0.25">
      <c r="A1012" s="12" t="s">
        <v>886</v>
      </c>
      <c r="C1012">
        <v>255</v>
      </c>
      <c r="D1012">
        <v>1</v>
      </c>
      <c r="G1012">
        <v>6.22</v>
      </c>
      <c r="H1012">
        <v>1</v>
      </c>
      <c r="I1012">
        <v>23</v>
      </c>
      <c r="J1012">
        <f t="shared" si="55"/>
        <v>0.46137609246635314</v>
      </c>
      <c r="K1012" s="2">
        <v>0.02</v>
      </c>
      <c r="L1012" s="17">
        <v>0.02</v>
      </c>
      <c r="M1012" s="2">
        <v>0</v>
      </c>
      <c r="N1012" s="2">
        <f t="shared" si="54"/>
        <v>0</v>
      </c>
    </row>
    <row r="1013" spans="1:14" x14ac:dyDescent="0.25">
      <c r="A1013" s="12" t="s">
        <v>887</v>
      </c>
      <c r="C1013">
        <v>255</v>
      </c>
      <c r="D1013">
        <v>1</v>
      </c>
      <c r="G1013">
        <v>4.2</v>
      </c>
      <c r="H1013">
        <v>1</v>
      </c>
      <c r="I1013">
        <v>23</v>
      </c>
      <c r="J1013">
        <f t="shared" si="55"/>
        <v>0.3929526239966879</v>
      </c>
      <c r="K1013" s="2">
        <v>5.1999999999999998E-2</v>
      </c>
      <c r="L1013" s="17">
        <v>5.1999999999999998E-2</v>
      </c>
      <c r="M1013" s="2">
        <v>0</v>
      </c>
      <c r="N1013" s="2">
        <f t="shared" si="54"/>
        <v>0</v>
      </c>
    </row>
    <row r="1014" spans="1:14" x14ac:dyDescent="0.25">
      <c r="A1014" s="12" t="s">
        <v>888</v>
      </c>
      <c r="C1014">
        <v>255</v>
      </c>
      <c r="D1014">
        <v>1</v>
      </c>
      <c r="F1014">
        <v>2.5099999999999998</v>
      </c>
      <c r="H1014">
        <v>23</v>
      </c>
      <c r="J1014">
        <f t="shared" si="55"/>
        <v>0.46370221474553924</v>
      </c>
      <c r="K1014" s="2">
        <v>1.9E-2</v>
      </c>
      <c r="L1014" s="17">
        <v>1.9E-2</v>
      </c>
      <c r="M1014" s="2">
        <v>0</v>
      </c>
      <c r="N1014" s="2">
        <f t="shared" si="54"/>
        <v>0</v>
      </c>
    </row>
    <row r="1015" spans="1:14" x14ac:dyDescent="0.25">
      <c r="A1015" s="12" t="s">
        <v>889</v>
      </c>
      <c r="C1015">
        <v>255</v>
      </c>
      <c r="D1015">
        <v>1</v>
      </c>
      <c r="F1015">
        <v>0.14000000000000001</v>
      </c>
      <c r="H1015">
        <v>23</v>
      </c>
      <c r="J1015">
        <f t="shared" si="55"/>
        <v>2.9179587573978944E-2</v>
      </c>
      <c r="K1015" s="2">
        <v>0.89400000000000002</v>
      </c>
      <c r="L1015" s="17">
        <v>0.89400000000000002</v>
      </c>
      <c r="M1015" s="2">
        <v>0</v>
      </c>
      <c r="N1015" s="2">
        <f t="shared" si="54"/>
        <v>0</v>
      </c>
    </row>
    <row r="1016" spans="1:14" x14ac:dyDescent="0.25">
      <c r="A1016" s="12" t="s">
        <v>890</v>
      </c>
      <c r="C1016">
        <v>255</v>
      </c>
      <c r="D1016">
        <v>1</v>
      </c>
      <c r="G1016">
        <v>5.43</v>
      </c>
      <c r="H1016">
        <v>1</v>
      </c>
      <c r="I1016">
        <v>46</v>
      </c>
      <c r="J1016">
        <f t="shared" si="55"/>
        <v>0.32493137820842932</v>
      </c>
      <c r="K1016" s="2">
        <v>2.4E-2</v>
      </c>
      <c r="L1016" s="17">
        <v>2.4E-2</v>
      </c>
      <c r="M1016" s="2">
        <v>0</v>
      </c>
      <c r="N1016" s="2">
        <f t="shared" si="54"/>
        <v>0</v>
      </c>
    </row>
    <row r="1017" spans="1:14" x14ac:dyDescent="0.25">
      <c r="A1017" s="12" t="s">
        <v>891</v>
      </c>
      <c r="C1017">
        <v>255</v>
      </c>
      <c r="D1017">
        <v>1</v>
      </c>
      <c r="G1017">
        <v>3.71</v>
      </c>
      <c r="H1017">
        <v>1</v>
      </c>
      <c r="I1017">
        <v>46</v>
      </c>
      <c r="J1017">
        <f t="shared" si="55"/>
        <v>0.27319017304758358</v>
      </c>
      <c r="K1017" s="2">
        <v>0.06</v>
      </c>
      <c r="L1017" s="17">
        <v>0.06</v>
      </c>
      <c r="M1017" s="2">
        <v>0</v>
      </c>
      <c r="N1017" s="2">
        <f t="shared" si="54"/>
        <v>0</v>
      </c>
    </row>
    <row r="1018" spans="1:14" x14ac:dyDescent="0.25">
      <c r="A1018" s="12" t="s">
        <v>892</v>
      </c>
      <c r="C1018">
        <v>255</v>
      </c>
      <c r="D1018">
        <v>1</v>
      </c>
      <c r="F1018">
        <v>1.93</v>
      </c>
      <c r="H1018">
        <v>28.1</v>
      </c>
      <c r="J1018">
        <f t="shared" si="55"/>
        <v>0.34211631472339127</v>
      </c>
      <c r="K1018" s="2">
        <v>6.4000000000000001E-2</v>
      </c>
      <c r="L1018" s="17">
        <v>6.4000000000000001E-2</v>
      </c>
      <c r="M1018" s="2">
        <v>0</v>
      </c>
      <c r="N1018" s="2">
        <f t="shared" si="54"/>
        <v>0</v>
      </c>
    </row>
    <row r="1019" spans="1:14" x14ac:dyDescent="0.25">
      <c r="A1019" s="12" t="s">
        <v>893</v>
      </c>
      <c r="C1019">
        <v>255</v>
      </c>
      <c r="D1019">
        <v>1</v>
      </c>
      <c r="F1019">
        <v>2.62</v>
      </c>
      <c r="H1019">
        <v>23</v>
      </c>
      <c r="J1019">
        <f t="shared" si="55"/>
        <v>0.47942910380339515</v>
      </c>
      <c r="K1019" s="2">
        <v>1.4999999999999999E-2</v>
      </c>
      <c r="L1019" s="17">
        <v>1.4999999999999999E-2</v>
      </c>
      <c r="M1019" s="2">
        <v>0</v>
      </c>
      <c r="N1019" s="2">
        <f t="shared" si="54"/>
        <v>0</v>
      </c>
    </row>
    <row r="1020" spans="1:14" x14ac:dyDescent="0.25">
      <c r="A1020" s="12" t="s">
        <v>894</v>
      </c>
      <c r="C1020">
        <v>255</v>
      </c>
      <c r="D1020">
        <v>1</v>
      </c>
      <c r="F1020">
        <v>0.56000000000000005</v>
      </c>
      <c r="H1020">
        <v>23</v>
      </c>
      <c r="J1020">
        <f t="shared" si="55"/>
        <v>0.1159800673428989</v>
      </c>
      <c r="K1020" s="2">
        <v>0.57999999999999996</v>
      </c>
      <c r="L1020" s="17">
        <v>0.57999999999999996</v>
      </c>
      <c r="M1020" s="2">
        <v>0</v>
      </c>
      <c r="N1020" s="2">
        <f t="shared" si="54"/>
        <v>0</v>
      </c>
    </row>
    <row r="1021" spans="1:14" x14ac:dyDescent="0.25">
      <c r="A1021" s="12" t="s">
        <v>895</v>
      </c>
      <c r="C1021">
        <v>255</v>
      </c>
      <c r="D1021">
        <v>1</v>
      </c>
      <c r="F1021">
        <v>2.31</v>
      </c>
      <c r="H1021">
        <v>23</v>
      </c>
      <c r="J1021">
        <f t="shared" si="55"/>
        <v>0.43395224715889491</v>
      </c>
      <c r="K1021" s="2">
        <v>3.1E-2</v>
      </c>
      <c r="L1021" s="17">
        <v>3.1E-2</v>
      </c>
      <c r="M1021" s="2">
        <v>0</v>
      </c>
      <c r="N1021" s="2">
        <f t="shared" si="54"/>
        <v>0</v>
      </c>
    </row>
    <row r="1022" spans="1:14" x14ac:dyDescent="0.25">
      <c r="A1022" s="12" t="s">
        <v>896</v>
      </c>
      <c r="C1022">
        <v>255</v>
      </c>
      <c r="D1022">
        <v>1</v>
      </c>
      <c r="G1022">
        <v>4.4800000000000004</v>
      </c>
      <c r="H1022">
        <v>1</v>
      </c>
      <c r="I1022">
        <v>43</v>
      </c>
      <c r="J1022">
        <f t="shared" si="55"/>
        <v>0.30717343327978353</v>
      </c>
      <c r="K1022" s="2">
        <v>0.04</v>
      </c>
      <c r="L1022" s="17">
        <v>0.04</v>
      </c>
      <c r="M1022" s="2">
        <v>0</v>
      </c>
      <c r="N1022" s="2">
        <f t="shared" si="54"/>
        <v>0</v>
      </c>
    </row>
    <row r="1023" spans="1:14" x14ac:dyDescent="0.25">
      <c r="A1023" s="12" t="s">
        <v>897</v>
      </c>
      <c r="C1023">
        <v>255</v>
      </c>
      <c r="D1023">
        <v>1</v>
      </c>
      <c r="G1023">
        <v>3.16</v>
      </c>
      <c r="H1023">
        <v>1</v>
      </c>
      <c r="I1023">
        <v>41</v>
      </c>
      <c r="J1023">
        <f t="shared" si="55"/>
        <v>0.26750321683017714</v>
      </c>
      <c r="K1023" s="2">
        <v>8.3000000000000004E-2</v>
      </c>
      <c r="L1023" s="17">
        <v>8.3000000000000004E-2</v>
      </c>
      <c r="M1023" s="2">
        <v>0</v>
      </c>
      <c r="N1023" s="2">
        <f t="shared" si="54"/>
        <v>0</v>
      </c>
    </row>
    <row r="1024" spans="1:14" x14ac:dyDescent="0.25">
      <c r="A1024" s="12" t="s">
        <v>898</v>
      </c>
      <c r="C1024">
        <v>255</v>
      </c>
      <c r="D1024">
        <v>1</v>
      </c>
      <c r="G1024">
        <v>9.1199999999999992</v>
      </c>
      <c r="H1024">
        <v>1</v>
      </c>
      <c r="I1024">
        <v>43</v>
      </c>
      <c r="J1024">
        <f t="shared" si="55"/>
        <v>0.41830708039344833</v>
      </c>
      <c r="K1024" s="2">
        <v>4.0000000000000001E-3</v>
      </c>
      <c r="L1024" s="17">
        <v>4.0000000000000001E-3</v>
      </c>
      <c r="M1024" s="2">
        <v>0</v>
      </c>
      <c r="N1024" s="2">
        <f t="shared" si="54"/>
        <v>0</v>
      </c>
    </row>
    <row r="1025" spans="1:15" x14ac:dyDescent="0.25">
      <c r="A1025" s="12" t="s">
        <v>899</v>
      </c>
      <c r="C1025">
        <v>255</v>
      </c>
      <c r="D1025">
        <v>1</v>
      </c>
      <c r="G1025">
        <v>6.99</v>
      </c>
      <c r="H1025">
        <v>1</v>
      </c>
      <c r="I1025">
        <v>43</v>
      </c>
      <c r="J1025">
        <f t="shared" si="55"/>
        <v>0.3739357773644007</v>
      </c>
      <c r="K1025" s="2">
        <v>1.0999999999999999E-2</v>
      </c>
      <c r="L1025" s="17">
        <v>1.0999999999999999E-2</v>
      </c>
      <c r="M1025" s="2">
        <v>0</v>
      </c>
      <c r="N1025" s="2">
        <f t="shared" si="54"/>
        <v>0</v>
      </c>
    </row>
    <row r="1026" spans="1:15" x14ac:dyDescent="0.25">
      <c r="A1026" s="12" t="s">
        <v>900</v>
      </c>
      <c r="C1026">
        <v>255</v>
      </c>
      <c r="D1026">
        <v>1</v>
      </c>
      <c r="G1026">
        <v>4.55</v>
      </c>
      <c r="H1026">
        <v>1</v>
      </c>
      <c r="I1026">
        <v>43</v>
      </c>
      <c r="J1026">
        <f t="shared" si="55"/>
        <v>0.30933598026352205</v>
      </c>
      <c r="K1026" s="2">
        <v>3.9E-2</v>
      </c>
      <c r="L1026" s="17">
        <v>3.9E-2</v>
      </c>
      <c r="M1026" s="2">
        <v>0</v>
      </c>
      <c r="N1026" s="2">
        <f t="shared" si="54"/>
        <v>0</v>
      </c>
    </row>
    <row r="1027" spans="1:15" x14ac:dyDescent="0.25">
      <c r="A1027" s="12" t="s">
        <v>901</v>
      </c>
      <c r="C1027">
        <v>255</v>
      </c>
      <c r="D1027">
        <v>1</v>
      </c>
      <c r="G1027">
        <v>5.19</v>
      </c>
      <c r="H1027">
        <v>1</v>
      </c>
      <c r="I1027">
        <v>41</v>
      </c>
      <c r="J1027">
        <f t="shared" si="55"/>
        <v>0.33520439005661601</v>
      </c>
      <c r="K1027" s="2">
        <v>2.8000000000000001E-2</v>
      </c>
      <c r="L1027" s="17">
        <v>2.8000000000000001E-2</v>
      </c>
      <c r="M1027" s="2">
        <v>0</v>
      </c>
      <c r="N1027" s="2">
        <f t="shared" si="54"/>
        <v>0</v>
      </c>
    </row>
    <row r="1028" spans="1:15" x14ac:dyDescent="0.25">
      <c r="A1028" s="12" t="s">
        <v>902</v>
      </c>
      <c r="C1028">
        <v>260</v>
      </c>
      <c r="D1028">
        <v>1</v>
      </c>
      <c r="G1028">
        <v>40.03</v>
      </c>
      <c r="H1028">
        <v>1.56</v>
      </c>
      <c r="I1028">
        <v>71.59</v>
      </c>
      <c r="J1028">
        <f t="shared" si="55"/>
        <v>0.61074781114012788</v>
      </c>
      <c r="K1028" s="2" t="s">
        <v>2161</v>
      </c>
      <c r="L1028" s="17">
        <v>1E-4</v>
      </c>
      <c r="M1028" s="2" t="s">
        <v>2558</v>
      </c>
      <c r="N1028" s="2" t="s">
        <v>2558</v>
      </c>
      <c r="O1028" t="s">
        <v>2135</v>
      </c>
    </row>
    <row r="1029" spans="1:15" x14ac:dyDescent="0.25">
      <c r="A1029" s="12" t="s">
        <v>903</v>
      </c>
      <c r="C1029">
        <v>260</v>
      </c>
      <c r="D1029">
        <v>1</v>
      </c>
      <c r="G1029">
        <v>12.79</v>
      </c>
      <c r="H1029">
        <v>1.56</v>
      </c>
      <c r="I1029">
        <v>71.59</v>
      </c>
      <c r="J1029">
        <f t="shared" si="55"/>
        <v>0.41773924230446868</v>
      </c>
      <c r="K1029" s="2" t="s">
        <v>2161</v>
      </c>
      <c r="L1029" s="17">
        <v>1E-4</v>
      </c>
      <c r="M1029" s="2" t="s">
        <v>2558</v>
      </c>
      <c r="N1029" s="2" t="s">
        <v>2558</v>
      </c>
    </row>
    <row r="1030" spans="1:15" x14ac:dyDescent="0.25">
      <c r="A1030" s="12" t="s">
        <v>904</v>
      </c>
      <c r="C1030">
        <v>260</v>
      </c>
      <c r="D1030">
        <v>1</v>
      </c>
      <c r="G1030">
        <v>17.59</v>
      </c>
      <c r="H1030">
        <v>1</v>
      </c>
      <c r="I1030">
        <v>46</v>
      </c>
      <c r="J1030">
        <f t="shared" si="55"/>
        <v>0.52594279165846503</v>
      </c>
      <c r="K1030" s="2" t="s">
        <v>2136</v>
      </c>
      <c r="L1030" s="17">
        <v>1E-3</v>
      </c>
      <c r="M1030" s="2" t="s">
        <v>2558</v>
      </c>
      <c r="N1030" s="2" t="s">
        <v>2558</v>
      </c>
    </row>
    <row r="1031" spans="1:15" x14ac:dyDescent="0.25">
      <c r="A1031" s="12" t="s">
        <v>905</v>
      </c>
      <c r="C1031">
        <v>260</v>
      </c>
      <c r="D1031">
        <v>1</v>
      </c>
      <c r="G1031">
        <v>7.41</v>
      </c>
      <c r="H1031">
        <v>1</v>
      </c>
      <c r="I1031">
        <v>46</v>
      </c>
      <c r="J1031">
        <f t="shared" si="55"/>
        <v>0.37247558850608264</v>
      </c>
      <c r="K1031" s="2">
        <v>8.9999999999999993E-3</v>
      </c>
      <c r="L1031" s="17">
        <v>8.9999999999999993E-3</v>
      </c>
      <c r="M1031" s="2" t="s">
        <v>2558</v>
      </c>
      <c r="N1031" s="2" t="s">
        <v>2558</v>
      </c>
    </row>
    <row r="1032" spans="1:15" x14ac:dyDescent="0.25">
      <c r="A1032" s="12" t="s">
        <v>906</v>
      </c>
      <c r="C1032">
        <v>260</v>
      </c>
      <c r="D1032">
        <v>1</v>
      </c>
      <c r="G1032">
        <v>9.43</v>
      </c>
      <c r="H1032">
        <v>1</v>
      </c>
      <c r="I1032">
        <v>46</v>
      </c>
      <c r="J1032">
        <f t="shared" si="55"/>
        <v>0.41246149072101362</v>
      </c>
      <c r="K1032" s="2">
        <v>4.0000000000000001E-3</v>
      </c>
      <c r="L1032" s="17">
        <v>4.0000000000000001E-3</v>
      </c>
      <c r="M1032" s="2" t="s">
        <v>2558</v>
      </c>
      <c r="N1032" s="2" t="s">
        <v>2558</v>
      </c>
    </row>
    <row r="1033" spans="1:15" x14ac:dyDescent="0.25">
      <c r="A1033" s="12" t="s">
        <v>907</v>
      </c>
      <c r="C1033">
        <v>260</v>
      </c>
      <c r="D1033">
        <v>1</v>
      </c>
      <c r="G1033">
        <v>21.68</v>
      </c>
      <c r="H1033">
        <v>1</v>
      </c>
      <c r="I1033">
        <v>43</v>
      </c>
      <c r="J1033">
        <f t="shared" si="55"/>
        <v>0.57895476585214034</v>
      </c>
      <c r="K1033" s="2" t="s">
        <v>2161</v>
      </c>
      <c r="L1033" s="17">
        <v>1E-4</v>
      </c>
      <c r="M1033" s="2" t="s">
        <v>2558</v>
      </c>
      <c r="N1033" s="2" t="s">
        <v>2558</v>
      </c>
    </row>
    <row r="1034" spans="1:15" x14ac:dyDescent="0.25">
      <c r="A1034" s="12" t="s">
        <v>908</v>
      </c>
      <c r="C1034">
        <v>260</v>
      </c>
      <c r="D1034">
        <v>1</v>
      </c>
      <c r="G1034">
        <v>41.95</v>
      </c>
      <c r="H1034">
        <v>1.55</v>
      </c>
      <c r="I1034">
        <v>66.680000000000007</v>
      </c>
      <c r="J1034">
        <f t="shared" si="55"/>
        <v>0.62972639576636524</v>
      </c>
      <c r="K1034" s="2" t="s">
        <v>2197</v>
      </c>
      <c r="L1034" s="17">
        <v>1.0000000000000001E-5</v>
      </c>
      <c r="M1034" s="2" t="s">
        <v>2558</v>
      </c>
      <c r="N1034" s="2" t="s">
        <v>2558</v>
      </c>
    </row>
    <row r="1035" spans="1:15" x14ac:dyDescent="0.25">
      <c r="A1035" s="12" t="s">
        <v>909</v>
      </c>
      <c r="C1035">
        <v>260</v>
      </c>
      <c r="D1035">
        <v>1</v>
      </c>
      <c r="G1035">
        <v>10.82</v>
      </c>
      <c r="H1035">
        <v>1.55</v>
      </c>
      <c r="I1035">
        <v>66.680000000000007</v>
      </c>
      <c r="J1035">
        <f t="shared" si="55"/>
        <v>0.40177303185341051</v>
      </c>
      <c r="K1035" s="2" t="s">
        <v>2136</v>
      </c>
      <c r="L1035" s="17">
        <v>1E-3</v>
      </c>
      <c r="M1035" s="2" t="s">
        <v>2558</v>
      </c>
      <c r="N1035" s="2" t="s">
        <v>2558</v>
      </c>
    </row>
    <row r="1036" spans="1:15" x14ac:dyDescent="0.25">
      <c r="A1036" s="12" t="s">
        <v>910</v>
      </c>
      <c r="C1036">
        <v>260</v>
      </c>
      <c r="D1036">
        <v>1</v>
      </c>
      <c r="G1036">
        <v>20.71</v>
      </c>
      <c r="H1036">
        <v>1</v>
      </c>
      <c r="I1036">
        <v>43</v>
      </c>
      <c r="J1036">
        <f t="shared" si="55"/>
        <v>0.57014621679267052</v>
      </c>
      <c r="K1036" s="2" t="s">
        <v>2161</v>
      </c>
      <c r="L1036" s="17">
        <v>1E-4</v>
      </c>
      <c r="M1036" s="2" t="s">
        <v>2558</v>
      </c>
      <c r="N1036" s="2" t="s">
        <v>2558</v>
      </c>
    </row>
    <row r="1037" spans="1:15" x14ac:dyDescent="0.25">
      <c r="A1037" s="12" t="s">
        <v>911</v>
      </c>
      <c r="C1037">
        <v>260</v>
      </c>
      <c r="D1037">
        <v>1</v>
      </c>
      <c r="E1037">
        <v>0</v>
      </c>
      <c r="J1037" t="b">
        <f t="shared" si="55"/>
        <v>0</v>
      </c>
    </row>
    <row r="1038" spans="1:15" x14ac:dyDescent="0.25">
      <c r="A1038" s="12" t="s">
        <v>2496</v>
      </c>
      <c r="C1038">
        <v>262</v>
      </c>
      <c r="G1038">
        <v>82.32</v>
      </c>
      <c r="H1038">
        <v>199</v>
      </c>
      <c r="J1038" t="e">
        <f t="shared" ref="J1038:J1051" si="56">IF(NOT(ISBLANK(F1038)),SQRT((F1038^2*1/H1038)/(F1038^2*1/H1038+1)),IF(NOT(ISBLANK(G1038)),SQRT((G1038*H1038/I1038)/(G1038*H1038/I1038+1)*SQRT(1/H1038))))</f>
        <v>#DIV/0!</v>
      </c>
      <c r="K1038" s="2" t="s">
        <v>2174</v>
      </c>
      <c r="L1038" s="17">
        <v>1E-3</v>
      </c>
      <c r="M1038" s="2" t="s">
        <v>2558</v>
      </c>
      <c r="N1038" s="2" t="s">
        <v>2558</v>
      </c>
      <c r="O1038" t="s">
        <v>2511</v>
      </c>
    </row>
    <row r="1039" spans="1:15" x14ac:dyDescent="0.25">
      <c r="A1039" s="12" t="s">
        <v>2497</v>
      </c>
      <c r="C1039">
        <v>262</v>
      </c>
      <c r="G1039">
        <v>34.97</v>
      </c>
      <c r="H1039">
        <v>199</v>
      </c>
      <c r="J1039" t="e">
        <f t="shared" si="56"/>
        <v>#DIV/0!</v>
      </c>
      <c r="K1039" s="2" t="s">
        <v>2174</v>
      </c>
      <c r="L1039" s="17">
        <v>1E-3</v>
      </c>
      <c r="M1039" s="2" t="s">
        <v>2558</v>
      </c>
      <c r="N1039" s="2" t="s">
        <v>2558</v>
      </c>
    </row>
    <row r="1040" spans="1:15" x14ac:dyDescent="0.25">
      <c r="A1040" s="12" t="s">
        <v>2498</v>
      </c>
      <c r="C1040">
        <v>262</v>
      </c>
      <c r="G1040">
        <v>36.85</v>
      </c>
      <c r="H1040">
        <v>199</v>
      </c>
      <c r="J1040" t="e">
        <f t="shared" si="56"/>
        <v>#DIV/0!</v>
      </c>
      <c r="K1040" s="2" t="s">
        <v>2174</v>
      </c>
      <c r="L1040" s="17">
        <v>1E-3</v>
      </c>
      <c r="M1040" s="2" t="s">
        <v>2558</v>
      </c>
      <c r="N1040" s="2" t="s">
        <v>2558</v>
      </c>
    </row>
    <row r="1041" spans="1:16" x14ac:dyDescent="0.25">
      <c r="A1041" s="12" t="s">
        <v>2499</v>
      </c>
      <c r="C1041">
        <v>262</v>
      </c>
      <c r="G1041">
        <v>89.42</v>
      </c>
      <c r="H1041">
        <v>199</v>
      </c>
      <c r="J1041" t="e">
        <f t="shared" si="56"/>
        <v>#DIV/0!</v>
      </c>
      <c r="K1041" s="2" t="s">
        <v>2174</v>
      </c>
      <c r="L1041" s="17">
        <v>1E-3</v>
      </c>
      <c r="M1041" s="2" t="s">
        <v>2558</v>
      </c>
      <c r="N1041" s="2" t="s">
        <v>2558</v>
      </c>
    </row>
    <row r="1042" spans="1:16" x14ac:dyDescent="0.25">
      <c r="A1042" s="12" t="s">
        <v>2500</v>
      </c>
      <c r="C1042">
        <v>262</v>
      </c>
      <c r="G1042">
        <v>13.46</v>
      </c>
      <c r="H1042">
        <v>199</v>
      </c>
      <c r="J1042" t="e">
        <f t="shared" si="56"/>
        <v>#DIV/0!</v>
      </c>
      <c r="K1042" s="2" t="s">
        <v>2174</v>
      </c>
      <c r="L1042" s="17">
        <v>1E-3</v>
      </c>
      <c r="M1042" s="2" t="s">
        <v>2558</v>
      </c>
      <c r="N1042" s="2" t="s">
        <v>2558</v>
      </c>
    </row>
    <row r="1043" spans="1:16" x14ac:dyDescent="0.25">
      <c r="A1043" s="12" t="s">
        <v>2501</v>
      </c>
      <c r="C1043">
        <v>262</v>
      </c>
      <c r="G1043">
        <v>94.8</v>
      </c>
      <c r="H1043">
        <v>198</v>
      </c>
      <c r="J1043" t="e">
        <f t="shared" si="56"/>
        <v>#DIV/0!</v>
      </c>
      <c r="K1043" s="2" t="s">
        <v>2174</v>
      </c>
      <c r="L1043" s="17">
        <v>1E-3</v>
      </c>
      <c r="M1043" s="2" t="s">
        <v>2558</v>
      </c>
      <c r="N1043" s="2" t="s">
        <v>2558</v>
      </c>
    </row>
    <row r="1044" spans="1:16" x14ac:dyDescent="0.25">
      <c r="A1044" s="12" t="s">
        <v>2502</v>
      </c>
      <c r="C1044">
        <v>262</v>
      </c>
      <c r="G1044">
        <v>1.1200000000000001</v>
      </c>
      <c r="H1044">
        <v>198</v>
      </c>
      <c r="J1044" t="e">
        <f t="shared" si="56"/>
        <v>#DIV/0!</v>
      </c>
      <c r="K1044" s="2">
        <v>0.28999999999999998</v>
      </c>
      <c r="L1044" s="17">
        <v>0.28999999999999998</v>
      </c>
      <c r="M1044" s="2" t="s">
        <v>2558</v>
      </c>
      <c r="N1044" s="2" t="s">
        <v>2558</v>
      </c>
    </row>
    <row r="1045" spans="1:16" x14ac:dyDescent="0.25">
      <c r="A1045" s="12" t="s">
        <v>2503</v>
      </c>
      <c r="C1045">
        <v>262</v>
      </c>
      <c r="G1045">
        <v>6.95</v>
      </c>
      <c r="H1045">
        <v>198</v>
      </c>
      <c r="J1045" t="e">
        <f t="shared" si="56"/>
        <v>#DIV/0!</v>
      </c>
      <c r="K1045" s="2">
        <v>5.0000000000000001E-3</v>
      </c>
      <c r="L1045" s="17">
        <v>5.0000000000000001E-3</v>
      </c>
      <c r="M1045" s="2" t="s">
        <v>2558</v>
      </c>
      <c r="N1045" s="2" t="s">
        <v>2558</v>
      </c>
    </row>
    <row r="1046" spans="1:16" x14ac:dyDescent="0.25">
      <c r="A1046" s="12" t="s">
        <v>2504</v>
      </c>
      <c r="C1046">
        <v>262</v>
      </c>
      <c r="D1046">
        <v>0</v>
      </c>
      <c r="J1046" t="b">
        <f t="shared" si="56"/>
        <v>0</v>
      </c>
      <c r="K1046" s="2">
        <v>1.4999999999999999E-2</v>
      </c>
      <c r="L1046" s="17">
        <v>1.4999999999999999E-2</v>
      </c>
    </row>
    <row r="1047" spans="1:16" x14ac:dyDescent="0.25">
      <c r="A1047" s="12" t="s">
        <v>2505</v>
      </c>
      <c r="C1047">
        <v>262</v>
      </c>
      <c r="D1047">
        <v>0</v>
      </c>
      <c r="J1047" t="b">
        <f t="shared" si="56"/>
        <v>0</v>
      </c>
      <c r="K1047" s="2">
        <v>0.02</v>
      </c>
      <c r="L1047" s="17">
        <v>0.02</v>
      </c>
    </row>
    <row r="1048" spans="1:16" x14ac:dyDescent="0.25">
      <c r="A1048" s="12" t="s">
        <v>2506</v>
      </c>
      <c r="C1048">
        <v>262</v>
      </c>
      <c r="G1048">
        <v>93.02</v>
      </c>
      <c r="H1048">
        <v>198</v>
      </c>
      <c r="J1048" t="e">
        <f t="shared" si="56"/>
        <v>#DIV/0!</v>
      </c>
      <c r="K1048" s="2" t="s">
        <v>2174</v>
      </c>
      <c r="L1048" s="17">
        <v>1E-3</v>
      </c>
      <c r="M1048" s="2" t="s">
        <v>2558</v>
      </c>
      <c r="N1048" s="2" t="s">
        <v>2558</v>
      </c>
    </row>
    <row r="1049" spans="1:16" x14ac:dyDescent="0.25">
      <c r="A1049" s="12" t="s">
        <v>2507</v>
      </c>
      <c r="C1049">
        <v>262</v>
      </c>
      <c r="G1049">
        <v>2.4</v>
      </c>
      <c r="H1049">
        <v>197</v>
      </c>
      <c r="J1049" t="e">
        <f t="shared" si="56"/>
        <v>#DIV/0!</v>
      </c>
      <c r="K1049" s="2">
        <v>0.12</v>
      </c>
      <c r="L1049" s="17">
        <v>0.12</v>
      </c>
      <c r="M1049" s="2" t="s">
        <v>2558</v>
      </c>
      <c r="N1049" s="2" t="s">
        <v>2558</v>
      </c>
    </row>
    <row r="1050" spans="1:16" x14ac:dyDescent="0.25">
      <c r="A1050" s="12" t="s">
        <v>2508</v>
      </c>
      <c r="C1050">
        <v>262</v>
      </c>
      <c r="J1050">
        <v>0.16</v>
      </c>
      <c r="K1050" s="2">
        <v>0.12</v>
      </c>
      <c r="L1050" s="17">
        <v>0.12</v>
      </c>
      <c r="P1050" s="2" t="s">
        <v>2560</v>
      </c>
    </row>
    <row r="1051" spans="1:16" x14ac:dyDescent="0.25">
      <c r="A1051" s="12" t="s">
        <v>2509</v>
      </c>
      <c r="C1051">
        <v>262</v>
      </c>
      <c r="G1051">
        <v>1.47</v>
      </c>
      <c r="H1051">
        <v>197</v>
      </c>
      <c r="J1051" t="e">
        <f t="shared" si="56"/>
        <v>#DIV/0!</v>
      </c>
      <c r="K1051" s="2">
        <v>0.23</v>
      </c>
      <c r="L1051" s="17">
        <v>0.23</v>
      </c>
      <c r="M1051" s="2" t="s">
        <v>2558</v>
      </c>
      <c r="N1051" s="2" t="s">
        <v>2558</v>
      </c>
    </row>
    <row r="1052" spans="1:16" x14ac:dyDescent="0.25">
      <c r="A1052" s="12" t="s">
        <v>2510</v>
      </c>
      <c r="C1052">
        <v>262</v>
      </c>
      <c r="J1052">
        <v>0.12</v>
      </c>
      <c r="K1052" s="2">
        <v>0.23</v>
      </c>
      <c r="L1052" s="17">
        <v>0.23</v>
      </c>
      <c r="P1052" s="2" t="s">
        <v>2560</v>
      </c>
    </row>
    <row r="1053" spans="1:16" x14ac:dyDescent="0.25">
      <c r="A1053" s="12" t="s">
        <v>912</v>
      </c>
      <c r="C1053">
        <v>263</v>
      </c>
      <c r="D1053">
        <v>1</v>
      </c>
      <c r="F1053">
        <v>4.0030000000000001</v>
      </c>
      <c r="H1053">
        <v>84</v>
      </c>
      <c r="J1053">
        <f>IF(NOT(ISBLANK(F1053)),SQRT((F1053^2*1/H1053)/(F1053^2*1/H1053+1)),IF(NOT(ISBLANK(G1053)),SQRT((G1053*H1053/I1053)/(G1053*H1053/I1053+1)*SQRT(1/H1053))))</f>
        <v>0.40025195463773516</v>
      </c>
      <c r="K1053" s="2" t="s">
        <v>2517</v>
      </c>
      <c r="L1053" s="17">
        <v>1E-3</v>
      </c>
      <c r="M1053" s="2">
        <v>0</v>
      </c>
      <c r="N1053" s="2">
        <f t="shared" si="54"/>
        <v>0</v>
      </c>
    </row>
    <row r="1054" spans="1:16" x14ac:dyDescent="0.25">
      <c r="A1054" s="12" t="s">
        <v>913</v>
      </c>
      <c r="C1054">
        <v>263</v>
      </c>
      <c r="D1054">
        <v>1</v>
      </c>
      <c r="F1054">
        <v>3.1110000000000002</v>
      </c>
      <c r="H1054">
        <v>84</v>
      </c>
      <c r="J1054">
        <f>IF(NOT(ISBLANK(F1054)),SQRT((F1054^2*1/H1054)/(F1054^2*1/H1054+1)),IF(NOT(ISBLANK(G1054)),SQRT((G1054*H1054/I1054)/(G1054*H1054/I1054+1)*SQRT(1/H1054))))</f>
        <v>0.32142559904698886</v>
      </c>
      <c r="K1054" s="2" t="s">
        <v>2539</v>
      </c>
      <c r="L1054" s="17">
        <v>3.0000000000000001E-3</v>
      </c>
      <c r="M1054" s="2">
        <v>0</v>
      </c>
      <c r="N1054" s="2">
        <f t="shared" si="54"/>
        <v>0</v>
      </c>
    </row>
    <row r="1055" spans="1:16" x14ac:dyDescent="0.25">
      <c r="A1055" s="12" t="s">
        <v>914</v>
      </c>
      <c r="C1055">
        <v>263</v>
      </c>
      <c r="D1055">
        <v>1</v>
      </c>
      <c r="J1055">
        <v>0.48599999999999999</v>
      </c>
      <c r="K1055" s="2" t="s">
        <v>2517</v>
      </c>
      <c r="L1055" s="17">
        <v>1E-3</v>
      </c>
      <c r="P1055" s="2" t="s">
        <v>2560</v>
      </c>
    </row>
    <row r="1056" spans="1:16" x14ac:dyDescent="0.25">
      <c r="A1056" s="12" t="s">
        <v>915</v>
      </c>
      <c r="C1056">
        <v>263</v>
      </c>
      <c r="D1056">
        <v>1</v>
      </c>
      <c r="G1056">
        <v>19.053000000000001</v>
      </c>
      <c r="H1056">
        <v>1</v>
      </c>
      <c r="I1056">
        <v>78</v>
      </c>
      <c r="J1056">
        <f>IF(NOT(ISBLANK(F1056)),SQRT((F1056^2*1/H1056)/(F1056^2*1/H1056+1)),IF(NOT(ISBLANK(G1056)),SQRT((G1056*H1056/I1056)/(G1056*H1056/I1056+1)*SQRT(1/H1056))))</f>
        <v>0.4430749544812409</v>
      </c>
      <c r="K1056" s="2" t="s">
        <v>2517</v>
      </c>
      <c r="L1056" s="17">
        <v>1E-3</v>
      </c>
      <c r="M1056" s="2">
        <v>0</v>
      </c>
      <c r="N1056" s="2">
        <f t="shared" si="54"/>
        <v>0</v>
      </c>
    </row>
    <row r="1057" spans="1:16" x14ac:dyDescent="0.25">
      <c r="A1057" s="12" t="s">
        <v>916</v>
      </c>
      <c r="C1057">
        <v>263</v>
      </c>
      <c r="D1057">
        <v>1</v>
      </c>
      <c r="G1057">
        <v>12.746</v>
      </c>
      <c r="H1057">
        <v>1</v>
      </c>
      <c r="I1057">
        <v>78</v>
      </c>
      <c r="J1057">
        <f>IF(NOT(ISBLANK(F1057)),SQRT((F1057^2*1/H1057)/(F1057^2*1/H1057+1)),IF(NOT(ISBLANK(G1057)),SQRT((G1057*H1057/I1057)/(G1057*H1057/I1057+1)*SQRT(1/H1057))))</f>
        <v>0.37477724266425855</v>
      </c>
      <c r="K1057" s="2">
        <v>1E-3</v>
      </c>
      <c r="L1057" s="17">
        <v>1E-3</v>
      </c>
      <c r="M1057" s="2">
        <v>0</v>
      </c>
      <c r="N1057" s="2">
        <f t="shared" si="54"/>
        <v>0</v>
      </c>
    </row>
    <row r="1058" spans="1:16" x14ac:dyDescent="0.25">
      <c r="A1058" s="12" t="s">
        <v>917</v>
      </c>
      <c r="C1058">
        <v>263</v>
      </c>
      <c r="D1058">
        <v>1</v>
      </c>
      <c r="J1058">
        <v>0.47</v>
      </c>
      <c r="K1058" s="2" t="s">
        <v>2517</v>
      </c>
      <c r="L1058" s="17">
        <v>1E-3</v>
      </c>
      <c r="P1058" s="2" t="s">
        <v>2560</v>
      </c>
    </row>
    <row r="1059" spans="1:16" x14ac:dyDescent="0.25">
      <c r="A1059" s="12" t="s">
        <v>918</v>
      </c>
      <c r="C1059">
        <v>264</v>
      </c>
      <c r="D1059">
        <v>1</v>
      </c>
      <c r="E1059">
        <v>0</v>
      </c>
      <c r="J1059" t="b">
        <f t="shared" ref="J1059:J1090" si="57">IF(NOT(ISBLANK(F1059)),SQRT((F1059^2*1/H1059)/(F1059^2*1/H1059+1)),IF(NOT(ISBLANK(G1059)),SQRT((G1059*H1059/I1059)/(G1059*H1059/I1059+1)*SQRT(1/H1059))))</f>
        <v>0</v>
      </c>
      <c r="K1059" s="2">
        <v>2.5999999999999999E-2</v>
      </c>
      <c r="L1059" s="17">
        <v>2.5999999999999999E-2</v>
      </c>
    </row>
    <row r="1060" spans="1:16" x14ac:dyDescent="0.25">
      <c r="A1060" s="12" t="s">
        <v>919</v>
      </c>
      <c r="C1060">
        <v>264</v>
      </c>
      <c r="D1060">
        <v>1</v>
      </c>
      <c r="E1060">
        <v>0</v>
      </c>
      <c r="J1060" t="b">
        <f t="shared" si="57"/>
        <v>0</v>
      </c>
      <c r="K1060" s="2">
        <v>1.4999999999999999E-2</v>
      </c>
      <c r="L1060" s="17">
        <v>1.4999999999999999E-2</v>
      </c>
    </row>
    <row r="1061" spans="1:16" x14ac:dyDescent="0.25">
      <c r="A1061" s="12" t="s">
        <v>920</v>
      </c>
      <c r="C1061">
        <v>264</v>
      </c>
      <c r="D1061">
        <v>1</v>
      </c>
      <c r="E1061">
        <v>0</v>
      </c>
      <c r="J1061" t="b">
        <f t="shared" si="57"/>
        <v>0</v>
      </c>
      <c r="K1061" s="2">
        <v>7.3999999999999996E-2</v>
      </c>
      <c r="L1061" s="17">
        <v>7.3999999999999996E-2</v>
      </c>
    </row>
    <row r="1062" spans="1:16" x14ac:dyDescent="0.25">
      <c r="A1062" s="12" t="s">
        <v>921</v>
      </c>
      <c r="B1062" t="s">
        <v>2198</v>
      </c>
      <c r="C1062">
        <v>264</v>
      </c>
      <c r="D1062">
        <v>1</v>
      </c>
      <c r="E1062">
        <v>0</v>
      </c>
      <c r="J1062" t="b">
        <f t="shared" si="57"/>
        <v>0</v>
      </c>
      <c r="K1062" s="2">
        <v>9.8000000000000004E-2</v>
      </c>
      <c r="L1062" s="17">
        <v>9.8000000000000004E-2</v>
      </c>
    </row>
    <row r="1063" spans="1:16" x14ac:dyDescent="0.25">
      <c r="A1063" s="12" t="s">
        <v>922</v>
      </c>
      <c r="B1063" t="s">
        <v>2199</v>
      </c>
      <c r="C1063">
        <v>264</v>
      </c>
      <c r="D1063">
        <v>1</v>
      </c>
      <c r="E1063">
        <v>0</v>
      </c>
      <c r="J1063" t="b">
        <f t="shared" si="57"/>
        <v>0</v>
      </c>
      <c r="K1063" s="2">
        <v>1.7000000000000001E-2</v>
      </c>
      <c r="L1063" s="17">
        <v>1.7000000000000001E-2</v>
      </c>
    </row>
    <row r="1064" spans="1:16" x14ac:dyDescent="0.25">
      <c r="A1064" s="12" t="s">
        <v>923</v>
      </c>
      <c r="C1064">
        <v>264</v>
      </c>
      <c r="D1064">
        <v>1</v>
      </c>
      <c r="E1064">
        <v>0</v>
      </c>
      <c r="J1064" t="b">
        <f t="shared" si="57"/>
        <v>0</v>
      </c>
      <c r="K1064" s="2">
        <v>0.497</v>
      </c>
      <c r="L1064" s="17">
        <v>0.497</v>
      </c>
    </row>
    <row r="1065" spans="1:16" x14ac:dyDescent="0.25">
      <c r="A1065" s="12" t="s">
        <v>924</v>
      </c>
      <c r="B1065" t="s">
        <v>2200</v>
      </c>
      <c r="C1065">
        <v>264</v>
      </c>
      <c r="D1065">
        <v>1</v>
      </c>
      <c r="E1065">
        <v>0</v>
      </c>
      <c r="J1065" t="b">
        <f t="shared" si="57"/>
        <v>0</v>
      </c>
      <c r="K1065" s="2">
        <v>5.8000000000000003E-2</v>
      </c>
      <c r="L1065" s="17">
        <v>5.8000000000000003E-2</v>
      </c>
    </row>
    <row r="1066" spans="1:16" x14ac:dyDescent="0.25">
      <c r="A1066" s="12" t="s">
        <v>925</v>
      </c>
      <c r="C1066">
        <v>264</v>
      </c>
      <c r="D1066">
        <v>1</v>
      </c>
      <c r="E1066">
        <v>0</v>
      </c>
      <c r="J1066" t="b">
        <f t="shared" si="57"/>
        <v>0</v>
      </c>
      <c r="K1066" s="2" t="s">
        <v>2517</v>
      </c>
      <c r="L1066" s="17">
        <v>1E-3</v>
      </c>
    </row>
    <row r="1067" spans="1:16" x14ac:dyDescent="0.25">
      <c r="A1067" s="12" t="s">
        <v>926</v>
      </c>
      <c r="C1067">
        <v>264</v>
      </c>
      <c r="D1067">
        <v>1</v>
      </c>
      <c r="E1067">
        <v>0</v>
      </c>
      <c r="J1067" t="b">
        <f t="shared" si="57"/>
        <v>0</v>
      </c>
      <c r="K1067" s="2">
        <v>4.7E-2</v>
      </c>
      <c r="L1067" s="17">
        <v>4.7E-2</v>
      </c>
    </row>
    <row r="1068" spans="1:16" x14ac:dyDescent="0.25">
      <c r="A1068" s="12" t="s">
        <v>927</v>
      </c>
      <c r="C1068">
        <v>264</v>
      </c>
      <c r="D1068">
        <v>1</v>
      </c>
      <c r="E1068">
        <v>0</v>
      </c>
      <c r="J1068" t="b">
        <f t="shared" si="57"/>
        <v>0</v>
      </c>
      <c r="K1068" s="2">
        <v>2.1999999999999999E-2</v>
      </c>
      <c r="L1068" s="17">
        <v>2.1999999999999999E-2</v>
      </c>
    </row>
    <row r="1069" spans="1:16" x14ac:dyDescent="0.25">
      <c r="A1069" s="12" t="s">
        <v>928</v>
      </c>
      <c r="C1069">
        <v>264</v>
      </c>
      <c r="D1069">
        <v>1</v>
      </c>
      <c r="E1069">
        <v>0</v>
      </c>
      <c r="J1069" t="b">
        <f t="shared" si="57"/>
        <v>0</v>
      </c>
      <c r="K1069" s="2" t="s">
        <v>2517</v>
      </c>
      <c r="L1069" s="17">
        <v>1E-3</v>
      </c>
    </row>
    <row r="1070" spans="1:16" x14ac:dyDescent="0.25">
      <c r="A1070" s="12" t="s">
        <v>929</v>
      </c>
      <c r="B1070" t="s">
        <v>2201</v>
      </c>
      <c r="C1070">
        <v>264</v>
      </c>
      <c r="D1070">
        <v>1</v>
      </c>
      <c r="E1070">
        <v>0</v>
      </c>
      <c r="J1070" t="b">
        <f t="shared" si="57"/>
        <v>0</v>
      </c>
      <c r="K1070" s="2">
        <v>4.3999999999999997E-2</v>
      </c>
      <c r="L1070" s="17">
        <v>4.3999999999999997E-2</v>
      </c>
    </row>
    <row r="1071" spans="1:16" x14ac:dyDescent="0.25">
      <c r="A1071" s="12" t="s">
        <v>930</v>
      </c>
      <c r="C1071">
        <v>264</v>
      </c>
      <c r="D1071">
        <v>1</v>
      </c>
      <c r="E1071">
        <v>0</v>
      </c>
      <c r="J1071" t="b">
        <f t="shared" si="57"/>
        <v>0</v>
      </c>
      <c r="K1071" s="2">
        <v>7.0000000000000001E-3</v>
      </c>
      <c r="L1071" s="17">
        <v>7.0000000000000001E-3</v>
      </c>
    </row>
    <row r="1072" spans="1:16" x14ac:dyDescent="0.25">
      <c r="A1072" s="12" t="s">
        <v>931</v>
      </c>
      <c r="B1072" t="s">
        <v>2202</v>
      </c>
      <c r="C1072">
        <v>264</v>
      </c>
      <c r="D1072">
        <v>1</v>
      </c>
      <c r="E1072">
        <v>0</v>
      </c>
      <c r="J1072" t="b">
        <f t="shared" si="57"/>
        <v>0</v>
      </c>
      <c r="K1072" s="2">
        <v>0.12</v>
      </c>
      <c r="L1072" s="17">
        <v>0.12</v>
      </c>
    </row>
    <row r="1073" spans="1:12" x14ac:dyDescent="0.25">
      <c r="A1073" s="12" t="s">
        <v>932</v>
      </c>
      <c r="B1073" s="4" t="s">
        <v>2203</v>
      </c>
      <c r="C1073">
        <v>264</v>
      </c>
      <c r="D1073">
        <v>1</v>
      </c>
      <c r="E1073">
        <v>0</v>
      </c>
      <c r="J1073" t="b">
        <f t="shared" si="57"/>
        <v>0</v>
      </c>
      <c r="K1073" s="2">
        <v>0.46</v>
      </c>
      <c r="L1073" s="17">
        <v>0.46</v>
      </c>
    </row>
    <row r="1074" spans="1:12" x14ac:dyDescent="0.25">
      <c r="A1074" s="12" t="s">
        <v>933</v>
      </c>
      <c r="C1074">
        <v>264</v>
      </c>
      <c r="D1074">
        <v>1</v>
      </c>
      <c r="E1074">
        <v>0</v>
      </c>
      <c r="J1074" t="b">
        <f t="shared" si="57"/>
        <v>0</v>
      </c>
      <c r="K1074" s="2">
        <v>0.19800000000000001</v>
      </c>
      <c r="L1074" s="17">
        <v>0.19800000000000001</v>
      </c>
    </row>
    <row r="1075" spans="1:12" x14ac:dyDescent="0.25">
      <c r="A1075" s="12" t="s">
        <v>934</v>
      </c>
      <c r="B1075" t="s">
        <v>2204</v>
      </c>
      <c r="C1075">
        <v>264</v>
      </c>
      <c r="D1075">
        <v>1</v>
      </c>
      <c r="E1075">
        <v>0</v>
      </c>
      <c r="J1075" t="b">
        <f t="shared" si="57"/>
        <v>0</v>
      </c>
      <c r="K1075" s="2">
        <v>0.54700000000000004</v>
      </c>
      <c r="L1075" s="17">
        <v>0.54700000000000004</v>
      </c>
    </row>
    <row r="1076" spans="1:12" x14ac:dyDescent="0.25">
      <c r="A1076" s="12" t="s">
        <v>935</v>
      </c>
      <c r="B1076" t="s">
        <v>2205</v>
      </c>
      <c r="C1076">
        <v>264</v>
      </c>
      <c r="D1076">
        <v>1</v>
      </c>
      <c r="E1076">
        <v>0</v>
      </c>
      <c r="J1076" t="b">
        <f t="shared" si="57"/>
        <v>0</v>
      </c>
      <c r="K1076" s="2">
        <v>0.39400000000000002</v>
      </c>
      <c r="L1076" s="17">
        <v>0.39400000000000002</v>
      </c>
    </row>
    <row r="1077" spans="1:12" x14ac:dyDescent="0.25">
      <c r="A1077" s="12" t="s">
        <v>936</v>
      </c>
      <c r="B1077" t="s">
        <v>2206</v>
      </c>
      <c r="C1077">
        <v>264</v>
      </c>
      <c r="D1077">
        <v>1</v>
      </c>
      <c r="E1077">
        <v>0</v>
      </c>
      <c r="J1077" t="b">
        <f t="shared" si="57"/>
        <v>0</v>
      </c>
      <c r="K1077" s="2">
        <v>2.1999999999999999E-2</v>
      </c>
      <c r="L1077" s="17">
        <v>2.1999999999999999E-2</v>
      </c>
    </row>
    <row r="1078" spans="1:12" x14ac:dyDescent="0.25">
      <c r="A1078" s="12" t="s">
        <v>937</v>
      </c>
      <c r="B1078" t="s">
        <v>2207</v>
      </c>
      <c r="C1078">
        <v>264</v>
      </c>
      <c r="D1078">
        <v>1</v>
      </c>
      <c r="E1078">
        <v>0</v>
      </c>
      <c r="J1078" t="b">
        <f t="shared" si="57"/>
        <v>0</v>
      </c>
      <c r="K1078" s="2">
        <v>9.6000000000000002E-2</v>
      </c>
      <c r="L1078" s="17">
        <v>9.6000000000000002E-2</v>
      </c>
    </row>
    <row r="1079" spans="1:12" x14ac:dyDescent="0.25">
      <c r="A1079" s="12" t="s">
        <v>938</v>
      </c>
      <c r="B1079" t="s">
        <v>2208</v>
      </c>
      <c r="C1079">
        <v>264</v>
      </c>
      <c r="D1079">
        <v>1</v>
      </c>
      <c r="E1079">
        <v>0</v>
      </c>
      <c r="J1079" t="b">
        <f t="shared" si="57"/>
        <v>0</v>
      </c>
      <c r="K1079" s="2">
        <v>0.73899999999999999</v>
      </c>
      <c r="L1079" s="17">
        <v>0.73899999999999999</v>
      </c>
    </row>
    <row r="1080" spans="1:12" x14ac:dyDescent="0.25">
      <c r="A1080" s="12" t="s">
        <v>939</v>
      </c>
      <c r="B1080" t="s">
        <v>2209</v>
      </c>
      <c r="C1080">
        <v>264</v>
      </c>
      <c r="D1080">
        <v>1</v>
      </c>
      <c r="E1080">
        <v>0</v>
      </c>
      <c r="J1080" t="b">
        <f t="shared" si="57"/>
        <v>0</v>
      </c>
      <c r="K1080" s="2">
        <v>2E-3</v>
      </c>
      <c r="L1080" s="17">
        <v>2E-3</v>
      </c>
    </row>
    <row r="1081" spans="1:12" x14ac:dyDescent="0.25">
      <c r="A1081" s="12" t="s">
        <v>940</v>
      </c>
      <c r="B1081" t="s">
        <v>2210</v>
      </c>
      <c r="C1081">
        <v>264</v>
      </c>
      <c r="D1081">
        <v>1</v>
      </c>
      <c r="E1081">
        <v>0</v>
      </c>
      <c r="J1081" t="b">
        <f t="shared" si="57"/>
        <v>0</v>
      </c>
      <c r="K1081" s="2">
        <v>4.5999999999999999E-2</v>
      </c>
      <c r="L1081" s="17">
        <v>4.5999999999999999E-2</v>
      </c>
    </row>
    <row r="1082" spans="1:12" x14ac:dyDescent="0.25">
      <c r="A1082" s="12" t="s">
        <v>941</v>
      </c>
      <c r="B1082" t="s">
        <v>2211</v>
      </c>
      <c r="C1082">
        <v>264</v>
      </c>
      <c r="D1082">
        <v>1</v>
      </c>
      <c r="E1082">
        <v>0</v>
      </c>
      <c r="J1082" t="b">
        <f t="shared" si="57"/>
        <v>0</v>
      </c>
      <c r="K1082" s="2">
        <v>0.61399999999999999</v>
      </c>
      <c r="L1082" s="17">
        <v>0.61399999999999999</v>
      </c>
    </row>
    <row r="1083" spans="1:12" x14ac:dyDescent="0.25">
      <c r="A1083" s="12" t="s">
        <v>942</v>
      </c>
      <c r="B1083" t="s">
        <v>2212</v>
      </c>
      <c r="C1083">
        <v>264</v>
      </c>
      <c r="D1083">
        <v>1</v>
      </c>
      <c r="E1083">
        <v>0</v>
      </c>
      <c r="J1083" t="b">
        <f t="shared" si="57"/>
        <v>0</v>
      </c>
      <c r="K1083" s="2">
        <v>3.2000000000000001E-2</v>
      </c>
      <c r="L1083" s="17">
        <v>3.2000000000000001E-2</v>
      </c>
    </row>
    <row r="1084" spans="1:12" x14ac:dyDescent="0.25">
      <c r="A1084" s="12" t="s">
        <v>943</v>
      </c>
      <c r="B1084" t="s">
        <v>2213</v>
      </c>
      <c r="C1084">
        <v>264</v>
      </c>
      <c r="D1084">
        <v>1</v>
      </c>
      <c r="E1084">
        <v>0</v>
      </c>
      <c r="J1084" t="b">
        <f t="shared" si="57"/>
        <v>0</v>
      </c>
      <c r="K1084" s="2">
        <v>0.82399999999999995</v>
      </c>
      <c r="L1084" s="17">
        <v>0.82399999999999995</v>
      </c>
    </row>
    <row r="1085" spans="1:12" x14ac:dyDescent="0.25">
      <c r="A1085" s="12" t="s">
        <v>944</v>
      </c>
      <c r="B1085" t="s">
        <v>2214</v>
      </c>
      <c r="C1085">
        <v>264</v>
      </c>
      <c r="D1085">
        <v>1</v>
      </c>
      <c r="E1085">
        <v>0</v>
      </c>
      <c r="J1085" t="b">
        <f t="shared" si="57"/>
        <v>0</v>
      </c>
      <c r="K1085" s="2">
        <v>0.47</v>
      </c>
      <c r="L1085" s="17">
        <v>0.47</v>
      </c>
    </row>
    <row r="1086" spans="1:12" x14ac:dyDescent="0.25">
      <c r="A1086" s="12" t="s">
        <v>945</v>
      </c>
      <c r="B1086" s="4" t="s">
        <v>2215</v>
      </c>
      <c r="C1086">
        <v>264</v>
      </c>
      <c r="D1086">
        <v>1</v>
      </c>
      <c r="E1086">
        <v>0</v>
      </c>
      <c r="J1086" t="b">
        <f t="shared" si="57"/>
        <v>0</v>
      </c>
      <c r="K1086" s="2">
        <v>0.435</v>
      </c>
      <c r="L1086" s="17">
        <v>0.435</v>
      </c>
    </row>
    <row r="1087" spans="1:12" x14ac:dyDescent="0.25">
      <c r="A1087" s="12" t="s">
        <v>946</v>
      </c>
      <c r="B1087" s="4" t="s">
        <v>2216</v>
      </c>
      <c r="C1087">
        <v>264</v>
      </c>
      <c r="D1087">
        <v>1</v>
      </c>
      <c r="E1087">
        <v>0</v>
      </c>
      <c r="J1087" t="b">
        <f t="shared" si="57"/>
        <v>0</v>
      </c>
      <c r="K1087" s="2" t="s">
        <v>2519</v>
      </c>
      <c r="L1087" s="17">
        <v>1E-3</v>
      </c>
    </row>
    <row r="1088" spans="1:12" x14ac:dyDescent="0.25">
      <c r="A1088" s="12" t="s">
        <v>947</v>
      </c>
      <c r="B1088" s="4" t="s">
        <v>2217</v>
      </c>
      <c r="C1088">
        <v>264</v>
      </c>
      <c r="D1088">
        <v>1</v>
      </c>
      <c r="E1088">
        <v>0</v>
      </c>
      <c r="J1088" t="b">
        <f t="shared" si="57"/>
        <v>0</v>
      </c>
      <c r="K1088" s="2">
        <v>0.01</v>
      </c>
      <c r="L1088" s="17">
        <v>0.01</v>
      </c>
    </row>
    <row r="1089" spans="1:12" x14ac:dyDescent="0.25">
      <c r="A1089" s="12" t="s">
        <v>948</v>
      </c>
      <c r="B1089" s="4" t="s">
        <v>2218</v>
      </c>
      <c r="C1089">
        <v>264</v>
      </c>
      <c r="D1089">
        <v>1</v>
      </c>
      <c r="E1089">
        <v>0</v>
      </c>
      <c r="J1089" t="b">
        <f t="shared" si="57"/>
        <v>0</v>
      </c>
      <c r="K1089" s="2" t="s">
        <v>2519</v>
      </c>
      <c r="L1089" s="17">
        <v>1E-3</v>
      </c>
    </row>
    <row r="1090" spans="1:12" x14ac:dyDescent="0.25">
      <c r="A1090" s="12" t="s">
        <v>949</v>
      </c>
      <c r="B1090" s="4" t="s">
        <v>2226</v>
      </c>
      <c r="C1090">
        <v>264</v>
      </c>
      <c r="D1090">
        <v>1</v>
      </c>
      <c r="E1090">
        <v>0</v>
      </c>
      <c r="J1090" t="b">
        <f t="shared" si="57"/>
        <v>0</v>
      </c>
      <c r="K1090" s="2">
        <v>0.01</v>
      </c>
      <c r="L1090" s="17">
        <v>0.01</v>
      </c>
    </row>
    <row r="1091" spans="1:12" x14ac:dyDescent="0.25">
      <c r="A1091" s="12" t="s">
        <v>950</v>
      </c>
      <c r="C1091">
        <v>264</v>
      </c>
      <c r="D1091">
        <v>1</v>
      </c>
      <c r="E1091">
        <v>0</v>
      </c>
      <c r="J1091" t="b">
        <f t="shared" ref="J1091:J1122" si="58">IF(NOT(ISBLANK(F1091)),SQRT((F1091^2*1/H1091)/(F1091^2*1/H1091+1)),IF(NOT(ISBLANK(G1091)),SQRT((G1091*H1091/I1091)/(G1091*H1091/I1091+1)*SQRT(1/H1091))))</f>
        <v>0</v>
      </c>
      <c r="K1091" s="2" t="s">
        <v>2520</v>
      </c>
      <c r="L1091" s="17">
        <v>0.01</v>
      </c>
    </row>
    <row r="1092" spans="1:12" x14ac:dyDescent="0.25">
      <c r="A1092" s="12" t="s">
        <v>951</v>
      </c>
      <c r="B1092" t="s">
        <v>2219</v>
      </c>
      <c r="C1092">
        <v>264</v>
      </c>
      <c r="D1092">
        <v>1</v>
      </c>
      <c r="E1092">
        <v>0</v>
      </c>
      <c r="J1092" t="b">
        <f t="shared" si="58"/>
        <v>0</v>
      </c>
      <c r="K1092" s="2">
        <v>2.1999999999999999E-2</v>
      </c>
      <c r="L1092" s="17">
        <v>2.1999999999999999E-2</v>
      </c>
    </row>
    <row r="1093" spans="1:12" x14ac:dyDescent="0.25">
      <c r="A1093" s="12" t="s">
        <v>952</v>
      </c>
      <c r="B1093" t="s">
        <v>2220</v>
      </c>
      <c r="C1093">
        <v>264</v>
      </c>
      <c r="D1093">
        <v>1</v>
      </c>
      <c r="E1093">
        <v>0</v>
      </c>
      <c r="J1093" t="b">
        <f t="shared" si="58"/>
        <v>0</v>
      </c>
      <c r="K1093" s="2">
        <v>2E-3</v>
      </c>
      <c r="L1093" s="17">
        <v>2E-3</v>
      </c>
    </row>
    <row r="1094" spans="1:12" x14ac:dyDescent="0.25">
      <c r="A1094" s="12" t="s">
        <v>953</v>
      </c>
      <c r="B1094" t="s">
        <v>2221</v>
      </c>
      <c r="C1094">
        <v>264</v>
      </c>
      <c r="D1094">
        <v>1</v>
      </c>
      <c r="E1094">
        <v>0</v>
      </c>
      <c r="J1094" t="b">
        <f t="shared" si="58"/>
        <v>0</v>
      </c>
      <c r="K1094" s="2">
        <v>3.2000000000000001E-2</v>
      </c>
      <c r="L1094" s="17">
        <v>3.2000000000000001E-2</v>
      </c>
    </row>
    <row r="1095" spans="1:12" x14ac:dyDescent="0.25">
      <c r="A1095" s="12" t="s">
        <v>954</v>
      </c>
      <c r="B1095" s="4" t="s">
        <v>2222</v>
      </c>
      <c r="C1095">
        <v>264</v>
      </c>
      <c r="D1095">
        <v>1</v>
      </c>
      <c r="E1095">
        <v>0</v>
      </c>
      <c r="J1095" t="b">
        <f t="shared" si="58"/>
        <v>0</v>
      </c>
      <c r="K1095" s="2">
        <v>0.435</v>
      </c>
      <c r="L1095" s="17">
        <v>0.435</v>
      </c>
    </row>
    <row r="1096" spans="1:12" x14ac:dyDescent="0.25">
      <c r="A1096" s="12" t="s">
        <v>955</v>
      </c>
      <c r="B1096" s="4" t="s">
        <v>2223</v>
      </c>
      <c r="C1096">
        <v>264</v>
      </c>
      <c r="D1096">
        <v>1</v>
      </c>
      <c r="E1096">
        <v>0</v>
      </c>
      <c r="J1096" t="b">
        <f t="shared" si="58"/>
        <v>0</v>
      </c>
      <c r="K1096" s="2">
        <v>0.05</v>
      </c>
      <c r="L1096" s="17">
        <v>0.05</v>
      </c>
    </row>
    <row r="1097" spans="1:12" x14ac:dyDescent="0.25">
      <c r="A1097" s="12" t="s">
        <v>956</v>
      </c>
      <c r="B1097" s="4" t="s">
        <v>2224</v>
      </c>
      <c r="C1097">
        <v>264</v>
      </c>
      <c r="D1097">
        <v>1</v>
      </c>
      <c r="E1097">
        <v>0</v>
      </c>
      <c r="J1097" t="b">
        <f t="shared" si="58"/>
        <v>0</v>
      </c>
      <c r="K1097" s="2">
        <v>4.4999999999999998E-2</v>
      </c>
      <c r="L1097" s="17">
        <v>4.4999999999999998E-2</v>
      </c>
    </row>
    <row r="1098" spans="1:12" x14ac:dyDescent="0.25">
      <c r="A1098" s="12" t="s">
        <v>957</v>
      </c>
      <c r="B1098" s="4" t="s">
        <v>2225</v>
      </c>
      <c r="C1098">
        <v>264</v>
      </c>
      <c r="D1098">
        <v>1</v>
      </c>
      <c r="E1098">
        <v>0</v>
      </c>
      <c r="J1098" t="b">
        <f t="shared" si="58"/>
        <v>0</v>
      </c>
      <c r="K1098" s="2">
        <v>8.3000000000000004E-2</v>
      </c>
      <c r="L1098" s="17">
        <v>8.3000000000000004E-2</v>
      </c>
    </row>
    <row r="1099" spans="1:12" x14ac:dyDescent="0.25">
      <c r="A1099" s="12" t="s">
        <v>958</v>
      </c>
      <c r="C1099">
        <v>264</v>
      </c>
      <c r="D1099">
        <v>1</v>
      </c>
      <c r="E1099">
        <v>0</v>
      </c>
      <c r="J1099" t="b">
        <f t="shared" si="58"/>
        <v>0</v>
      </c>
      <c r="K1099" s="2">
        <v>0.496</v>
      </c>
      <c r="L1099" s="17">
        <v>0.496</v>
      </c>
    </row>
    <row r="1100" spans="1:12" x14ac:dyDescent="0.25">
      <c r="A1100" s="12" t="s">
        <v>959</v>
      </c>
      <c r="B1100" t="s">
        <v>2227</v>
      </c>
      <c r="C1100">
        <v>264</v>
      </c>
      <c r="D1100">
        <v>1</v>
      </c>
      <c r="E1100">
        <v>0</v>
      </c>
      <c r="J1100" t="b">
        <f t="shared" si="58"/>
        <v>0</v>
      </c>
      <c r="K1100" s="2">
        <v>0.13200000000000001</v>
      </c>
      <c r="L1100" s="17">
        <v>0.13200000000000001</v>
      </c>
    </row>
    <row r="1101" spans="1:12" x14ac:dyDescent="0.25">
      <c r="A1101" s="12" t="s">
        <v>960</v>
      </c>
      <c r="B1101" t="s">
        <v>2228</v>
      </c>
      <c r="C1101">
        <v>264</v>
      </c>
      <c r="D1101">
        <v>1</v>
      </c>
      <c r="E1101">
        <v>0</v>
      </c>
      <c r="J1101" t="b">
        <f t="shared" si="58"/>
        <v>0</v>
      </c>
      <c r="K1101" s="2">
        <v>0.83699999999999997</v>
      </c>
      <c r="L1101" s="17">
        <v>0.83699999999999997</v>
      </c>
    </row>
    <row r="1102" spans="1:12" x14ac:dyDescent="0.25">
      <c r="A1102" s="12" t="s">
        <v>961</v>
      </c>
      <c r="B1102" t="s">
        <v>2229</v>
      </c>
      <c r="C1102">
        <v>264</v>
      </c>
      <c r="D1102">
        <v>1</v>
      </c>
      <c r="E1102">
        <v>0</v>
      </c>
      <c r="J1102" t="b">
        <f t="shared" si="58"/>
        <v>0</v>
      </c>
      <c r="K1102" s="2">
        <v>2.1999999999999999E-2</v>
      </c>
      <c r="L1102" s="17">
        <v>2.1999999999999999E-2</v>
      </c>
    </row>
    <row r="1103" spans="1:12" x14ac:dyDescent="0.25">
      <c r="A1103" s="12" t="s">
        <v>962</v>
      </c>
      <c r="B1103" t="s">
        <v>2230</v>
      </c>
      <c r="C1103">
        <v>264</v>
      </c>
      <c r="D1103">
        <v>1</v>
      </c>
      <c r="E1103">
        <v>0</v>
      </c>
      <c r="J1103" t="b">
        <f t="shared" si="58"/>
        <v>0</v>
      </c>
      <c r="K1103" s="2">
        <v>0.01</v>
      </c>
      <c r="L1103" s="17">
        <v>0.01</v>
      </c>
    </row>
    <row r="1104" spans="1:12" x14ac:dyDescent="0.25">
      <c r="A1104" s="12" t="s">
        <v>963</v>
      </c>
      <c r="B1104" t="s">
        <v>2231</v>
      </c>
      <c r="C1104">
        <v>264</v>
      </c>
      <c r="D1104">
        <v>1</v>
      </c>
      <c r="E1104">
        <v>0</v>
      </c>
      <c r="J1104" t="b">
        <f t="shared" si="58"/>
        <v>0</v>
      </c>
      <c r="K1104" s="2">
        <v>0.11799999999999999</v>
      </c>
      <c r="L1104" s="17">
        <v>0.11799999999999999</v>
      </c>
    </row>
    <row r="1105" spans="1:12" x14ac:dyDescent="0.25">
      <c r="A1105" s="12" t="s">
        <v>964</v>
      </c>
      <c r="B1105" t="s">
        <v>2232</v>
      </c>
      <c r="C1105">
        <v>264</v>
      </c>
      <c r="D1105">
        <v>1</v>
      </c>
      <c r="E1105">
        <v>0</v>
      </c>
      <c r="J1105" t="b">
        <f t="shared" si="58"/>
        <v>0</v>
      </c>
      <c r="K1105" s="2">
        <v>0.71399999999999997</v>
      </c>
      <c r="L1105" s="17">
        <v>0.71399999999999997</v>
      </c>
    </row>
    <row r="1106" spans="1:12" x14ac:dyDescent="0.25">
      <c r="A1106" s="12" t="s">
        <v>965</v>
      </c>
      <c r="C1106">
        <v>264</v>
      </c>
      <c r="D1106">
        <v>1</v>
      </c>
      <c r="E1106">
        <v>0</v>
      </c>
      <c r="J1106" t="b">
        <f t="shared" si="58"/>
        <v>0</v>
      </c>
      <c r="K1106" s="2">
        <v>0.02</v>
      </c>
      <c r="L1106" s="17">
        <v>0.02</v>
      </c>
    </row>
    <row r="1107" spans="1:12" x14ac:dyDescent="0.25">
      <c r="A1107" s="12" t="s">
        <v>966</v>
      </c>
      <c r="B1107" t="s">
        <v>2233</v>
      </c>
      <c r="C1107">
        <v>264</v>
      </c>
      <c r="D1107">
        <v>1</v>
      </c>
      <c r="E1107">
        <v>0</v>
      </c>
      <c r="J1107" t="b">
        <f t="shared" si="58"/>
        <v>0</v>
      </c>
      <c r="K1107" s="2">
        <v>2E-3</v>
      </c>
      <c r="L1107" s="17">
        <v>2E-3</v>
      </c>
    </row>
    <row r="1108" spans="1:12" x14ac:dyDescent="0.25">
      <c r="A1108" s="12" t="s">
        <v>967</v>
      </c>
      <c r="C1108">
        <v>264</v>
      </c>
      <c r="D1108">
        <v>1</v>
      </c>
      <c r="E1108">
        <v>0</v>
      </c>
      <c r="J1108" t="b">
        <f t="shared" si="58"/>
        <v>0</v>
      </c>
      <c r="K1108" s="2">
        <v>1E-3</v>
      </c>
      <c r="L1108" s="17">
        <v>1E-3</v>
      </c>
    </row>
    <row r="1109" spans="1:12" x14ac:dyDescent="0.25">
      <c r="A1109" s="12" t="s">
        <v>968</v>
      </c>
      <c r="B1109" t="s">
        <v>2234</v>
      </c>
      <c r="C1109">
        <v>264</v>
      </c>
      <c r="D1109">
        <v>1</v>
      </c>
      <c r="E1109">
        <v>0</v>
      </c>
      <c r="J1109" t="b">
        <f t="shared" si="58"/>
        <v>0</v>
      </c>
      <c r="K1109" s="2">
        <v>7.6999999999999999E-2</v>
      </c>
      <c r="L1109" s="17">
        <v>7.6999999999999999E-2</v>
      </c>
    </row>
    <row r="1110" spans="1:12" x14ac:dyDescent="0.25">
      <c r="A1110" s="12" t="s">
        <v>969</v>
      </c>
      <c r="B1110" t="s">
        <v>2235</v>
      </c>
      <c r="C1110">
        <v>264</v>
      </c>
      <c r="D1110">
        <v>1</v>
      </c>
      <c r="E1110">
        <v>0</v>
      </c>
      <c r="J1110" t="b">
        <f t="shared" si="58"/>
        <v>0</v>
      </c>
      <c r="K1110" s="2">
        <v>3.2000000000000001E-2</v>
      </c>
      <c r="L1110" s="17">
        <v>3.2000000000000001E-2</v>
      </c>
    </row>
    <row r="1111" spans="1:12" x14ac:dyDescent="0.25">
      <c r="A1111" s="12" t="s">
        <v>970</v>
      </c>
      <c r="C1111">
        <v>264</v>
      </c>
      <c r="D1111">
        <v>1</v>
      </c>
      <c r="E1111">
        <v>0</v>
      </c>
      <c r="J1111" t="b">
        <f t="shared" si="58"/>
        <v>0</v>
      </c>
      <c r="K1111" s="2">
        <v>0.77900000000000003</v>
      </c>
      <c r="L1111" s="17">
        <v>0.77900000000000003</v>
      </c>
    </row>
    <row r="1112" spans="1:12" x14ac:dyDescent="0.25">
      <c r="A1112" s="12" t="s">
        <v>971</v>
      </c>
      <c r="B1112" t="s">
        <v>2236</v>
      </c>
      <c r="C1112">
        <v>264</v>
      </c>
      <c r="D1112">
        <v>1</v>
      </c>
      <c r="E1112">
        <v>0</v>
      </c>
      <c r="J1112" t="b">
        <f t="shared" si="58"/>
        <v>0</v>
      </c>
      <c r="K1112" s="2">
        <v>2E-3</v>
      </c>
      <c r="L1112" s="17">
        <v>2E-3</v>
      </c>
    </row>
    <row r="1113" spans="1:12" x14ac:dyDescent="0.25">
      <c r="A1113" s="12" t="s">
        <v>972</v>
      </c>
      <c r="B1113" t="s">
        <v>2237</v>
      </c>
      <c r="C1113">
        <v>264</v>
      </c>
      <c r="D1113">
        <v>1</v>
      </c>
      <c r="E1113">
        <v>0</v>
      </c>
      <c r="J1113" t="b">
        <f t="shared" si="58"/>
        <v>0</v>
      </c>
      <c r="K1113" s="2">
        <v>1.2999999999999999E-2</v>
      </c>
      <c r="L1113" s="17">
        <v>1.2999999999999999E-2</v>
      </c>
    </row>
    <row r="1114" spans="1:12" x14ac:dyDescent="0.25">
      <c r="A1114" s="12" t="s">
        <v>973</v>
      </c>
      <c r="B1114" t="s">
        <v>2238</v>
      </c>
      <c r="C1114">
        <v>264</v>
      </c>
      <c r="D1114">
        <v>1</v>
      </c>
      <c r="E1114">
        <v>0</v>
      </c>
      <c r="J1114" t="b">
        <f t="shared" si="58"/>
        <v>0</v>
      </c>
      <c r="K1114" s="2">
        <v>0.435</v>
      </c>
      <c r="L1114" s="17">
        <v>0.435</v>
      </c>
    </row>
    <row r="1115" spans="1:12" x14ac:dyDescent="0.25">
      <c r="A1115" s="12" t="s">
        <v>974</v>
      </c>
      <c r="B1115" t="s">
        <v>2239</v>
      </c>
      <c r="C1115">
        <v>264</v>
      </c>
      <c r="D1115">
        <v>1</v>
      </c>
      <c r="E1115">
        <v>0</v>
      </c>
      <c r="J1115" t="b">
        <f t="shared" si="58"/>
        <v>0</v>
      </c>
      <c r="K1115" s="2">
        <v>0.51700000000000002</v>
      </c>
      <c r="L1115" s="17">
        <v>0.51700000000000002</v>
      </c>
    </row>
    <row r="1116" spans="1:12" x14ac:dyDescent="0.25">
      <c r="A1116" s="12" t="s">
        <v>975</v>
      </c>
      <c r="B1116" t="s">
        <v>2240</v>
      </c>
      <c r="C1116">
        <v>264</v>
      </c>
      <c r="D1116">
        <v>1</v>
      </c>
      <c r="E1116">
        <v>0</v>
      </c>
      <c r="J1116" t="b">
        <f t="shared" si="58"/>
        <v>0</v>
      </c>
      <c r="K1116" s="2">
        <v>1.4E-2</v>
      </c>
      <c r="L1116" s="17">
        <v>1.4E-2</v>
      </c>
    </row>
    <row r="1117" spans="1:12" x14ac:dyDescent="0.25">
      <c r="A1117" s="12" t="s">
        <v>976</v>
      </c>
      <c r="B1117" t="s">
        <v>2241</v>
      </c>
      <c r="C1117">
        <v>264</v>
      </c>
      <c r="D1117">
        <v>1</v>
      </c>
      <c r="E1117">
        <v>0</v>
      </c>
      <c r="J1117" t="b">
        <f t="shared" si="58"/>
        <v>0</v>
      </c>
      <c r="K1117" s="2">
        <v>6.2E-2</v>
      </c>
      <c r="L1117" s="17">
        <v>6.2E-2</v>
      </c>
    </row>
    <row r="1118" spans="1:12" x14ac:dyDescent="0.25">
      <c r="A1118" s="12" t="s">
        <v>977</v>
      </c>
      <c r="B1118" s="5" t="s">
        <v>2306</v>
      </c>
      <c r="C1118">
        <v>264</v>
      </c>
      <c r="D1118">
        <v>1</v>
      </c>
      <c r="E1118">
        <v>0</v>
      </c>
      <c r="J1118" t="b">
        <f t="shared" si="58"/>
        <v>0</v>
      </c>
      <c r="K1118" s="2">
        <v>1.2999999999999999E-2</v>
      </c>
      <c r="L1118" s="17">
        <v>1.2999999999999999E-2</v>
      </c>
    </row>
    <row r="1119" spans="1:12" x14ac:dyDescent="0.25">
      <c r="A1119" s="12" t="s">
        <v>978</v>
      </c>
      <c r="B1119" s="5" t="s">
        <v>2175</v>
      </c>
      <c r="C1119">
        <v>264</v>
      </c>
      <c r="D1119">
        <v>1</v>
      </c>
      <c r="E1119">
        <v>0</v>
      </c>
      <c r="J1119" t="b">
        <f t="shared" si="58"/>
        <v>0</v>
      </c>
      <c r="K1119" s="2" t="s">
        <v>2517</v>
      </c>
      <c r="L1119" s="17">
        <v>1E-3</v>
      </c>
    </row>
    <row r="1120" spans="1:12" x14ac:dyDescent="0.25">
      <c r="A1120" s="12" t="s">
        <v>979</v>
      </c>
      <c r="B1120" t="s">
        <v>2242</v>
      </c>
      <c r="C1120">
        <v>264</v>
      </c>
      <c r="D1120">
        <v>1</v>
      </c>
      <c r="E1120">
        <v>0</v>
      </c>
      <c r="J1120" t="b">
        <f t="shared" si="58"/>
        <v>0</v>
      </c>
      <c r="K1120" s="2">
        <v>1.1000000000000001E-3</v>
      </c>
      <c r="L1120" s="17">
        <v>1.1000000000000001E-3</v>
      </c>
    </row>
    <row r="1121" spans="1:15" x14ac:dyDescent="0.25">
      <c r="A1121" s="12" t="s">
        <v>980</v>
      </c>
      <c r="B1121" s="5" t="s">
        <v>2307</v>
      </c>
      <c r="C1121">
        <v>264</v>
      </c>
      <c r="D1121">
        <v>1</v>
      </c>
      <c r="E1121">
        <v>0</v>
      </c>
      <c r="J1121" t="b">
        <f t="shared" si="58"/>
        <v>0</v>
      </c>
      <c r="K1121" s="2">
        <v>5.6000000000000001E-2</v>
      </c>
      <c r="L1121" s="17">
        <v>5.6000000000000001E-2</v>
      </c>
    </row>
    <row r="1122" spans="1:15" x14ac:dyDescent="0.25">
      <c r="A1122" s="12" t="s">
        <v>981</v>
      </c>
      <c r="B1122" s="5" t="s">
        <v>2308</v>
      </c>
      <c r="C1122">
        <v>264</v>
      </c>
      <c r="D1122">
        <v>1</v>
      </c>
      <c r="E1122">
        <v>0</v>
      </c>
      <c r="J1122" t="b">
        <f t="shared" si="58"/>
        <v>0</v>
      </c>
      <c r="K1122" s="2">
        <v>1.2E-2</v>
      </c>
      <c r="L1122" s="17">
        <v>1.2E-2</v>
      </c>
    </row>
    <row r="1123" spans="1:15" x14ac:dyDescent="0.25">
      <c r="A1123" s="12" t="s">
        <v>982</v>
      </c>
      <c r="B1123" s="5" t="s">
        <v>2309</v>
      </c>
      <c r="C1123">
        <v>264</v>
      </c>
      <c r="D1123">
        <v>1</v>
      </c>
      <c r="E1123">
        <v>0</v>
      </c>
      <c r="J1123" t="b">
        <f t="shared" ref="J1123:J1139" si="59">IF(NOT(ISBLANK(F1123)),SQRT((F1123^2*1/H1123)/(F1123^2*1/H1123+1)),IF(NOT(ISBLANK(G1123)),SQRT((G1123*H1123/I1123)/(G1123*H1123/I1123+1)*SQRT(1/H1123))))</f>
        <v>0</v>
      </c>
      <c r="K1123" s="2" t="s">
        <v>2519</v>
      </c>
      <c r="L1123" s="17">
        <v>1E-3</v>
      </c>
    </row>
    <row r="1124" spans="1:15" x14ac:dyDescent="0.25">
      <c r="A1124" s="12" t="s">
        <v>983</v>
      </c>
      <c r="B1124" s="5" t="s">
        <v>2243</v>
      </c>
      <c r="C1124">
        <v>264</v>
      </c>
      <c r="D1124">
        <v>1</v>
      </c>
      <c r="E1124">
        <v>0</v>
      </c>
      <c r="J1124" t="b">
        <f t="shared" si="59"/>
        <v>0</v>
      </c>
      <c r="K1124" s="2">
        <v>1E-3</v>
      </c>
      <c r="L1124" s="17">
        <v>1E-3</v>
      </c>
    </row>
    <row r="1125" spans="1:15" x14ac:dyDescent="0.25">
      <c r="A1125" s="12" t="s">
        <v>984</v>
      </c>
      <c r="B1125" s="5" t="s">
        <v>2244</v>
      </c>
      <c r="C1125">
        <v>264</v>
      </c>
      <c r="D1125">
        <v>1</v>
      </c>
      <c r="E1125">
        <v>0</v>
      </c>
      <c r="J1125" t="b">
        <f t="shared" si="59"/>
        <v>0</v>
      </c>
      <c r="K1125" s="2">
        <v>0.51900000000000002</v>
      </c>
      <c r="L1125" s="17">
        <v>0.51900000000000002</v>
      </c>
    </row>
    <row r="1126" spans="1:15" x14ac:dyDescent="0.25">
      <c r="A1126" s="12" t="s">
        <v>985</v>
      </c>
      <c r="C1126">
        <v>264</v>
      </c>
      <c r="D1126">
        <v>1</v>
      </c>
      <c r="E1126">
        <v>0</v>
      </c>
      <c r="J1126" t="b">
        <f t="shared" si="59"/>
        <v>0</v>
      </c>
      <c r="K1126" s="2">
        <v>2.8000000000000001E-2</v>
      </c>
      <c r="L1126" s="17">
        <v>2.8000000000000001E-2</v>
      </c>
    </row>
    <row r="1127" spans="1:15" x14ac:dyDescent="0.25">
      <c r="A1127" s="12" t="s">
        <v>986</v>
      </c>
      <c r="C1127">
        <v>264</v>
      </c>
      <c r="D1127">
        <v>1</v>
      </c>
      <c r="E1127">
        <v>0</v>
      </c>
      <c r="J1127" t="b">
        <f t="shared" si="59"/>
        <v>0</v>
      </c>
      <c r="K1127" s="2" t="s">
        <v>2519</v>
      </c>
      <c r="L1127" s="17">
        <v>1E-3</v>
      </c>
    </row>
    <row r="1128" spans="1:15" x14ac:dyDescent="0.25">
      <c r="A1128" s="12" t="s">
        <v>987</v>
      </c>
      <c r="B1128" s="5" t="s">
        <v>2245</v>
      </c>
      <c r="C1128">
        <v>264</v>
      </c>
      <c r="D1128">
        <v>1</v>
      </c>
      <c r="E1128">
        <v>0</v>
      </c>
      <c r="J1128" t="b">
        <f t="shared" si="59"/>
        <v>0</v>
      </c>
      <c r="K1128" s="2">
        <v>4.7E-2</v>
      </c>
      <c r="L1128" s="17">
        <v>4.7E-2</v>
      </c>
    </row>
    <row r="1129" spans="1:15" x14ac:dyDescent="0.25">
      <c r="A1129" s="12" t="s">
        <v>988</v>
      </c>
      <c r="B1129" s="5" t="s">
        <v>2246</v>
      </c>
      <c r="C1129">
        <v>264</v>
      </c>
      <c r="D1129">
        <v>1</v>
      </c>
      <c r="E1129">
        <v>0</v>
      </c>
      <c r="J1129" t="b">
        <f t="shared" si="59"/>
        <v>0</v>
      </c>
      <c r="K1129" s="2" t="s">
        <v>2517</v>
      </c>
      <c r="L1129" s="17">
        <v>1E-3</v>
      </c>
    </row>
    <row r="1130" spans="1:15" x14ac:dyDescent="0.25">
      <c r="A1130" s="12" t="s">
        <v>989</v>
      </c>
      <c r="C1130">
        <v>266</v>
      </c>
      <c r="D1130">
        <v>1</v>
      </c>
      <c r="G1130">
        <v>40.21</v>
      </c>
      <c r="H1130">
        <v>1</v>
      </c>
      <c r="I1130">
        <v>128</v>
      </c>
      <c r="J1130">
        <f t="shared" si="59"/>
        <v>0.48892374666983196</v>
      </c>
      <c r="K1130" s="2" t="s">
        <v>2540</v>
      </c>
      <c r="L1130" s="17">
        <v>1E-3</v>
      </c>
      <c r="M1130" s="2" t="s">
        <v>2558</v>
      </c>
      <c r="N1130" s="2" t="s">
        <v>2558</v>
      </c>
      <c r="O1130" t="s">
        <v>2248</v>
      </c>
    </row>
    <row r="1131" spans="1:15" x14ac:dyDescent="0.25">
      <c r="A1131" s="12" t="s">
        <v>990</v>
      </c>
      <c r="C1131">
        <v>266</v>
      </c>
      <c r="D1131">
        <v>1</v>
      </c>
      <c r="G1131">
        <v>1.24</v>
      </c>
      <c r="H1131">
        <v>1</v>
      </c>
      <c r="I1131">
        <v>128</v>
      </c>
      <c r="J1131">
        <f t="shared" si="59"/>
        <v>9.7951787987970051E-2</v>
      </c>
      <c r="K1131" s="2">
        <v>2.7E-2</v>
      </c>
      <c r="L1131" s="17">
        <v>2.7E-2</v>
      </c>
      <c r="M1131" s="2" t="s">
        <v>2558</v>
      </c>
      <c r="N1131" s="2" t="s">
        <v>2558</v>
      </c>
    </row>
    <row r="1132" spans="1:15" x14ac:dyDescent="0.25">
      <c r="A1132" s="12" t="s">
        <v>991</v>
      </c>
      <c r="C1132">
        <v>266</v>
      </c>
      <c r="D1132">
        <v>1</v>
      </c>
      <c r="G1132">
        <v>35.28</v>
      </c>
      <c r="H1132">
        <v>1</v>
      </c>
      <c r="I1132">
        <v>129</v>
      </c>
      <c r="J1132">
        <f t="shared" si="59"/>
        <v>0.46341697836438506</v>
      </c>
      <c r="K1132" s="2" t="s">
        <v>2174</v>
      </c>
      <c r="L1132" s="17">
        <v>1E-3</v>
      </c>
      <c r="M1132" s="2" t="s">
        <v>2558</v>
      </c>
      <c r="N1132" s="2" t="s">
        <v>2558</v>
      </c>
    </row>
    <row r="1133" spans="1:15" x14ac:dyDescent="0.25">
      <c r="A1133" s="12" t="s">
        <v>992</v>
      </c>
      <c r="C1133">
        <v>266</v>
      </c>
      <c r="D1133">
        <v>1</v>
      </c>
      <c r="G1133">
        <v>27.21</v>
      </c>
      <c r="H1133">
        <v>1</v>
      </c>
      <c r="I1133">
        <v>129</v>
      </c>
      <c r="J1133">
        <f t="shared" si="59"/>
        <v>0.41735906876408424</v>
      </c>
      <c r="K1133" s="2" t="s">
        <v>2174</v>
      </c>
      <c r="L1133" s="17">
        <v>1E-3</v>
      </c>
      <c r="M1133" s="2" t="s">
        <v>2558</v>
      </c>
      <c r="N1133" s="2" t="s">
        <v>2558</v>
      </c>
      <c r="O1133" t="s">
        <v>2247</v>
      </c>
    </row>
    <row r="1134" spans="1:15" x14ac:dyDescent="0.25">
      <c r="A1134" s="12" t="s">
        <v>993</v>
      </c>
      <c r="C1134">
        <v>266</v>
      </c>
      <c r="D1134">
        <v>1</v>
      </c>
      <c r="G1134">
        <v>3.86</v>
      </c>
      <c r="H1134">
        <v>1</v>
      </c>
      <c r="I1134">
        <v>129</v>
      </c>
      <c r="J1134">
        <f t="shared" si="59"/>
        <v>0.17044981267862905</v>
      </c>
      <c r="K1134" s="2">
        <v>0.05</v>
      </c>
      <c r="L1134" s="17">
        <v>0.05</v>
      </c>
      <c r="M1134" s="2" t="s">
        <v>2558</v>
      </c>
      <c r="N1134" s="2" t="s">
        <v>2558</v>
      </c>
    </row>
    <row r="1135" spans="1:15" x14ac:dyDescent="0.25">
      <c r="A1135" s="12" t="s">
        <v>994</v>
      </c>
      <c r="C1135">
        <v>266</v>
      </c>
      <c r="D1135">
        <v>1</v>
      </c>
      <c r="G1135">
        <v>6.59</v>
      </c>
      <c r="H1135">
        <v>1</v>
      </c>
      <c r="I1135">
        <v>129</v>
      </c>
      <c r="J1135">
        <f t="shared" si="59"/>
        <v>0.22045952986229081</v>
      </c>
      <c r="K1135" s="2">
        <v>0.01</v>
      </c>
      <c r="L1135" s="17">
        <v>0.01</v>
      </c>
      <c r="M1135" s="2" t="s">
        <v>2558</v>
      </c>
      <c r="N1135" s="2" t="s">
        <v>2558</v>
      </c>
    </row>
    <row r="1136" spans="1:15" x14ac:dyDescent="0.25">
      <c r="A1136" s="12" t="s">
        <v>995</v>
      </c>
      <c r="C1136">
        <v>266</v>
      </c>
      <c r="D1136">
        <v>1</v>
      </c>
      <c r="G1136">
        <v>0.42</v>
      </c>
      <c r="H1136">
        <v>1</v>
      </c>
      <c r="I1136">
        <v>128</v>
      </c>
      <c r="J1136">
        <f t="shared" si="59"/>
        <v>5.7188448228713863E-2</v>
      </c>
      <c r="K1136" s="2">
        <v>0.52</v>
      </c>
      <c r="L1136" s="17">
        <v>0.52</v>
      </c>
      <c r="M1136" s="2" t="s">
        <v>2558</v>
      </c>
      <c r="N1136" s="2" t="s">
        <v>2558</v>
      </c>
    </row>
    <row r="1137" spans="1:16" x14ac:dyDescent="0.25">
      <c r="A1137" s="12" t="s">
        <v>996</v>
      </c>
      <c r="C1137">
        <v>266</v>
      </c>
      <c r="D1137">
        <v>1</v>
      </c>
      <c r="G1137">
        <v>0.12</v>
      </c>
      <c r="H1137">
        <v>1</v>
      </c>
      <c r="I1137">
        <v>128</v>
      </c>
      <c r="J1137">
        <f t="shared" si="59"/>
        <v>3.0604279389537286E-2</v>
      </c>
      <c r="K1137" s="2">
        <v>0.73</v>
      </c>
      <c r="L1137" s="17">
        <v>0.73</v>
      </c>
      <c r="M1137" s="2" t="s">
        <v>2558</v>
      </c>
      <c r="N1137" s="2" t="s">
        <v>2558</v>
      </c>
    </row>
    <row r="1138" spans="1:16" x14ac:dyDescent="0.25">
      <c r="A1138" s="12" t="s">
        <v>997</v>
      </c>
      <c r="C1138">
        <v>268</v>
      </c>
      <c r="D1138">
        <v>1</v>
      </c>
      <c r="E1138">
        <v>0</v>
      </c>
      <c r="J1138" t="b">
        <f t="shared" si="59"/>
        <v>0</v>
      </c>
      <c r="K1138" s="2" t="s">
        <v>2174</v>
      </c>
      <c r="L1138" s="17">
        <v>1E-3</v>
      </c>
    </row>
    <row r="1139" spans="1:16" x14ac:dyDescent="0.25">
      <c r="A1139" s="12" t="s">
        <v>998</v>
      </c>
      <c r="C1139">
        <v>268</v>
      </c>
      <c r="D1139">
        <v>1</v>
      </c>
      <c r="E1139">
        <v>0</v>
      </c>
      <c r="J1139" t="b">
        <f t="shared" si="59"/>
        <v>0</v>
      </c>
      <c r="K1139" s="2">
        <v>3.0000000000000001E-3</v>
      </c>
      <c r="L1139" s="17">
        <v>3.0000000000000001E-3</v>
      </c>
    </row>
    <row r="1140" spans="1:16" x14ac:dyDescent="0.25">
      <c r="A1140" s="12" t="s">
        <v>999</v>
      </c>
      <c r="C1140">
        <v>271</v>
      </c>
      <c r="D1140">
        <v>1</v>
      </c>
      <c r="J1140">
        <v>0.54</v>
      </c>
      <c r="K1140" s="2">
        <v>1.1800000000000001E-3</v>
      </c>
      <c r="L1140" s="17">
        <v>1.1800000000000001E-3</v>
      </c>
      <c r="P1140" s="2" t="s">
        <v>2560</v>
      </c>
    </row>
    <row r="1141" spans="1:16" x14ac:dyDescent="0.25">
      <c r="A1141" s="12" t="s">
        <v>1000</v>
      </c>
      <c r="C1141">
        <v>271</v>
      </c>
      <c r="D1141">
        <v>1</v>
      </c>
      <c r="J1141">
        <v>-0.41</v>
      </c>
      <c r="K1141" s="2">
        <v>1.78E-2</v>
      </c>
      <c r="L1141" s="17">
        <v>1.78E-2</v>
      </c>
      <c r="P1141" s="2" t="s">
        <v>2560</v>
      </c>
    </row>
    <row r="1142" spans="1:16" x14ac:dyDescent="0.25">
      <c r="A1142" s="12" t="s">
        <v>1001</v>
      </c>
      <c r="C1142">
        <v>271</v>
      </c>
      <c r="D1142">
        <v>1</v>
      </c>
      <c r="J1142">
        <v>0.61</v>
      </c>
      <c r="K1142" s="2" t="s">
        <v>2517</v>
      </c>
      <c r="L1142" s="17">
        <v>1E-3</v>
      </c>
      <c r="P1142" s="2" t="s">
        <v>2560</v>
      </c>
    </row>
    <row r="1143" spans="1:16" x14ac:dyDescent="0.25">
      <c r="A1143" s="12" t="s">
        <v>1002</v>
      </c>
      <c r="C1143">
        <v>271</v>
      </c>
      <c r="D1143">
        <v>1</v>
      </c>
      <c r="E1143">
        <v>0</v>
      </c>
      <c r="J1143" t="b">
        <f t="shared" ref="J1143:J1149" si="60">IF(NOT(ISBLANK(F1143)),SQRT((F1143^2*1/H1143)/(F1143^2*1/H1143+1)),IF(NOT(ISBLANK(G1143)),SQRT((G1143*H1143/I1143)/(G1143*H1143/I1143+1)*SQRT(1/H1143))))</f>
        <v>0</v>
      </c>
      <c r="K1143" s="2">
        <v>2E-3</v>
      </c>
      <c r="L1143" s="17">
        <v>2E-3</v>
      </c>
    </row>
    <row r="1144" spans="1:16" x14ac:dyDescent="0.25">
      <c r="A1144" s="12" t="s">
        <v>1003</v>
      </c>
      <c r="C1144">
        <v>271</v>
      </c>
      <c r="D1144">
        <v>1</v>
      </c>
      <c r="E1144">
        <v>0</v>
      </c>
      <c r="J1144" t="b">
        <f t="shared" si="60"/>
        <v>0</v>
      </c>
      <c r="K1144" s="2" t="s">
        <v>2541</v>
      </c>
    </row>
    <row r="1145" spans="1:16" x14ac:dyDescent="0.25">
      <c r="A1145" s="12" t="s">
        <v>1004</v>
      </c>
      <c r="C1145">
        <v>271</v>
      </c>
      <c r="D1145">
        <v>1</v>
      </c>
      <c r="E1145">
        <v>0</v>
      </c>
      <c r="J1145" t="b">
        <f t="shared" si="60"/>
        <v>0</v>
      </c>
      <c r="K1145" s="2">
        <v>1.4999999999999999E-2</v>
      </c>
      <c r="L1145" s="17">
        <v>1.4999999999999999E-2</v>
      </c>
    </row>
    <row r="1146" spans="1:16" x14ac:dyDescent="0.25">
      <c r="A1146" s="12" t="s">
        <v>1005</v>
      </c>
      <c r="C1146">
        <v>271</v>
      </c>
      <c r="D1146">
        <v>1</v>
      </c>
      <c r="E1146">
        <v>0</v>
      </c>
      <c r="J1146" t="b">
        <f t="shared" si="60"/>
        <v>0</v>
      </c>
      <c r="K1146" s="2">
        <v>2.1000000000000001E-2</v>
      </c>
      <c r="L1146" s="17">
        <v>2.1000000000000001E-2</v>
      </c>
    </row>
    <row r="1147" spans="1:16" x14ac:dyDescent="0.25">
      <c r="A1147" s="12" t="s">
        <v>1006</v>
      </c>
      <c r="C1147">
        <v>271</v>
      </c>
      <c r="D1147">
        <v>1</v>
      </c>
      <c r="G1147">
        <v>8.15</v>
      </c>
      <c r="H1147">
        <v>1.58</v>
      </c>
      <c r="I1147">
        <v>47.53</v>
      </c>
      <c r="J1147">
        <f t="shared" si="60"/>
        <v>0.41181242157507264</v>
      </c>
      <c r="K1147" s="2">
        <v>1.97E-3</v>
      </c>
      <c r="L1147" s="17">
        <v>1.97E-3</v>
      </c>
      <c r="M1147" s="2">
        <v>1</v>
      </c>
      <c r="N1147" s="2">
        <v>0</v>
      </c>
    </row>
    <row r="1148" spans="1:16" x14ac:dyDescent="0.25">
      <c r="A1148" s="12" t="s">
        <v>1007</v>
      </c>
      <c r="C1148">
        <v>271</v>
      </c>
      <c r="D1148">
        <v>1</v>
      </c>
      <c r="G1148">
        <v>2.44</v>
      </c>
      <c r="H1148">
        <v>1</v>
      </c>
      <c r="I1148">
        <v>30</v>
      </c>
      <c r="J1148">
        <f t="shared" si="60"/>
        <v>0.27425495981653714</v>
      </c>
      <c r="K1148" s="2">
        <v>0.13</v>
      </c>
      <c r="L1148" s="17">
        <v>0.13</v>
      </c>
      <c r="M1148" s="2">
        <v>0</v>
      </c>
      <c r="N1148" s="2">
        <f t="shared" ref="N1148:N1159" si="61">IF(M1148=0, 0)</f>
        <v>0</v>
      </c>
    </row>
    <row r="1149" spans="1:16" x14ac:dyDescent="0.25">
      <c r="A1149" s="12" t="s">
        <v>1008</v>
      </c>
      <c r="C1149">
        <v>271</v>
      </c>
      <c r="D1149">
        <v>1</v>
      </c>
      <c r="G1149">
        <v>0.91</v>
      </c>
      <c r="H1149">
        <v>1.87</v>
      </c>
      <c r="I1149">
        <v>56.21</v>
      </c>
      <c r="J1149">
        <f t="shared" si="60"/>
        <v>0.14658783844512957</v>
      </c>
      <c r="K1149" s="2">
        <v>0.40251999999999999</v>
      </c>
      <c r="L1149" s="17">
        <v>0.40251999999999999</v>
      </c>
      <c r="M1149" s="2">
        <v>1</v>
      </c>
      <c r="N1149" s="2">
        <v>0</v>
      </c>
    </row>
    <row r="1150" spans="1:16" x14ac:dyDescent="0.25">
      <c r="A1150" s="12" t="s">
        <v>1009</v>
      </c>
      <c r="C1150">
        <v>271</v>
      </c>
      <c r="D1150">
        <v>1</v>
      </c>
      <c r="J1150">
        <v>0.377</v>
      </c>
      <c r="K1150" s="2">
        <v>3.056E-2</v>
      </c>
      <c r="L1150" s="17">
        <v>3.056E-2</v>
      </c>
      <c r="P1150" s="2" t="s">
        <v>2560</v>
      </c>
    </row>
    <row r="1151" spans="1:16" x14ac:dyDescent="0.25">
      <c r="A1151" s="12" t="s">
        <v>1010</v>
      </c>
      <c r="C1151">
        <v>271</v>
      </c>
      <c r="D1151">
        <v>1</v>
      </c>
      <c r="J1151">
        <v>0.45</v>
      </c>
      <c r="K1151" s="2">
        <v>0.01</v>
      </c>
      <c r="L1151" s="17">
        <v>0.01</v>
      </c>
      <c r="P1151" s="2" t="s">
        <v>2560</v>
      </c>
    </row>
    <row r="1152" spans="1:16" x14ac:dyDescent="0.25">
      <c r="A1152" s="12" t="s">
        <v>1011</v>
      </c>
      <c r="C1152">
        <v>271</v>
      </c>
      <c r="D1152">
        <v>1</v>
      </c>
      <c r="J1152">
        <v>0.36</v>
      </c>
      <c r="K1152" s="2">
        <v>3.9600000000000003E-2</v>
      </c>
      <c r="L1152" s="17">
        <v>3.9600000000000003E-2</v>
      </c>
      <c r="P1152" s="2" t="s">
        <v>2560</v>
      </c>
    </row>
    <row r="1153" spans="1:16" x14ac:dyDescent="0.25">
      <c r="A1153" s="12" t="s">
        <v>1012</v>
      </c>
      <c r="C1153">
        <v>271</v>
      </c>
      <c r="D1153">
        <v>1</v>
      </c>
      <c r="J1153">
        <v>0.44</v>
      </c>
      <c r="K1153" s="2">
        <v>1.04E-2</v>
      </c>
      <c r="L1153" s="17">
        <v>1.04E-2</v>
      </c>
      <c r="P1153" s="2" t="s">
        <v>2560</v>
      </c>
    </row>
    <row r="1154" spans="1:16" x14ac:dyDescent="0.25">
      <c r="A1154" s="12" t="s">
        <v>2327</v>
      </c>
      <c r="C1154">
        <v>273</v>
      </c>
      <c r="D1154">
        <v>1</v>
      </c>
      <c r="F1154">
        <v>3.16</v>
      </c>
      <c r="H1154">
        <v>41</v>
      </c>
      <c r="J1154">
        <f t="shared" ref="J1154:J1163" si="62">IF(NOT(ISBLANK(F1154)),SQRT((F1154^2*1/H1154)/(F1154^2*1/H1154+1)),IF(NOT(ISBLANK(G1154)),SQRT((G1154*H1154/I1154)/(G1154*H1154/I1154+1)*SQRT(1/H1154))))</f>
        <v>0.44255098875031768</v>
      </c>
      <c r="K1154" s="2" t="s">
        <v>2534</v>
      </c>
      <c r="L1154" s="17">
        <v>0.01</v>
      </c>
      <c r="M1154" s="2">
        <v>0</v>
      </c>
      <c r="N1154" s="2">
        <f t="shared" si="61"/>
        <v>0</v>
      </c>
    </row>
    <row r="1155" spans="1:16" x14ac:dyDescent="0.25">
      <c r="A1155" s="12" t="s">
        <v>2328</v>
      </c>
      <c r="C1155">
        <v>273</v>
      </c>
      <c r="D1155">
        <v>1</v>
      </c>
      <c r="F1155">
        <v>2.91</v>
      </c>
      <c r="H1155">
        <v>41</v>
      </c>
      <c r="J1155">
        <f t="shared" si="62"/>
        <v>0.41374272831702097</v>
      </c>
      <c r="K1155" s="2">
        <v>0.01</v>
      </c>
      <c r="L1155" s="17">
        <v>0.01</v>
      </c>
      <c r="M1155" s="2">
        <v>0</v>
      </c>
      <c r="N1155" s="2">
        <f t="shared" si="61"/>
        <v>0</v>
      </c>
    </row>
    <row r="1156" spans="1:16" x14ac:dyDescent="0.25">
      <c r="A1156" s="12" t="s">
        <v>2329</v>
      </c>
      <c r="C1156">
        <v>273</v>
      </c>
      <c r="D1156">
        <v>1</v>
      </c>
      <c r="F1156">
        <v>1.39</v>
      </c>
      <c r="H1156">
        <v>41</v>
      </c>
      <c r="J1156">
        <f t="shared" si="62"/>
        <v>0.21214057131642222</v>
      </c>
      <c r="K1156" s="2">
        <v>0.17199999999999999</v>
      </c>
      <c r="L1156" s="17">
        <v>0.17199999999999999</v>
      </c>
      <c r="M1156" s="2">
        <v>0</v>
      </c>
      <c r="N1156" s="2">
        <f t="shared" si="61"/>
        <v>0</v>
      </c>
    </row>
    <row r="1157" spans="1:16" s="12" customFormat="1" x14ac:dyDescent="0.25">
      <c r="A1157" s="12" t="s">
        <v>2330</v>
      </c>
      <c r="C1157" s="12">
        <v>273</v>
      </c>
      <c r="D1157" s="12">
        <v>1</v>
      </c>
      <c r="F1157" s="12">
        <v>1.34</v>
      </c>
      <c r="H1157" s="12">
        <v>41</v>
      </c>
      <c r="J1157" s="12">
        <f t="shared" si="62"/>
        <v>0.20483550577125786</v>
      </c>
      <c r="K1157" s="13">
        <v>0.26400000000000001</v>
      </c>
      <c r="L1157" s="20">
        <v>0.26400000000000001</v>
      </c>
      <c r="M1157" s="13">
        <v>1</v>
      </c>
      <c r="N1157" s="13">
        <v>0</v>
      </c>
      <c r="P1157" s="13"/>
    </row>
    <row r="1158" spans="1:16" x14ac:dyDescent="0.25">
      <c r="A1158" s="12" t="s">
        <v>1013</v>
      </c>
      <c r="C1158">
        <v>276</v>
      </c>
      <c r="D1158">
        <v>1</v>
      </c>
      <c r="F1158">
        <v>2.04</v>
      </c>
      <c r="H1158">
        <v>201</v>
      </c>
      <c r="J1158">
        <f t="shared" si="62"/>
        <v>0.14242365563268303</v>
      </c>
      <c r="K1158" s="2">
        <v>4.2659999999999997E-2</v>
      </c>
      <c r="L1158" s="17">
        <v>4.2659999999999997E-2</v>
      </c>
      <c r="M1158" s="2">
        <v>1</v>
      </c>
      <c r="N1158" s="2">
        <v>0</v>
      </c>
    </row>
    <row r="1159" spans="1:16" x14ac:dyDescent="0.25">
      <c r="A1159" s="12" t="s">
        <v>1014</v>
      </c>
      <c r="C1159">
        <v>276</v>
      </c>
      <c r="D1159">
        <v>1</v>
      </c>
      <c r="F1159">
        <v>3.59</v>
      </c>
      <c r="H1159">
        <v>199</v>
      </c>
      <c r="J1159">
        <f t="shared" si="62"/>
        <v>0.24662730954877179</v>
      </c>
      <c r="K1159" s="2">
        <v>4.0000000000000002E-4</v>
      </c>
      <c r="L1159" s="17">
        <v>4.0000000000000002E-4</v>
      </c>
      <c r="M1159" s="2">
        <v>0</v>
      </c>
      <c r="N1159" s="2">
        <f t="shared" si="61"/>
        <v>0</v>
      </c>
    </row>
    <row r="1160" spans="1:16" x14ac:dyDescent="0.25">
      <c r="A1160" s="12" t="s">
        <v>1015</v>
      </c>
      <c r="C1160">
        <v>276</v>
      </c>
      <c r="D1160">
        <v>1</v>
      </c>
      <c r="E1160">
        <v>0</v>
      </c>
      <c r="J1160" t="b">
        <f t="shared" si="62"/>
        <v>0</v>
      </c>
      <c r="K1160" s="2" t="s">
        <v>2517</v>
      </c>
      <c r="L1160" s="17">
        <v>1E-3</v>
      </c>
    </row>
    <row r="1161" spans="1:16" x14ac:dyDescent="0.25">
      <c r="A1161" s="12" t="s">
        <v>1016</v>
      </c>
      <c r="C1161">
        <v>276</v>
      </c>
      <c r="D1161">
        <v>1</v>
      </c>
      <c r="E1161">
        <v>0</v>
      </c>
      <c r="J1161" t="b">
        <f t="shared" si="62"/>
        <v>0</v>
      </c>
      <c r="K1161" s="2" t="s">
        <v>2150</v>
      </c>
      <c r="L1161" s="17">
        <v>0.01</v>
      </c>
    </row>
    <row r="1162" spans="1:16" x14ac:dyDescent="0.25">
      <c r="A1162" s="12" t="s">
        <v>1017</v>
      </c>
      <c r="C1162">
        <v>276</v>
      </c>
      <c r="D1162">
        <v>1</v>
      </c>
      <c r="F1162">
        <v>2.66</v>
      </c>
      <c r="H1162">
        <v>201</v>
      </c>
      <c r="J1162">
        <f t="shared" si="62"/>
        <v>0.18440430635296742</v>
      </c>
      <c r="K1162" s="2" t="s">
        <v>2150</v>
      </c>
      <c r="L1162" s="17">
        <v>0.01</v>
      </c>
      <c r="M1162" s="2" t="s">
        <v>2558</v>
      </c>
      <c r="N1162" s="2" t="s">
        <v>2558</v>
      </c>
      <c r="O1162" t="s">
        <v>2249</v>
      </c>
    </row>
    <row r="1163" spans="1:16" x14ac:dyDescent="0.25">
      <c r="A1163" s="12" t="s">
        <v>1018</v>
      </c>
      <c r="C1163">
        <v>276</v>
      </c>
      <c r="D1163">
        <v>1</v>
      </c>
      <c r="F1163">
        <v>6.02</v>
      </c>
      <c r="H1163">
        <v>201</v>
      </c>
      <c r="J1163">
        <f t="shared" si="62"/>
        <v>0.39084284638631028</v>
      </c>
      <c r="K1163" s="2" t="s">
        <v>2536</v>
      </c>
      <c r="L1163" s="17">
        <v>1E-4</v>
      </c>
      <c r="M1163" s="2" t="s">
        <v>2558</v>
      </c>
      <c r="N1163" s="2" t="s">
        <v>2558</v>
      </c>
      <c r="O1163" t="s">
        <v>2249</v>
      </c>
    </row>
    <row r="1164" spans="1:16" x14ac:dyDescent="0.25">
      <c r="A1164" s="12" t="s">
        <v>1019</v>
      </c>
      <c r="C1164">
        <v>276</v>
      </c>
      <c r="D1164">
        <v>1</v>
      </c>
      <c r="J1164">
        <v>0.48</v>
      </c>
      <c r="K1164" s="2" t="s">
        <v>2517</v>
      </c>
      <c r="L1164" s="17">
        <v>1E-3</v>
      </c>
      <c r="P1164" s="2" t="s">
        <v>2560</v>
      </c>
    </row>
    <row r="1165" spans="1:16" x14ac:dyDescent="0.25">
      <c r="A1165" s="12" t="s">
        <v>1020</v>
      </c>
      <c r="C1165">
        <v>276</v>
      </c>
      <c r="D1165">
        <v>1</v>
      </c>
      <c r="J1165">
        <v>0.5</v>
      </c>
      <c r="K1165" s="2" t="s">
        <v>2517</v>
      </c>
      <c r="L1165" s="17">
        <v>1E-3</v>
      </c>
      <c r="P1165" s="2" t="s">
        <v>2560</v>
      </c>
    </row>
    <row r="1166" spans="1:16" x14ac:dyDescent="0.25">
      <c r="A1166" s="12" t="s">
        <v>1021</v>
      </c>
      <c r="C1166">
        <v>276</v>
      </c>
      <c r="D1166">
        <v>1</v>
      </c>
      <c r="J1166">
        <v>0.3</v>
      </c>
      <c r="K1166" s="2" t="s">
        <v>2517</v>
      </c>
      <c r="L1166" s="17">
        <v>1E-3</v>
      </c>
      <c r="P1166" s="2" t="s">
        <v>2560</v>
      </c>
    </row>
    <row r="1167" spans="1:16" x14ac:dyDescent="0.25">
      <c r="A1167" s="12" t="s">
        <v>1022</v>
      </c>
      <c r="C1167">
        <v>276</v>
      </c>
      <c r="D1167">
        <v>1</v>
      </c>
      <c r="J1167">
        <v>0.3</v>
      </c>
      <c r="K1167" s="2" t="s">
        <v>2517</v>
      </c>
      <c r="L1167" s="17">
        <v>1E-3</v>
      </c>
      <c r="P1167" s="2" t="s">
        <v>2560</v>
      </c>
    </row>
    <row r="1168" spans="1:16" x14ac:dyDescent="0.25">
      <c r="A1168" s="12" t="s">
        <v>1023</v>
      </c>
      <c r="C1168">
        <v>280</v>
      </c>
      <c r="D1168">
        <v>1</v>
      </c>
      <c r="G1168">
        <v>10.7</v>
      </c>
      <c r="H1168">
        <v>1</v>
      </c>
      <c r="I1168">
        <v>194</v>
      </c>
      <c r="J1168">
        <f t="shared" ref="J1168:J1179" si="63">IF(NOT(ISBLANK(F1168)),SQRT((F1168^2*1/H1168)/(F1168^2*1/H1168+1)),IF(NOT(ISBLANK(G1168)),SQRT((G1168*H1168/I1168)/(G1168*H1168/I1168+1)*SQRT(1/H1168))))</f>
        <v>0.228629869003349</v>
      </c>
      <c r="K1168" s="2" t="s">
        <v>2517</v>
      </c>
      <c r="L1168" s="17">
        <v>1E-3</v>
      </c>
      <c r="M1168" s="2" t="s">
        <v>2558</v>
      </c>
      <c r="N1168" s="2" t="s">
        <v>2558</v>
      </c>
      <c r="O1168" t="s">
        <v>2135</v>
      </c>
    </row>
    <row r="1169" spans="1:16" x14ac:dyDescent="0.25">
      <c r="A1169" s="12" t="s">
        <v>1024</v>
      </c>
      <c r="C1169">
        <v>280</v>
      </c>
      <c r="D1169">
        <v>1</v>
      </c>
      <c r="G1169">
        <v>6.53</v>
      </c>
      <c r="H1169">
        <v>3</v>
      </c>
      <c r="I1169">
        <v>582</v>
      </c>
      <c r="J1169">
        <f t="shared" si="63"/>
        <v>0.13711551527103696</v>
      </c>
      <c r="K1169" s="2" t="s">
        <v>2517</v>
      </c>
      <c r="L1169" s="17">
        <v>1E-3</v>
      </c>
      <c r="M1169" s="2" t="s">
        <v>2558</v>
      </c>
      <c r="N1169" s="2" t="s">
        <v>2558</v>
      </c>
    </row>
    <row r="1170" spans="1:16" x14ac:dyDescent="0.25">
      <c r="A1170" s="12" t="s">
        <v>1025</v>
      </c>
      <c r="C1170">
        <v>280</v>
      </c>
      <c r="D1170">
        <v>1</v>
      </c>
      <c r="G1170">
        <v>22.99</v>
      </c>
      <c r="H1170">
        <v>1</v>
      </c>
      <c r="I1170">
        <v>202</v>
      </c>
      <c r="J1170">
        <f t="shared" si="63"/>
        <v>0.31965969282064211</v>
      </c>
      <c r="K1170" s="2" t="s">
        <v>2517</v>
      </c>
      <c r="L1170" s="17">
        <v>1E-3</v>
      </c>
      <c r="M1170" s="2" t="s">
        <v>2558</v>
      </c>
      <c r="N1170" s="2" t="s">
        <v>2558</v>
      </c>
    </row>
    <row r="1171" spans="1:16" x14ac:dyDescent="0.25">
      <c r="A1171" s="12" t="s">
        <v>1026</v>
      </c>
      <c r="C1171">
        <v>280</v>
      </c>
      <c r="D1171">
        <v>1</v>
      </c>
      <c r="G1171">
        <v>2.08</v>
      </c>
      <c r="H1171">
        <v>3</v>
      </c>
      <c r="I1171">
        <v>606</v>
      </c>
      <c r="J1171">
        <f t="shared" si="63"/>
        <v>7.6709849555248219E-2</v>
      </c>
      <c r="K1171" s="2">
        <v>0.11</v>
      </c>
      <c r="L1171" s="17">
        <v>0.11</v>
      </c>
      <c r="M1171" s="2" t="s">
        <v>2558</v>
      </c>
      <c r="N1171" s="2" t="s">
        <v>2558</v>
      </c>
    </row>
    <row r="1172" spans="1:16" x14ac:dyDescent="0.25">
      <c r="A1172" s="12" t="s">
        <v>1027</v>
      </c>
      <c r="C1172">
        <v>280</v>
      </c>
      <c r="D1172">
        <v>1</v>
      </c>
      <c r="G1172">
        <v>8.99</v>
      </c>
      <c r="H1172">
        <v>1</v>
      </c>
      <c r="I1172">
        <v>196</v>
      </c>
      <c r="J1172">
        <f t="shared" si="63"/>
        <v>0.2094177591413805</v>
      </c>
      <c r="K1172" s="2">
        <v>3.0000000000000001E-3</v>
      </c>
      <c r="L1172" s="17">
        <v>3.0000000000000001E-3</v>
      </c>
      <c r="M1172" s="2" t="s">
        <v>2558</v>
      </c>
      <c r="N1172" s="2" t="s">
        <v>2558</v>
      </c>
    </row>
    <row r="1173" spans="1:16" x14ac:dyDescent="0.25">
      <c r="A1173" s="12" t="s">
        <v>1028</v>
      </c>
      <c r="C1173">
        <v>280</v>
      </c>
      <c r="D1173">
        <v>1</v>
      </c>
      <c r="G1173">
        <v>0.89</v>
      </c>
      <c r="H1173">
        <v>3</v>
      </c>
      <c r="I1173">
        <v>588</v>
      </c>
      <c r="J1173">
        <f t="shared" si="63"/>
        <v>5.1086113055521992E-2</v>
      </c>
      <c r="K1173" s="2">
        <v>0.45</v>
      </c>
      <c r="L1173" s="17">
        <v>0.45</v>
      </c>
      <c r="M1173" s="2" t="s">
        <v>2558</v>
      </c>
      <c r="N1173" s="2" t="s">
        <v>2558</v>
      </c>
    </row>
    <row r="1174" spans="1:16" x14ac:dyDescent="0.25">
      <c r="A1174" s="12" t="s">
        <v>1029</v>
      </c>
      <c r="C1174">
        <v>280</v>
      </c>
      <c r="D1174">
        <v>1</v>
      </c>
      <c r="G1174">
        <v>7.05</v>
      </c>
      <c r="H1174">
        <v>1</v>
      </c>
      <c r="I1174">
        <v>196</v>
      </c>
      <c r="J1174">
        <f t="shared" si="63"/>
        <v>0.18633440956816319</v>
      </c>
      <c r="K1174" s="2">
        <v>8.9999999999999993E-3</v>
      </c>
      <c r="L1174" s="17">
        <v>8.9999999999999993E-3</v>
      </c>
      <c r="M1174" s="2" t="s">
        <v>2558</v>
      </c>
      <c r="N1174" s="2" t="s">
        <v>2558</v>
      </c>
    </row>
    <row r="1175" spans="1:16" x14ac:dyDescent="0.25">
      <c r="A1175" s="12" t="s">
        <v>1030</v>
      </c>
      <c r="C1175">
        <v>280</v>
      </c>
      <c r="D1175">
        <v>1</v>
      </c>
      <c r="G1175">
        <v>1.02</v>
      </c>
      <c r="H1175">
        <v>3</v>
      </c>
      <c r="I1175">
        <v>588</v>
      </c>
      <c r="J1175">
        <f t="shared" si="63"/>
        <v>5.4671956365009253E-2</v>
      </c>
      <c r="K1175" s="2">
        <v>0.38</v>
      </c>
      <c r="L1175" s="17">
        <v>0.38</v>
      </c>
      <c r="M1175" s="2" t="s">
        <v>2558</v>
      </c>
      <c r="N1175" s="2" t="s">
        <v>2558</v>
      </c>
    </row>
    <row r="1176" spans="1:16" x14ac:dyDescent="0.25">
      <c r="A1176" s="12" t="s">
        <v>1031</v>
      </c>
      <c r="C1176">
        <v>280</v>
      </c>
      <c r="D1176">
        <v>1</v>
      </c>
      <c r="F1176">
        <v>4.8</v>
      </c>
      <c r="H1176">
        <v>208</v>
      </c>
      <c r="J1176">
        <f t="shared" si="63"/>
        <v>0.31578947368421051</v>
      </c>
      <c r="K1176" s="2">
        <v>1E-3</v>
      </c>
      <c r="L1176" s="17">
        <v>1E-3</v>
      </c>
      <c r="M1176" s="2" t="s">
        <v>2558</v>
      </c>
      <c r="N1176" s="2" t="s">
        <v>2558</v>
      </c>
      <c r="O1176" t="s">
        <v>2250</v>
      </c>
    </row>
    <row r="1177" spans="1:16" x14ac:dyDescent="0.25">
      <c r="A1177" s="12" t="s">
        <v>1032</v>
      </c>
      <c r="C1177">
        <v>280</v>
      </c>
      <c r="D1177">
        <v>1</v>
      </c>
      <c r="F1177">
        <v>2.86</v>
      </c>
      <c r="H1177">
        <v>208</v>
      </c>
      <c r="J1177">
        <f t="shared" si="63"/>
        <v>0.19451749974159768</v>
      </c>
      <c r="K1177" s="2">
        <v>5.0000000000000001E-3</v>
      </c>
      <c r="L1177" s="17">
        <v>5.0000000000000001E-3</v>
      </c>
      <c r="M1177" s="2" t="s">
        <v>2558</v>
      </c>
      <c r="N1177" s="2" t="s">
        <v>2558</v>
      </c>
      <c r="O1177" t="s">
        <v>2250</v>
      </c>
    </row>
    <row r="1178" spans="1:16" x14ac:dyDescent="0.25">
      <c r="A1178" s="12" t="s">
        <v>1033</v>
      </c>
      <c r="C1178">
        <v>280</v>
      </c>
      <c r="D1178">
        <v>1</v>
      </c>
      <c r="F1178">
        <v>5.0000000000000001E-3</v>
      </c>
      <c r="H1178">
        <v>208</v>
      </c>
      <c r="J1178">
        <f t="shared" si="63"/>
        <v>3.4668760180617736E-4</v>
      </c>
      <c r="K1178" s="2">
        <v>0.99</v>
      </c>
      <c r="L1178" s="17">
        <v>0.99</v>
      </c>
      <c r="M1178" s="2" t="s">
        <v>2558</v>
      </c>
      <c r="N1178" s="2" t="s">
        <v>2558</v>
      </c>
      <c r="O1178" t="s">
        <v>2250</v>
      </c>
    </row>
    <row r="1179" spans="1:16" x14ac:dyDescent="0.25">
      <c r="A1179" s="12" t="s">
        <v>1034</v>
      </c>
      <c r="C1179">
        <v>280</v>
      </c>
      <c r="D1179">
        <v>1</v>
      </c>
      <c r="F1179">
        <v>10.46</v>
      </c>
      <c r="H1179">
        <v>208</v>
      </c>
      <c r="J1179">
        <f t="shared" si="63"/>
        <v>0.58711109474757028</v>
      </c>
      <c r="K1179" s="2">
        <v>1E-3</v>
      </c>
      <c r="L1179" s="17">
        <v>1E-3</v>
      </c>
      <c r="M1179" s="2" t="s">
        <v>2558</v>
      </c>
      <c r="N1179" s="2" t="s">
        <v>2558</v>
      </c>
      <c r="O1179" t="s">
        <v>2250</v>
      </c>
    </row>
    <row r="1180" spans="1:16" x14ac:dyDescent="0.25">
      <c r="A1180" s="12" t="s">
        <v>1035</v>
      </c>
      <c r="C1180">
        <v>282</v>
      </c>
      <c r="D1180">
        <v>1</v>
      </c>
      <c r="J1180">
        <v>0.11</v>
      </c>
      <c r="O1180" t="s">
        <v>2135</v>
      </c>
      <c r="P1180" s="2" t="s">
        <v>2560</v>
      </c>
    </row>
    <row r="1181" spans="1:16" x14ac:dyDescent="0.25">
      <c r="A1181" s="12" t="s">
        <v>1036</v>
      </c>
      <c r="C1181">
        <v>282</v>
      </c>
      <c r="D1181">
        <v>1</v>
      </c>
      <c r="J1181">
        <v>0.14000000000000001</v>
      </c>
      <c r="P1181" s="2" t="s">
        <v>2560</v>
      </c>
    </row>
    <row r="1182" spans="1:16" x14ac:dyDescent="0.25">
      <c r="A1182" s="12" t="s">
        <v>1037</v>
      </c>
      <c r="C1182">
        <v>282</v>
      </c>
      <c r="D1182">
        <v>1</v>
      </c>
      <c r="J1182">
        <v>0.12</v>
      </c>
      <c r="P1182" s="2" t="s">
        <v>2560</v>
      </c>
    </row>
    <row r="1183" spans="1:16" x14ac:dyDescent="0.25">
      <c r="A1183" s="12" t="s">
        <v>1038</v>
      </c>
      <c r="C1183">
        <v>282</v>
      </c>
      <c r="D1183">
        <v>1</v>
      </c>
      <c r="J1183">
        <v>0.17</v>
      </c>
      <c r="P1183" s="2" t="s">
        <v>2560</v>
      </c>
    </row>
    <row r="1184" spans="1:16" x14ac:dyDescent="0.25">
      <c r="A1184" s="12" t="s">
        <v>1039</v>
      </c>
      <c r="C1184">
        <v>282</v>
      </c>
      <c r="D1184">
        <v>1</v>
      </c>
      <c r="J1184">
        <v>0.23</v>
      </c>
      <c r="P1184" s="2" t="s">
        <v>2560</v>
      </c>
    </row>
    <row r="1185" spans="1:16" x14ac:dyDescent="0.25">
      <c r="A1185" s="12" t="s">
        <v>1040</v>
      </c>
      <c r="C1185">
        <v>282</v>
      </c>
      <c r="D1185">
        <v>1</v>
      </c>
      <c r="J1185">
        <v>0.56999999999999995</v>
      </c>
      <c r="P1185" s="2" t="s">
        <v>2560</v>
      </c>
    </row>
    <row r="1186" spans="1:16" x14ac:dyDescent="0.25">
      <c r="A1186" s="12" t="s">
        <v>1041</v>
      </c>
      <c r="C1186">
        <v>282</v>
      </c>
      <c r="D1186">
        <v>1</v>
      </c>
      <c r="J1186">
        <v>0.54</v>
      </c>
      <c r="P1186" s="2" t="s">
        <v>2560</v>
      </c>
    </row>
    <row r="1187" spans="1:16" x14ac:dyDescent="0.25">
      <c r="A1187" s="12" t="s">
        <v>1042</v>
      </c>
      <c r="C1187">
        <v>282</v>
      </c>
      <c r="D1187">
        <v>1</v>
      </c>
      <c r="J1187">
        <v>0.45</v>
      </c>
      <c r="P1187" s="2" t="s">
        <v>2560</v>
      </c>
    </row>
    <row r="1188" spans="1:16" x14ac:dyDescent="0.25">
      <c r="A1188" s="12" t="s">
        <v>1043</v>
      </c>
      <c r="C1188">
        <v>282</v>
      </c>
      <c r="D1188">
        <v>5</v>
      </c>
      <c r="J1188">
        <v>0.92</v>
      </c>
      <c r="O1188" t="s">
        <v>2251</v>
      </c>
      <c r="P1188" s="2" t="s">
        <v>2560</v>
      </c>
    </row>
    <row r="1189" spans="1:16" x14ac:dyDescent="0.25">
      <c r="A1189" s="12" t="s">
        <v>1044</v>
      </c>
      <c r="C1189">
        <v>282</v>
      </c>
      <c r="D1189">
        <v>5</v>
      </c>
      <c r="J1189">
        <v>0.94</v>
      </c>
      <c r="O1189" t="s">
        <v>2251</v>
      </c>
      <c r="P1189" s="2" t="s">
        <v>2560</v>
      </c>
    </row>
    <row r="1190" spans="1:16" x14ac:dyDescent="0.25">
      <c r="A1190" s="12" t="s">
        <v>1045</v>
      </c>
      <c r="C1190">
        <v>282</v>
      </c>
      <c r="D1190">
        <v>1</v>
      </c>
      <c r="J1190">
        <v>0.12</v>
      </c>
      <c r="P1190" s="2" t="s">
        <v>2560</v>
      </c>
    </row>
    <row r="1191" spans="1:16" x14ac:dyDescent="0.25">
      <c r="A1191" s="12" t="s">
        <v>1046</v>
      </c>
      <c r="C1191">
        <v>282</v>
      </c>
      <c r="D1191">
        <v>1</v>
      </c>
      <c r="E1191">
        <v>0</v>
      </c>
      <c r="J1191" t="b">
        <f>IF(NOT(ISBLANK(F1191)),SQRT((F1191^2*1/H1191)/(F1191^2*1/H1191+1)),IF(NOT(ISBLANK(G1191)),SQRT((G1191*H1191/I1191)/(G1191*H1191/I1191+1)*SQRT(1/H1191))))</f>
        <v>0</v>
      </c>
      <c r="K1191" s="2">
        <v>3.4000000000000002E-2</v>
      </c>
      <c r="L1191" s="17">
        <v>3.4000000000000002E-2</v>
      </c>
    </row>
    <row r="1192" spans="1:16" x14ac:dyDescent="0.25">
      <c r="A1192" s="12" t="s">
        <v>1047</v>
      </c>
      <c r="C1192">
        <v>282</v>
      </c>
      <c r="D1192">
        <v>1</v>
      </c>
      <c r="E1192">
        <v>0</v>
      </c>
      <c r="J1192" t="b">
        <f>IF(NOT(ISBLANK(F1192)),SQRT((F1192^2*1/H1192)/(F1192^2*1/H1192+1)),IF(NOT(ISBLANK(G1192)),SQRT((G1192*H1192/I1192)/(G1192*H1192/I1192+1)*SQRT(1/H1192))))</f>
        <v>0</v>
      </c>
      <c r="K1192" s="2" t="s">
        <v>2139</v>
      </c>
      <c r="L1192" s="17">
        <v>1E-3</v>
      </c>
    </row>
    <row r="1193" spans="1:16" x14ac:dyDescent="0.25">
      <c r="A1193" s="12" t="s">
        <v>1048</v>
      </c>
      <c r="C1193">
        <v>282</v>
      </c>
      <c r="D1193">
        <v>1</v>
      </c>
      <c r="E1193">
        <v>0</v>
      </c>
      <c r="J1193" t="b">
        <f>IF(NOT(ISBLANK(F1193)),SQRT((F1193^2*1/H1193)/(F1193^2*1/H1193+1)),IF(NOT(ISBLANK(G1193)),SQRT((G1193*H1193/I1193)/(G1193*H1193/I1193+1)*SQRT(1/H1193))))</f>
        <v>0</v>
      </c>
      <c r="K1193" s="2">
        <v>1E-3</v>
      </c>
      <c r="L1193" s="17">
        <v>1E-3</v>
      </c>
    </row>
    <row r="1194" spans="1:16" x14ac:dyDescent="0.25">
      <c r="A1194" s="12" t="s">
        <v>1049</v>
      </c>
      <c r="C1194">
        <v>288</v>
      </c>
      <c r="D1194">
        <v>1</v>
      </c>
      <c r="J1194">
        <v>0.19</v>
      </c>
      <c r="K1194" s="2">
        <v>8.2280000000000006E-2</v>
      </c>
      <c r="L1194" s="17">
        <v>8.2280000000000006E-2</v>
      </c>
      <c r="M1194" s="2">
        <v>0</v>
      </c>
      <c r="N1194" s="2">
        <v>0</v>
      </c>
    </row>
    <row r="1195" spans="1:16" x14ac:dyDescent="0.25">
      <c r="A1195" s="12" t="s">
        <v>1050</v>
      </c>
      <c r="C1195">
        <v>288</v>
      </c>
      <c r="D1195">
        <v>1</v>
      </c>
      <c r="E1195">
        <v>0</v>
      </c>
      <c r="J1195" t="b">
        <f>IF(NOT(ISBLANK(F1195)),SQRT((F1195^2*1/H1195)/(F1195^2*1/H1195+1)),IF(NOT(ISBLANK(G1195)),SQRT((G1195*H1195/I1195)/(G1195*H1195/I1195+1)*SQRT(1/H1195))))</f>
        <v>0</v>
      </c>
      <c r="K1195" s="2" t="s">
        <v>2542</v>
      </c>
      <c r="L1195" s="17">
        <v>0.42</v>
      </c>
    </row>
    <row r="1196" spans="1:16" x14ac:dyDescent="0.25">
      <c r="A1196" s="12" t="s">
        <v>1051</v>
      </c>
      <c r="C1196">
        <v>288</v>
      </c>
      <c r="D1196">
        <v>1</v>
      </c>
      <c r="J1196">
        <v>0.22</v>
      </c>
      <c r="K1196" s="2">
        <v>8.9999999999999993E-3</v>
      </c>
      <c r="L1196" s="17">
        <v>8.9999999999999993E-3</v>
      </c>
      <c r="M1196" s="2" t="s">
        <v>2558</v>
      </c>
      <c r="N1196" s="2" t="s">
        <v>2558</v>
      </c>
      <c r="O1196" t="s">
        <v>2135</v>
      </c>
    </row>
    <row r="1197" spans="1:16" x14ac:dyDescent="0.25">
      <c r="A1197" s="12" t="s">
        <v>1052</v>
      </c>
      <c r="C1197">
        <v>288</v>
      </c>
      <c r="D1197">
        <v>1</v>
      </c>
      <c r="J1197">
        <v>0.22</v>
      </c>
      <c r="K1197" s="2">
        <v>2.4E-2</v>
      </c>
      <c r="L1197" s="17">
        <v>2.4E-2</v>
      </c>
      <c r="M1197" s="2">
        <v>0</v>
      </c>
      <c r="N1197" s="2">
        <f t="shared" ref="N1197:N1245" si="64">IF(M1197=0, 0)</f>
        <v>0</v>
      </c>
    </row>
    <row r="1198" spans="1:16" x14ac:dyDescent="0.25">
      <c r="A1198" s="12" t="s">
        <v>1053</v>
      </c>
      <c r="C1198">
        <v>288</v>
      </c>
      <c r="D1198">
        <v>1</v>
      </c>
      <c r="J1198">
        <v>0.3</v>
      </c>
      <c r="K1198" s="2">
        <v>7.0000000000000001E-3</v>
      </c>
      <c r="L1198" s="17">
        <v>7.0000000000000001E-3</v>
      </c>
      <c r="M1198" s="2" t="s">
        <v>2558</v>
      </c>
      <c r="N1198" s="2" t="s">
        <v>2558</v>
      </c>
      <c r="O1198" t="s">
        <v>2135</v>
      </c>
    </row>
    <row r="1199" spans="1:16" x14ac:dyDescent="0.25">
      <c r="A1199" s="12" t="s">
        <v>2465</v>
      </c>
      <c r="C1199">
        <v>294</v>
      </c>
      <c r="D1199">
        <v>1</v>
      </c>
      <c r="F1199">
        <v>2.63</v>
      </c>
      <c r="H1199">
        <v>79</v>
      </c>
      <c r="J1199">
        <f t="shared" ref="J1199:J1200" si="65">IF(NOT(ISBLANK(F1199)),SQRT((F1199^2*1/H1199)/(F1199^2*1/H1199+1)),IF(NOT(ISBLANK(G1199)),SQRT((G1199*H1199/I1199)/(G1199*H1199/I1199+1)*SQRT(1/H1199))))</f>
        <v>0.28373731136921831</v>
      </c>
      <c r="K1199" s="2">
        <v>0.01</v>
      </c>
      <c r="L1199" s="17">
        <v>0.01</v>
      </c>
      <c r="M1199" s="2">
        <v>0</v>
      </c>
      <c r="N1199" s="2">
        <v>0</v>
      </c>
    </row>
    <row r="1200" spans="1:16" x14ac:dyDescent="0.25">
      <c r="A1200" s="12" t="s">
        <v>2466</v>
      </c>
      <c r="C1200">
        <v>294</v>
      </c>
      <c r="D1200">
        <v>1</v>
      </c>
      <c r="F1200">
        <v>3.5</v>
      </c>
      <c r="H1200">
        <v>79</v>
      </c>
      <c r="J1200">
        <f t="shared" si="65"/>
        <v>0.36639674581314957</v>
      </c>
      <c r="K1200" s="2">
        <v>1E-3</v>
      </c>
      <c r="L1200" s="17">
        <v>1E-3</v>
      </c>
      <c r="M1200" s="2">
        <v>0</v>
      </c>
      <c r="N1200" s="2">
        <v>0</v>
      </c>
    </row>
    <row r="1201" spans="1:15" x14ac:dyDescent="0.25">
      <c r="A1201" s="12" t="s">
        <v>1054</v>
      </c>
      <c r="C1201">
        <v>297</v>
      </c>
      <c r="D1201">
        <v>1</v>
      </c>
      <c r="E1201">
        <v>0</v>
      </c>
      <c r="J1201" t="b">
        <f t="shared" ref="J1201:J1233" si="66">IF(NOT(ISBLANK(F1201)),SQRT((F1201^2*1/H1201)/(F1201^2*1/H1201+1)),IF(NOT(ISBLANK(G1201)),SQRT((G1201*H1201/I1201)/(G1201*H1201/I1201+1)*SQRT(1/H1201))))</f>
        <v>0</v>
      </c>
      <c r="K1201" s="2" t="s">
        <v>2252</v>
      </c>
      <c r="L1201" s="17">
        <v>0</v>
      </c>
      <c r="M1201" s="2">
        <v>0</v>
      </c>
      <c r="N1201" s="2">
        <f t="shared" si="64"/>
        <v>0</v>
      </c>
      <c r="O1201" t="s">
        <v>2262</v>
      </c>
    </row>
    <row r="1202" spans="1:15" x14ac:dyDescent="0.25">
      <c r="A1202" s="12" t="s">
        <v>1055</v>
      </c>
      <c r="C1202">
        <v>297</v>
      </c>
      <c r="D1202">
        <v>1</v>
      </c>
      <c r="E1202">
        <v>0</v>
      </c>
      <c r="J1202" t="b">
        <f t="shared" si="66"/>
        <v>0</v>
      </c>
      <c r="K1202" s="2" t="s">
        <v>2252</v>
      </c>
      <c r="L1202" s="17">
        <v>0</v>
      </c>
      <c r="M1202" s="2">
        <v>0</v>
      </c>
      <c r="N1202" s="2">
        <f t="shared" si="64"/>
        <v>0</v>
      </c>
      <c r="O1202" t="s">
        <v>2262</v>
      </c>
    </row>
    <row r="1203" spans="1:15" x14ac:dyDescent="0.25">
      <c r="A1203" s="12" t="s">
        <v>1056</v>
      </c>
      <c r="C1203">
        <v>297</v>
      </c>
      <c r="D1203">
        <v>1</v>
      </c>
      <c r="E1203">
        <v>0</v>
      </c>
      <c r="J1203" t="b">
        <f t="shared" si="66"/>
        <v>0</v>
      </c>
      <c r="K1203" s="2" t="s">
        <v>2252</v>
      </c>
      <c r="L1203" s="17">
        <v>0</v>
      </c>
    </row>
    <row r="1204" spans="1:15" x14ac:dyDescent="0.25">
      <c r="A1204" s="12" t="s">
        <v>1057</v>
      </c>
      <c r="C1204">
        <v>297</v>
      </c>
      <c r="D1204">
        <v>1</v>
      </c>
      <c r="E1204">
        <v>0</v>
      </c>
      <c r="J1204" t="b">
        <f t="shared" si="66"/>
        <v>0</v>
      </c>
      <c r="K1204" s="2">
        <v>2.4E-2</v>
      </c>
      <c r="L1204" s="17">
        <v>2.4E-2</v>
      </c>
    </row>
    <row r="1205" spans="1:15" x14ac:dyDescent="0.25">
      <c r="A1205" s="12" t="s">
        <v>1058</v>
      </c>
      <c r="C1205">
        <v>297</v>
      </c>
      <c r="D1205">
        <v>1</v>
      </c>
      <c r="E1205">
        <v>0</v>
      </c>
      <c r="J1205" t="b">
        <f t="shared" si="66"/>
        <v>0</v>
      </c>
      <c r="K1205" s="2">
        <v>4.9000000000000002E-2</v>
      </c>
      <c r="L1205" s="17">
        <v>4.9000000000000002E-2</v>
      </c>
    </row>
    <row r="1206" spans="1:15" x14ac:dyDescent="0.25">
      <c r="A1206" s="12" t="s">
        <v>1059</v>
      </c>
      <c r="C1206">
        <v>297</v>
      </c>
      <c r="D1206">
        <v>1</v>
      </c>
      <c r="E1206">
        <v>0</v>
      </c>
      <c r="J1206" t="b">
        <f t="shared" si="66"/>
        <v>0</v>
      </c>
      <c r="K1206" s="2" t="s">
        <v>2252</v>
      </c>
      <c r="L1206" s="17">
        <v>0</v>
      </c>
      <c r="M1206" s="2">
        <v>0</v>
      </c>
      <c r="N1206" s="2">
        <f t="shared" si="64"/>
        <v>0</v>
      </c>
      <c r="O1206" t="s">
        <v>2262</v>
      </c>
    </row>
    <row r="1207" spans="1:15" x14ac:dyDescent="0.25">
      <c r="A1207" s="12" t="s">
        <v>1060</v>
      </c>
      <c r="C1207">
        <v>297</v>
      </c>
      <c r="D1207">
        <v>1</v>
      </c>
      <c r="E1207">
        <v>0</v>
      </c>
      <c r="J1207" t="b">
        <f t="shared" si="66"/>
        <v>0</v>
      </c>
      <c r="K1207" s="2" t="s">
        <v>2252</v>
      </c>
      <c r="L1207" s="17">
        <v>0</v>
      </c>
      <c r="M1207" s="2">
        <v>0</v>
      </c>
      <c r="N1207" s="2">
        <f t="shared" si="64"/>
        <v>0</v>
      </c>
      <c r="O1207" t="s">
        <v>2262</v>
      </c>
    </row>
    <row r="1208" spans="1:15" x14ac:dyDescent="0.25">
      <c r="A1208" s="12" t="s">
        <v>1061</v>
      </c>
      <c r="C1208">
        <v>297</v>
      </c>
      <c r="D1208">
        <v>1</v>
      </c>
      <c r="E1208">
        <v>0</v>
      </c>
      <c r="J1208" t="b">
        <f t="shared" si="66"/>
        <v>0</v>
      </c>
      <c r="K1208" s="2">
        <v>4.5999999999999999E-2</v>
      </c>
      <c r="L1208" s="17">
        <v>4.5999999999999999E-2</v>
      </c>
    </row>
    <row r="1209" spans="1:15" x14ac:dyDescent="0.25">
      <c r="A1209" s="12" t="s">
        <v>1062</v>
      </c>
      <c r="C1209">
        <v>297</v>
      </c>
      <c r="D1209">
        <v>1</v>
      </c>
      <c r="E1209">
        <v>0</v>
      </c>
      <c r="J1209" t="b">
        <f t="shared" si="66"/>
        <v>0</v>
      </c>
      <c r="K1209" s="2" t="s">
        <v>2252</v>
      </c>
      <c r="L1209" s="17">
        <v>0</v>
      </c>
    </row>
    <row r="1210" spans="1:15" x14ac:dyDescent="0.25">
      <c r="A1210" s="12" t="s">
        <v>1063</v>
      </c>
      <c r="C1210">
        <v>297</v>
      </c>
      <c r="D1210">
        <v>1</v>
      </c>
      <c r="E1210">
        <v>0</v>
      </c>
      <c r="J1210" t="b">
        <f t="shared" si="66"/>
        <v>0</v>
      </c>
      <c r="K1210" s="2" t="s">
        <v>2252</v>
      </c>
      <c r="L1210" s="17">
        <v>0</v>
      </c>
    </row>
    <row r="1211" spans="1:15" x14ac:dyDescent="0.25">
      <c r="A1211" s="12" t="s">
        <v>1064</v>
      </c>
      <c r="C1211">
        <v>297</v>
      </c>
      <c r="D1211">
        <v>1</v>
      </c>
      <c r="E1211">
        <v>0</v>
      </c>
      <c r="J1211" t="b">
        <f t="shared" si="66"/>
        <v>0</v>
      </c>
      <c r="K1211" s="2">
        <v>2.4E-2</v>
      </c>
      <c r="L1211" s="17">
        <v>2.4E-2</v>
      </c>
    </row>
    <row r="1212" spans="1:15" x14ac:dyDescent="0.25">
      <c r="A1212" s="12" t="s">
        <v>1065</v>
      </c>
      <c r="C1212">
        <v>297</v>
      </c>
      <c r="D1212">
        <v>1</v>
      </c>
      <c r="E1212">
        <v>0</v>
      </c>
      <c r="J1212" t="b">
        <f t="shared" si="66"/>
        <v>0</v>
      </c>
      <c r="K1212" s="2" t="s">
        <v>2252</v>
      </c>
      <c r="L1212" s="17">
        <v>0</v>
      </c>
      <c r="M1212" s="2">
        <v>0</v>
      </c>
      <c r="N1212" s="2">
        <f t="shared" si="64"/>
        <v>0</v>
      </c>
      <c r="O1212" t="s">
        <v>2262</v>
      </c>
    </row>
    <row r="1213" spans="1:15" x14ac:dyDescent="0.25">
      <c r="A1213" s="12" t="s">
        <v>1066</v>
      </c>
      <c r="C1213">
        <v>297</v>
      </c>
      <c r="D1213">
        <v>1</v>
      </c>
      <c r="G1213">
        <v>4.6100000000000003</v>
      </c>
      <c r="H1213">
        <v>3</v>
      </c>
      <c r="I1213">
        <v>556</v>
      </c>
      <c r="J1213">
        <f t="shared" si="66"/>
        <v>0.11837449013416192</v>
      </c>
      <c r="K1213" s="2">
        <v>3.0000000000000001E-3</v>
      </c>
      <c r="L1213" s="17">
        <v>3.0000000000000001E-3</v>
      </c>
      <c r="M1213" s="2">
        <v>0</v>
      </c>
      <c r="N1213" s="2">
        <v>0</v>
      </c>
    </row>
    <row r="1214" spans="1:15" x14ac:dyDescent="0.25">
      <c r="A1214" s="12" t="s">
        <v>1067</v>
      </c>
      <c r="C1214">
        <v>297</v>
      </c>
      <c r="D1214">
        <v>1</v>
      </c>
      <c r="E1214">
        <v>0</v>
      </c>
      <c r="J1214" t="b">
        <f t="shared" si="66"/>
        <v>0</v>
      </c>
      <c r="K1214" s="2">
        <v>2E-3</v>
      </c>
      <c r="L1214" s="17">
        <v>2E-3</v>
      </c>
    </row>
    <row r="1215" spans="1:15" x14ac:dyDescent="0.25">
      <c r="A1215" s="12" t="s">
        <v>1068</v>
      </c>
      <c r="C1215">
        <v>297</v>
      </c>
      <c r="D1215">
        <v>1</v>
      </c>
      <c r="E1215">
        <v>0</v>
      </c>
      <c r="J1215" t="b">
        <f t="shared" si="66"/>
        <v>0</v>
      </c>
      <c r="K1215" s="2">
        <v>3.4000000000000002E-2</v>
      </c>
      <c r="L1215" s="17">
        <v>3.4000000000000002E-2</v>
      </c>
    </row>
    <row r="1216" spans="1:15" x14ac:dyDescent="0.25">
      <c r="A1216" s="12" t="s">
        <v>1069</v>
      </c>
      <c r="C1216">
        <v>298</v>
      </c>
      <c r="D1216">
        <v>1</v>
      </c>
      <c r="F1216">
        <v>-4.7</v>
      </c>
      <c r="H1216">
        <v>396</v>
      </c>
      <c r="J1216">
        <f t="shared" si="66"/>
        <v>0.22985977004376018</v>
      </c>
      <c r="K1216" s="2" t="s">
        <v>2519</v>
      </c>
      <c r="L1216" s="17">
        <v>1E-3</v>
      </c>
      <c r="M1216" s="2" t="s">
        <v>2558</v>
      </c>
      <c r="N1216" s="2" t="s">
        <v>2558</v>
      </c>
      <c r="O1216" t="s">
        <v>2249</v>
      </c>
    </row>
    <row r="1217" spans="1:16" x14ac:dyDescent="0.25">
      <c r="A1217" s="12" t="s">
        <v>2331</v>
      </c>
      <c r="C1217">
        <v>303</v>
      </c>
      <c r="D1217">
        <v>1</v>
      </c>
      <c r="F1217">
        <v>-2.71</v>
      </c>
      <c r="H1217">
        <v>264.8</v>
      </c>
      <c r="J1217">
        <f t="shared" si="66"/>
        <v>0.16427437713243051</v>
      </c>
      <c r="K1217" s="2">
        <v>7.0000000000000001E-3</v>
      </c>
      <c r="L1217" s="17">
        <v>7.0000000000000001E-3</v>
      </c>
      <c r="M1217" s="2">
        <v>0</v>
      </c>
      <c r="N1217" s="2">
        <f t="shared" si="64"/>
        <v>0</v>
      </c>
    </row>
    <row r="1218" spans="1:16" x14ac:dyDescent="0.25">
      <c r="A1218" s="12" t="s">
        <v>2332</v>
      </c>
      <c r="C1218">
        <v>303</v>
      </c>
      <c r="D1218">
        <v>1</v>
      </c>
      <c r="F1218">
        <v>9.23</v>
      </c>
      <c r="H1218">
        <v>246.31</v>
      </c>
      <c r="J1218">
        <f t="shared" si="66"/>
        <v>0.5069417211924514</v>
      </c>
      <c r="K1218" s="2" t="s">
        <v>2174</v>
      </c>
      <c r="L1218" s="17">
        <v>1E-3</v>
      </c>
      <c r="M1218" s="2">
        <v>0</v>
      </c>
      <c r="N1218" s="2">
        <f t="shared" si="64"/>
        <v>0</v>
      </c>
    </row>
    <row r="1219" spans="1:16" x14ac:dyDescent="0.25">
      <c r="A1219" s="12" t="s">
        <v>2333</v>
      </c>
      <c r="C1219">
        <v>303</v>
      </c>
      <c r="D1219">
        <v>1</v>
      </c>
      <c r="E1219">
        <v>0</v>
      </c>
      <c r="J1219" t="b">
        <f t="shared" si="66"/>
        <v>0</v>
      </c>
    </row>
    <row r="1220" spans="1:16" x14ac:dyDescent="0.25">
      <c r="A1220" s="12" t="s">
        <v>2334</v>
      </c>
      <c r="C1220">
        <v>303</v>
      </c>
      <c r="D1220">
        <v>1</v>
      </c>
      <c r="F1220">
        <v>1.74</v>
      </c>
      <c r="H1220">
        <v>283.73</v>
      </c>
      <c r="J1220">
        <f t="shared" si="66"/>
        <v>0.10275235393097337</v>
      </c>
      <c r="K1220" s="2">
        <v>8.294E-2</v>
      </c>
      <c r="L1220" s="17">
        <v>8.294E-2</v>
      </c>
      <c r="M1220" s="2">
        <v>1</v>
      </c>
      <c r="N1220" s="2">
        <v>1</v>
      </c>
      <c r="P1220" s="2" t="s">
        <v>2565</v>
      </c>
    </row>
    <row r="1221" spans="1:16" x14ac:dyDescent="0.25">
      <c r="A1221" s="12" t="s">
        <v>2335</v>
      </c>
      <c r="C1221">
        <v>306</v>
      </c>
      <c r="D1221">
        <v>1</v>
      </c>
      <c r="F1221">
        <v>95.31</v>
      </c>
      <c r="H1221">
        <v>83</v>
      </c>
      <c r="J1221">
        <f t="shared" si="66"/>
        <v>0.99546259595107911</v>
      </c>
      <c r="K1221" s="2" t="s">
        <v>2174</v>
      </c>
      <c r="L1221" s="17">
        <v>1E-3</v>
      </c>
      <c r="M1221" s="2">
        <v>0</v>
      </c>
      <c r="N1221" s="2">
        <f t="shared" si="64"/>
        <v>0</v>
      </c>
    </row>
    <row r="1222" spans="1:16" x14ac:dyDescent="0.25">
      <c r="A1222" s="12" t="s">
        <v>2336</v>
      </c>
      <c r="C1222">
        <v>306</v>
      </c>
      <c r="D1222">
        <v>1</v>
      </c>
      <c r="J1222" t="b">
        <f t="shared" si="66"/>
        <v>0</v>
      </c>
      <c r="K1222" s="2" t="s">
        <v>2174</v>
      </c>
      <c r="L1222" s="17">
        <v>1E-3</v>
      </c>
      <c r="M1222" s="2">
        <v>0</v>
      </c>
      <c r="N1222" s="2">
        <v>0</v>
      </c>
    </row>
    <row r="1223" spans="1:16" x14ac:dyDescent="0.25">
      <c r="A1223" s="12" t="s">
        <v>2337</v>
      </c>
      <c r="C1223">
        <v>306</v>
      </c>
      <c r="D1223">
        <v>1</v>
      </c>
      <c r="F1223">
        <v>22.1</v>
      </c>
      <c r="H1223">
        <v>1</v>
      </c>
      <c r="I1223">
        <v>82.8</v>
      </c>
      <c r="J1223">
        <f t="shared" si="66"/>
        <v>0.99897783929456963</v>
      </c>
      <c r="K1223" s="2" t="s">
        <v>2174</v>
      </c>
      <c r="L1223" s="17">
        <v>1E-3</v>
      </c>
      <c r="M1223" s="2">
        <v>0</v>
      </c>
      <c r="N1223" s="2">
        <f t="shared" si="64"/>
        <v>0</v>
      </c>
    </row>
    <row r="1224" spans="1:16" x14ac:dyDescent="0.25">
      <c r="A1224" s="12" t="s">
        <v>2338</v>
      </c>
      <c r="C1224">
        <v>306</v>
      </c>
      <c r="D1224">
        <v>1</v>
      </c>
      <c r="F1224">
        <v>130.9</v>
      </c>
      <c r="H1224">
        <v>1</v>
      </c>
      <c r="I1224">
        <v>83.4</v>
      </c>
      <c r="J1224">
        <f t="shared" si="66"/>
        <v>0.99997082091276235</v>
      </c>
      <c r="K1224" s="2" t="s">
        <v>2174</v>
      </c>
      <c r="L1224" s="17">
        <v>1E-3</v>
      </c>
      <c r="M1224" s="2">
        <v>0</v>
      </c>
      <c r="N1224" s="2">
        <f t="shared" si="64"/>
        <v>0</v>
      </c>
    </row>
    <row r="1225" spans="1:16" x14ac:dyDescent="0.25">
      <c r="A1225" s="12" t="s">
        <v>2339</v>
      </c>
      <c r="C1225">
        <v>306</v>
      </c>
      <c r="D1225">
        <v>1</v>
      </c>
      <c r="F1225">
        <v>5.9</v>
      </c>
      <c r="H1225">
        <v>1</v>
      </c>
      <c r="I1225">
        <v>82.9</v>
      </c>
      <c r="J1225">
        <f t="shared" si="66"/>
        <v>0.9859385576344637</v>
      </c>
      <c r="K1225" s="2">
        <v>0.02</v>
      </c>
      <c r="L1225" s="17">
        <v>0.02</v>
      </c>
      <c r="M1225" s="2">
        <v>0</v>
      </c>
      <c r="N1225" s="2">
        <f t="shared" si="64"/>
        <v>0</v>
      </c>
    </row>
    <row r="1226" spans="1:16" x14ac:dyDescent="0.25">
      <c r="A1226" s="12" t="s">
        <v>2340</v>
      </c>
      <c r="C1226">
        <v>306</v>
      </c>
      <c r="D1226">
        <v>1</v>
      </c>
      <c r="F1226">
        <v>-4.2</v>
      </c>
      <c r="H1226">
        <v>82.9</v>
      </c>
      <c r="J1226">
        <f t="shared" si="66"/>
        <v>0.41887057213003004</v>
      </c>
      <c r="K1226" s="2" t="s">
        <v>2174</v>
      </c>
      <c r="L1226" s="17">
        <v>1E-3</v>
      </c>
      <c r="M1226" s="2">
        <v>0</v>
      </c>
      <c r="N1226" s="2">
        <f t="shared" si="64"/>
        <v>0</v>
      </c>
    </row>
    <row r="1227" spans="1:16" x14ac:dyDescent="0.25">
      <c r="A1227" s="12" t="s">
        <v>2341</v>
      </c>
      <c r="C1227">
        <v>306</v>
      </c>
      <c r="D1227">
        <v>1</v>
      </c>
      <c r="F1227">
        <v>-1.9</v>
      </c>
      <c r="H1227">
        <v>65.7</v>
      </c>
      <c r="J1227">
        <f t="shared" si="66"/>
        <v>0.22822102498009769</v>
      </c>
      <c r="K1227" s="2">
        <v>5.7000000000000002E-2</v>
      </c>
      <c r="L1227" s="17">
        <v>5.7000000000000002E-2</v>
      </c>
      <c r="M1227" s="2">
        <v>0</v>
      </c>
      <c r="N1227" s="2">
        <f t="shared" si="64"/>
        <v>0</v>
      </c>
    </row>
    <row r="1228" spans="1:16" x14ac:dyDescent="0.25">
      <c r="A1228" s="12" t="s">
        <v>2342</v>
      </c>
      <c r="C1228">
        <v>306</v>
      </c>
      <c r="D1228">
        <v>1</v>
      </c>
      <c r="G1228">
        <v>22.9</v>
      </c>
      <c r="H1228">
        <v>1</v>
      </c>
      <c r="I1228">
        <v>82.9</v>
      </c>
      <c r="J1228">
        <f t="shared" si="66"/>
        <v>0.46523770780505863</v>
      </c>
      <c r="K1228" s="2" t="s">
        <v>2174</v>
      </c>
      <c r="L1228" s="17">
        <v>1E-3</v>
      </c>
      <c r="M1228" s="2">
        <v>0</v>
      </c>
      <c r="N1228" s="2">
        <f t="shared" si="64"/>
        <v>0</v>
      </c>
    </row>
    <row r="1229" spans="1:16" x14ac:dyDescent="0.25">
      <c r="A1229" s="12" t="s">
        <v>2343</v>
      </c>
      <c r="C1229">
        <v>306</v>
      </c>
      <c r="D1229">
        <v>1</v>
      </c>
      <c r="G1229">
        <v>5.5</v>
      </c>
      <c r="H1229">
        <v>1</v>
      </c>
      <c r="I1229">
        <v>14.5</v>
      </c>
      <c r="J1229">
        <f t="shared" si="66"/>
        <v>0.5244044240850757</v>
      </c>
      <c r="K1229" s="2">
        <v>0.03</v>
      </c>
      <c r="L1229" s="17">
        <v>0.03</v>
      </c>
      <c r="M1229" s="2">
        <v>0</v>
      </c>
      <c r="N1229" s="2">
        <f t="shared" si="64"/>
        <v>0</v>
      </c>
    </row>
    <row r="1230" spans="1:16" x14ac:dyDescent="0.25">
      <c r="A1230" s="12" t="s">
        <v>2344</v>
      </c>
      <c r="C1230">
        <v>306</v>
      </c>
      <c r="D1230">
        <v>1</v>
      </c>
      <c r="G1230">
        <v>6.4</v>
      </c>
      <c r="H1230">
        <v>1</v>
      </c>
      <c r="I1230">
        <v>82.9</v>
      </c>
      <c r="J1230">
        <f t="shared" si="66"/>
        <v>0.26770979256410182</v>
      </c>
      <c r="K1230" s="2">
        <v>0.01</v>
      </c>
      <c r="L1230" s="17">
        <v>0.01</v>
      </c>
      <c r="M1230" s="2">
        <v>0</v>
      </c>
      <c r="N1230" s="2">
        <f t="shared" si="64"/>
        <v>0</v>
      </c>
    </row>
    <row r="1231" spans="1:16" x14ac:dyDescent="0.25">
      <c r="A1231" s="12" t="s">
        <v>2345</v>
      </c>
      <c r="C1231">
        <v>306</v>
      </c>
      <c r="D1231">
        <v>1</v>
      </c>
      <c r="G1231">
        <v>0.6</v>
      </c>
      <c r="H1231">
        <v>1</v>
      </c>
      <c r="I1231">
        <v>2567.1</v>
      </c>
      <c r="J1231">
        <f t="shared" si="66"/>
        <v>1.5286338932601841E-2</v>
      </c>
      <c r="K1231" s="2">
        <v>0.45</v>
      </c>
      <c r="L1231" s="17">
        <v>0.45</v>
      </c>
      <c r="M1231" s="2">
        <v>0</v>
      </c>
      <c r="N1231" s="2">
        <f t="shared" si="64"/>
        <v>0</v>
      </c>
    </row>
    <row r="1232" spans="1:16" x14ac:dyDescent="0.25">
      <c r="A1232" s="12" t="s">
        <v>2346</v>
      </c>
      <c r="C1232">
        <v>306</v>
      </c>
      <c r="D1232">
        <v>1</v>
      </c>
      <c r="G1232">
        <v>1.8</v>
      </c>
      <c r="H1232">
        <v>1</v>
      </c>
      <c r="I1232">
        <v>82.7</v>
      </c>
      <c r="J1232">
        <f t="shared" si="66"/>
        <v>0.14595127662315599</v>
      </c>
      <c r="K1232" s="2">
        <v>0.18</v>
      </c>
      <c r="L1232" s="17">
        <v>0.18</v>
      </c>
      <c r="M1232" s="2">
        <v>0</v>
      </c>
      <c r="N1232" s="2">
        <f t="shared" si="64"/>
        <v>0</v>
      </c>
    </row>
    <row r="1233" spans="1:16" x14ac:dyDescent="0.25">
      <c r="A1233" s="11" t="s">
        <v>2467</v>
      </c>
      <c r="C1233">
        <v>313</v>
      </c>
      <c r="D1233">
        <v>1</v>
      </c>
      <c r="G1233">
        <v>13.278</v>
      </c>
      <c r="H1233">
        <v>4</v>
      </c>
      <c r="I1233">
        <v>426</v>
      </c>
      <c r="J1233">
        <f t="shared" si="66"/>
        <v>0.2354305437931937</v>
      </c>
      <c r="K1233" s="2" t="s">
        <v>2543</v>
      </c>
      <c r="L1233" s="17">
        <v>1E-4</v>
      </c>
      <c r="M1233" s="2">
        <v>0</v>
      </c>
      <c r="N1233" s="2">
        <f t="shared" si="64"/>
        <v>0</v>
      </c>
    </row>
    <row r="1234" spans="1:16" x14ac:dyDescent="0.25">
      <c r="A1234" s="11" t="s">
        <v>2468</v>
      </c>
      <c r="C1234">
        <v>313</v>
      </c>
      <c r="D1234">
        <v>1</v>
      </c>
      <c r="J1234">
        <v>-1.151</v>
      </c>
      <c r="K1234" s="2" t="s">
        <v>2174</v>
      </c>
      <c r="L1234" s="17">
        <v>1E-3</v>
      </c>
      <c r="M1234" s="2">
        <v>0</v>
      </c>
      <c r="N1234" s="2">
        <v>0</v>
      </c>
    </row>
    <row r="1235" spans="1:16" x14ac:dyDescent="0.25">
      <c r="A1235" s="11" t="s">
        <v>2469</v>
      </c>
      <c r="C1235">
        <v>313</v>
      </c>
      <c r="D1235">
        <v>1</v>
      </c>
      <c r="J1235">
        <v>-0.125</v>
      </c>
      <c r="K1235" s="2" t="s">
        <v>2544</v>
      </c>
      <c r="L1235" s="17">
        <v>8.9999999999999993E-3</v>
      </c>
      <c r="P1235" s="2" t="s">
        <v>2560</v>
      </c>
    </row>
    <row r="1236" spans="1:16" x14ac:dyDescent="0.25">
      <c r="A1236" s="11" t="s">
        <v>2470</v>
      </c>
      <c r="C1236">
        <v>313</v>
      </c>
      <c r="D1236">
        <v>1</v>
      </c>
      <c r="J1236">
        <v>0.13200000000000001</v>
      </c>
      <c r="K1236" s="2" t="s">
        <v>2545</v>
      </c>
      <c r="L1236" s="17">
        <v>5.0000000000000001E-3</v>
      </c>
      <c r="P1236" s="2" t="s">
        <v>2560</v>
      </c>
    </row>
    <row r="1237" spans="1:16" x14ac:dyDescent="0.25">
      <c r="A1237" s="11" t="s">
        <v>2471</v>
      </c>
      <c r="C1237">
        <v>313</v>
      </c>
      <c r="D1237">
        <v>1</v>
      </c>
      <c r="J1237">
        <v>9.8000000000000004E-2</v>
      </c>
      <c r="K1237" s="2" t="s">
        <v>2546</v>
      </c>
      <c r="L1237" s="17">
        <v>3.9E-2</v>
      </c>
      <c r="P1237" s="2" t="s">
        <v>2560</v>
      </c>
    </row>
    <row r="1238" spans="1:16" x14ac:dyDescent="0.25">
      <c r="A1238" s="11" t="s">
        <v>2472</v>
      </c>
      <c r="C1238">
        <v>313</v>
      </c>
      <c r="D1238">
        <v>1</v>
      </c>
      <c r="G1238">
        <v>5.8490000000000002</v>
      </c>
      <c r="H1238">
        <v>6</v>
      </c>
      <c r="I1238">
        <v>424</v>
      </c>
      <c r="J1238">
        <f>IF(NOT(ISBLANK(F1238)),SQRT((F1238^2*1/H1238)/(F1238^2*1/H1238+1)),IF(NOT(ISBLANK(G1238)),SQRT((G1238*H1238/I1238)/(G1238*H1238/I1238+1)*SQRT(1/H1238))))</f>
        <v>0.17665576500563129</v>
      </c>
      <c r="K1238" s="2" t="s">
        <v>2543</v>
      </c>
      <c r="L1238" s="17">
        <v>1E-4</v>
      </c>
      <c r="M1238" s="2">
        <v>0</v>
      </c>
      <c r="N1238" s="2">
        <f t="shared" si="64"/>
        <v>0</v>
      </c>
    </row>
    <row r="1239" spans="1:16" x14ac:dyDescent="0.25">
      <c r="A1239" s="11" t="s">
        <v>2473</v>
      </c>
      <c r="C1239">
        <v>313</v>
      </c>
      <c r="D1239">
        <v>1</v>
      </c>
      <c r="G1239">
        <v>3.7050000000000001</v>
      </c>
      <c r="H1239">
        <v>6</v>
      </c>
      <c r="I1239">
        <v>435</v>
      </c>
      <c r="J1239">
        <f t="shared" ref="J1239:J1245" si="67">IF(NOT(ISBLANK(F1239)),SQRT((F1239^2*1/H1239)/(F1239^2*1/H1239+1)),IF(NOT(ISBLANK(G1239)),SQRT((G1239*H1239/I1239)/(G1239*H1239/I1239+1)*SQRT(1/H1239))))</f>
        <v>0.1408849362670084</v>
      </c>
      <c r="K1239" s="2" t="s">
        <v>2174</v>
      </c>
      <c r="L1239" s="17">
        <v>1E-3</v>
      </c>
      <c r="M1239" s="2">
        <v>0</v>
      </c>
      <c r="N1239" s="2">
        <f t="shared" si="64"/>
        <v>0</v>
      </c>
    </row>
    <row r="1240" spans="1:16" x14ac:dyDescent="0.25">
      <c r="A1240" s="12" t="s">
        <v>2474</v>
      </c>
      <c r="C1240">
        <v>313</v>
      </c>
      <c r="D1240">
        <v>1</v>
      </c>
      <c r="G1240">
        <v>8.3059999999999992</v>
      </c>
      <c r="H1240">
        <v>6</v>
      </c>
      <c r="I1240">
        <v>437</v>
      </c>
      <c r="J1240">
        <f t="shared" si="67"/>
        <v>0.20442896659589621</v>
      </c>
      <c r="K1240" s="2" t="s">
        <v>2543</v>
      </c>
      <c r="L1240" s="17">
        <v>1E-4</v>
      </c>
      <c r="M1240" s="2">
        <v>0</v>
      </c>
      <c r="N1240" s="2">
        <f t="shared" si="64"/>
        <v>0</v>
      </c>
    </row>
    <row r="1241" spans="1:16" x14ac:dyDescent="0.25">
      <c r="A1241" s="12" t="s">
        <v>2475</v>
      </c>
      <c r="C1241">
        <v>313</v>
      </c>
      <c r="D1241">
        <v>1</v>
      </c>
      <c r="G1241">
        <v>108.429</v>
      </c>
      <c r="H1241">
        <v>6</v>
      </c>
      <c r="I1241">
        <v>436</v>
      </c>
      <c r="J1241">
        <f t="shared" si="67"/>
        <v>0.49440275757565222</v>
      </c>
      <c r="K1241" s="2" t="s">
        <v>2543</v>
      </c>
      <c r="L1241" s="17">
        <v>1E-4</v>
      </c>
      <c r="M1241" s="2">
        <v>0</v>
      </c>
      <c r="N1241" s="2">
        <f t="shared" si="64"/>
        <v>0</v>
      </c>
    </row>
    <row r="1242" spans="1:16" x14ac:dyDescent="0.25">
      <c r="A1242" s="11" t="s">
        <v>2476</v>
      </c>
      <c r="C1242">
        <v>313</v>
      </c>
      <c r="D1242">
        <v>1</v>
      </c>
      <c r="G1242">
        <v>19.628</v>
      </c>
      <c r="H1242">
        <v>6</v>
      </c>
      <c r="I1242">
        <v>424</v>
      </c>
      <c r="J1242">
        <f t="shared" si="67"/>
        <v>0.2978990803610897</v>
      </c>
      <c r="K1242" s="2" t="s">
        <v>2543</v>
      </c>
      <c r="L1242" s="17">
        <v>1E-4</v>
      </c>
      <c r="M1242" s="2">
        <v>0</v>
      </c>
      <c r="N1242" s="2">
        <f t="shared" si="64"/>
        <v>0</v>
      </c>
    </row>
    <row r="1243" spans="1:16" x14ac:dyDescent="0.25">
      <c r="A1243" s="11" t="s">
        <v>2477</v>
      </c>
      <c r="C1243">
        <v>313</v>
      </c>
      <c r="D1243">
        <v>1</v>
      </c>
      <c r="G1243">
        <v>5.673</v>
      </c>
      <c r="H1243">
        <v>6</v>
      </c>
      <c r="I1243">
        <v>435</v>
      </c>
      <c r="J1243">
        <f t="shared" si="67"/>
        <v>0.17212350838901763</v>
      </c>
      <c r="K1243" s="2" t="s">
        <v>2543</v>
      </c>
      <c r="L1243" s="17">
        <v>1E-4</v>
      </c>
      <c r="M1243" s="2">
        <v>0</v>
      </c>
      <c r="N1243" s="2">
        <f t="shared" si="64"/>
        <v>0</v>
      </c>
    </row>
    <row r="1244" spans="1:16" x14ac:dyDescent="0.25">
      <c r="A1244" s="11" t="s">
        <v>2478</v>
      </c>
      <c r="C1244">
        <v>313</v>
      </c>
      <c r="D1244">
        <v>1</v>
      </c>
      <c r="G1244">
        <v>9.7360000000000007</v>
      </c>
      <c r="H1244">
        <v>6</v>
      </c>
      <c r="I1244">
        <v>437</v>
      </c>
      <c r="J1244">
        <f t="shared" si="67"/>
        <v>0.21940326238311197</v>
      </c>
      <c r="K1244" s="2" t="s">
        <v>2543</v>
      </c>
      <c r="L1244" s="17">
        <v>1E-4</v>
      </c>
      <c r="M1244" s="2">
        <v>0</v>
      </c>
      <c r="N1244" s="2">
        <f t="shared" si="64"/>
        <v>0</v>
      </c>
    </row>
    <row r="1245" spans="1:16" x14ac:dyDescent="0.25">
      <c r="A1245" s="12" t="s">
        <v>2479</v>
      </c>
      <c r="C1245">
        <v>313</v>
      </c>
      <c r="D1245">
        <v>1</v>
      </c>
      <c r="G1245">
        <v>10.367000000000001</v>
      </c>
      <c r="H1245">
        <v>6</v>
      </c>
      <c r="I1245">
        <v>437</v>
      </c>
      <c r="J1245">
        <f t="shared" si="67"/>
        <v>0.22554136450461185</v>
      </c>
      <c r="K1245" s="2" t="s">
        <v>2543</v>
      </c>
      <c r="L1245" s="17">
        <v>1E-4</v>
      </c>
      <c r="M1245" s="2">
        <v>0</v>
      </c>
      <c r="N1245" s="2">
        <f t="shared" si="64"/>
        <v>0</v>
      </c>
    </row>
    <row r="1246" spans="1:16" x14ac:dyDescent="0.25">
      <c r="A1246" s="12" t="s">
        <v>2480</v>
      </c>
      <c r="C1246">
        <v>313</v>
      </c>
      <c r="D1246">
        <v>1</v>
      </c>
      <c r="J1246">
        <v>0.48599999999999999</v>
      </c>
      <c r="K1246" s="2" t="s">
        <v>2534</v>
      </c>
      <c r="L1246" s="17">
        <v>0.01</v>
      </c>
      <c r="P1246" s="2" t="s">
        <v>2560</v>
      </c>
    </row>
    <row r="1247" spans="1:16" x14ac:dyDescent="0.25">
      <c r="A1247" s="12" t="s">
        <v>1070</v>
      </c>
      <c r="C1247">
        <v>316</v>
      </c>
      <c r="D1247">
        <v>1</v>
      </c>
      <c r="F1247">
        <v>1.82</v>
      </c>
      <c r="H1247">
        <v>26</v>
      </c>
      <c r="J1247">
        <f t="shared" ref="J1247:J1254" si="68">IF(NOT(ISBLANK(F1247)),SQRT((F1247^2*1/H1247)/(F1247^2*1/H1247+1)),IF(NOT(ISBLANK(G1247)),SQRT((G1247*H1247/I1247)/(G1247*H1247/I1247+1)*SQRT(1/H1247))))</f>
        <v>0.33615973968813068</v>
      </c>
      <c r="K1247" s="2">
        <v>0.08</v>
      </c>
      <c r="L1247" s="17">
        <v>0.08</v>
      </c>
      <c r="M1247" s="2" t="s">
        <v>2558</v>
      </c>
      <c r="N1247" s="2" t="s">
        <v>2558</v>
      </c>
      <c r="O1247" t="s">
        <v>2135</v>
      </c>
    </row>
    <row r="1248" spans="1:16" x14ac:dyDescent="0.25">
      <c r="A1248" s="12" t="s">
        <v>1071</v>
      </c>
      <c r="C1248">
        <v>316</v>
      </c>
      <c r="D1248">
        <v>1</v>
      </c>
      <c r="F1248">
        <v>0.35</v>
      </c>
      <c r="H1248">
        <v>26</v>
      </c>
      <c r="J1248">
        <f t="shared" si="68"/>
        <v>6.8479514936437405E-2</v>
      </c>
      <c r="K1248" s="2">
        <v>0.73</v>
      </c>
      <c r="L1248" s="17">
        <v>0.73</v>
      </c>
      <c r="M1248" s="2" t="s">
        <v>2558</v>
      </c>
      <c r="N1248" s="2" t="s">
        <v>2558</v>
      </c>
    </row>
    <row r="1249" spans="1:16" x14ac:dyDescent="0.25">
      <c r="A1249" s="12" t="s">
        <v>1072</v>
      </c>
      <c r="C1249">
        <v>316</v>
      </c>
      <c r="D1249">
        <v>1</v>
      </c>
      <c r="G1249">
        <v>7.6</v>
      </c>
      <c r="H1249">
        <v>1</v>
      </c>
      <c r="I1249">
        <v>26</v>
      </c>
      <c r="J1249">
        <f t="shared" si="68"/>
        <v>0.47559486560567094</v>
      </c>
      <c r="K1249" s="2">
        <v>0.01</v>
      </c>
      <c r="L1249" s="17">
        <v>0.01</v>
      </c>
      <c r="M1249" s="2" t="s">
        <v>2558</v>
      </c>
      <c r="N1249" s="2" t="s">
        <v>2558</v>
      </c>
    </row>
    <row r="1250" spans="1:16" x14ac:dyDescent="0.25">
      <c r="A1250" s="12" t="s">
        <v>1073</v>
      </c>
      <c r="C1250">
        <v>316</v>
      </c>
      <c r="D1250">
        <v>1</v>
      </c>
      <c r="F1250">
        <v>2.86</v>
      </c>
      <c r="H1250">
        <v>26</v>
      </c>
      <c r="J1250">
        <f t="shared" si="68"/>
        <v>0.48919560336727463</v>
      </c>
      <c r="K1250" s="2">
        <v>8.0000000000000002E-3</v>
      </c>
      <c r="L1250" s="17">
        <v>8.0000000000000002E-3</v>
      </c>
      <c r="M1250" s="2" t="s">
        <v>2558</v>
      </c>
      <c r="N1250" s="2" t="s">
        <v>2558</v>
      </c>
    </row>
    <row r="1251" spans="1:16" x14ac:dyDescent="0.25">
      <c r="A1251" s="12" t="s">
        <v>1074</v>
      </c>
      <c r="C1251">
        <v>316</v>
      </c>
      <c r="D1251">
        <v>1</v>
      </c>
      <c r="F1251">
        <v>0.92</v>
      </c>
      <c r="H1251">
        <v>26</v>
      </c>
      <c r="J1251">
        <f t="shared" si="68"/>
        <v>0.17755986207155272</v>
      </c>
      <c r="K1251" s="2">
        <v>0.36</v>
      </c>
      <c r="L1251" s="17">
        <v>0.36</v>
      </c>
      <c r="M1251" s="2" t="s">
        <v>2558</v>
      </c>
      <c r="N1251" s="2" t="s">
        <v>2558</v>
      </c>
    </row>
    <row r="1252" spans="1:16" x14ac:dyDescent="0.25">
      <c r="A1252" s="12" t="s">
        <v>1075</v>
      </c>
      <c r="C1252">
        <v>316</v>
      </c>
      <c r="D1252">
        <v>1</v>
      </c>
      <c r="G1252">
        <v>1.21</v>
      </c>
      <c r="H1252">
        <v>1</v>
      </c>
      <c r="I1252">
        <v>26</v>
      </c>
      <c r="J1252">
        <f t="shared" si="68"/>
        <v>0.21087661141226713</v>
      </c>
      <c r="K1252" s="2">
        <v>0.28000000000000003</v>
      </c>
      <c r="L1252" s="17">
        <v>0.28000000000000003</v>
      </c>
      <c r="M1252" s="2" t="s">
        <v>2558</v>
      </c>
      <c r="N1252" s="2" t="s">
        <v>2558</v>
      </c>
    </row>
    <row r="1253" spans="1:16" x14ac:dyDescent="0.25">
      <c r="A1253" s="12" t="s">
        <v>1076</v>
      </c>
      <c r="C1253">
        <v>316</v>
      </c>
      <c r="D1253">
        <v>1</v>
      </c>
      <c r="F1253">
        <v>1.9</v>
      </c>
      <c r="H1253">
        <v>26</v>
      </c>
      <c r="J1253">
        <f t="shared" si="68"/>
        <v>0.34916796939931516</v>
      </c>
      <c r="K1253" s="2">
        <v>6.9000000000000006E-2</v>
      </c>
      <c r="L1253" s="17">
        <v>6.9000000000000006E-2</v>
      </c>
      <c r="M1253" s="2" t="s">
        <v>2558</v>
      </c>
      <c r="N1253" s="2" t="s">
        <v>2558</v>
      </c>
    </row>
    <row r="1254" spans="1:16" x14ac:dyDescent="0.25">
      <c r="A1254" s="12" t="s">
        <v>1077</v>
      </c>
      <c r="C1254">
        <v>316</v>
      </c>
      <c r="D1254">
        <v>1</v>
      </c>
      <c r="F1254">
        <v>0.49</v>
      </c>
      <c r="H1254">
        <v>26</v>
      </c>
      <c r="J1254">
        <f t="shared" si="68"/>
        <v>9.5656246885132967E-2</v>
      </c>
      <c r="K1254" s="2">
        <v>0.63</v>
      </c>
      <c r="L1254" s="17">
        <v>0.63</v>
      </c>
      <c r="M1254" s="2" t="s">
        <v>2558</v>
      </c>
      <c r="N1254" s="2" t="s">
        <v>2558</v>
      </c>
    </row>
    <row r="1255" spans="1:16" x14ac:dyDescent="0.25">
      <c r="A1255" s="12" t="s">
        <v>1078</v>
      </c>
      <c r="C1255">
        <v>319</v>
      </c>
      <c r="D1255">
        <v>2</v>
      </c>
      <c r="J1255">
        <v>-7.0000000000000007E-2</v>
      </c>
      <c r="K1255" s="2">
        <v>0.11700000000000001</v>
      </c>
      <c r="L1255" s="17">
        <v>0.11700000000000001</v>
      </c>
      <c r="M1255" s="2" t="s">
        <v>2558</v>
      </c>
      <c r="N1255" s="2" t="s">
        <v>2558</v>
      </c>
      <c r="O1255" t="s">
        <v>2135</v>
      </c>
    </row>
    <row r="1256" spans="1:16" x14ac:dyDescent="0.25">
      <c r="A1256" s="12" t="s">
        <v>1079</v>
      </c>
      <c r="C1256">
        <v>319</v>
      </c>
      <c r="D1256">
        <v>2</v>
      </c>
      <c r="J1256">
        <v>0.14000000000000001</v>
      </c>
      <c r="K1256" s="2">
        <v>6.8000000000000005E-2</v>
      </c>
      <c r="L1256" s="17">
        <v>6.8000000000000005E-2</v>
      </c>
      <c r="M1256" s="2" t="s">
        <v>2558</v>
      </c>
      <c r="N1256" s="2" t="s">
        <v>2558</v>
      </c>
      <c r="O1256" t="s">
        <v>2135</v>
      </c>
    </row>
    <row r="1257" spans="1:16" x14ac:dyDescent="0.25">
      <c r="A1257" s="12" t="s">
        <v>1080</v>
      </c>
      <c r="C1257">
        <v>319</v>
      </c>
      <c r="D1257">
        <v>1</v>
      </c>
      <c r="E1257">
        <v>0</v>
      </c>
      <c r="J1257" t="b">
        <f>IF(NOT(ISBLANK(F1257)),SQRT((F1257^2*1/H1257)/(F1257^2*1/H1257+1)),IF(NOT(ISBLANK(G1257)),SQRT((G1257*H1257/I1257)/(G1257*H1257/I1257+1)*SQRT(1/H1257))))</f>
        <v>0</v>
      </c>
      <c r="K1257" s="2">
        <v>0.755</v>
      </c>
      <c r="L1257" s="17">
        <v>0.755</v>
      </c>
    </row>
    <row r="1258" spans="1:16" x14ac:dyDescent="0.25">
      <c r="A1258" s="12" t="s">
        <v>1081</v>
      </c>
      <c r="C1258">
        <v>319</v>
      </c>
      <c r="D1258">
        <v>1</v>
      </c>
      <c r="E1258">
        <v>0</v>
      </c>
      <c r="J1258" t="b">
        <f>IF(NOT(ISBLANK(F1258)),SQRT((F1258^2*1/H1258)/(F1258^2*1/H1258+1)),IF(NOT(ISBLANK(G1258)),SQRT((G1258*H1258/I1258)/(G1258*H1258/I1258+1)*SQRT(1/H1258))))</f>
        <v>0</v>
      </c>
      <c r="K1258" s="2">
        <v>0.49299999999999999</v>
      </c>
      <c r="L1258" s="17">
        <v>0.49299999999999999</v>
      </c>
    </row>
    <row r="1259" spans="1:16" x14ac:dyDescent="0.25">
      <c r="A1259" s="12" t="s">
        <v>1082</v>
      </c>
      <c r="C1259">
        <v>321</v>
      </c>
      <c r="D1259">
        <v>1</v>
      </c>
      <c r="J1259">
        <v>0.27</v>
      </c>
      <c r="K1259" s="2" t="s">
        <v>2517</v>
      </c>
      <c r="L1259" s="17">
        <v>1E-3</v>
      </c>
      <c r="P1259" s="2" t="s">
        <v>2560</v>
      </c>
    </row>
    <row r="1260" spans="1:16" x14ac:dyDescent="0.25">
      <c r="A1260" s="12" t="s">
        <v>1083</v>
      </c>
      <c r="C1260">
        <v>321</v>
      </c>
      <c r="D1260">
        <v>1</v>
      </c>
      <c r="J1260">
        <v>0.13</v>
      </c>
      <c r="K1260" s="2">
        <v>6.3E-2</v>
      </c>
      <c r="L1260" s="17">
        <v>6.3E-2</v>
      </c>
      <c r="P1260" s="2" t="s">
        <v>2560</v>
      </c>
    </row>
    <row r="1261" spans="1:16" x14ac:dyDescent="0.25">
      <c r="A1261" s="12" t="s">
        <v>1084</v>
      </c>
      <c r="C1261">
        <v>321</v>
      </c>
      <c r="D1261">
        <v>1</v>
      </c>
      <c r="G1261">
        <v>10.08</v>
      </c>
      <c r="H1261">
        <v>1</v>
      </c>
      <c r="I1261">
        <v>207</v>
      </c>
      <c r="J1261">
        <f t="shared" ref="J1261:J1267" si="69">IF(NOT(ISBLANK(F1261)),SQRT((F1261^2*1/H1261)/(F1261^2*1/H1261+1)),IF(NOT(ISBLANK(G1261)),SQRT((G1261*H1261/I1261)/(G1261*H1261/I1261+1)*SQRT(1/H1261))))</f>
        <v>0.21548664505181805</v>
      </c>
      <c r="K1261" s="2">
        <v>2E-3</v>
      </c>
      <c r="L1261" s="17">
        <v>2E-3</v>
      </c>
      <c r="M1261" s="2">
        <v>0</v>
      </c>
      <c r="N1261" s="2">
        <f t="shared" ref="N1261" si="70">IF(M1261=0, 0)</f>
        <v>0</v>
      </c>
    </row>
    <row r="1262" spans="1:16" x14ac:dyDescent="0.25">
      <c r="A1262" s="12" t="s">
        <v>1085</v>
      </c>
      <c r="C1262">
        <v>321</v>
      </c>
      <c r="D1262">
        <v>1</v>
      </c>
      <c r="G1262">
        <v>15.35</v>
      </c>
      <c r="H1262">
        <v>1</v>
      </c>
      <c r="I1262">
        <v>207</v>
      </c>
      <c r="J1262">
        <f t="shared" si="69"/>
        <v>0.26274570348494303</v>
      </c>
      <c r="K1262" s="2" t="s">
        <v>2517</v>
      </c>
      <c r="L1262" s="17">
        <v>1E-3</v>
      </c>
      <c r="M1262" s="2" t="s">
        <v>2558</v>
      </c>
      <c r="N1262" s="2" t="s">
        <v>2558</v>
      </c>
      <c r="O1262" t="s">
        <v>2566</v>
      </c>
    </row>
    <row r="1263" spans="1:16" x14ac:dyDescent="0.25">
      <c r="A1263" s="12" t="s">
        <v>1086</v>
      </c>
      <c r="C1263">
        <v>321</v>
      </c>
      <c r="D1263">
        <v>1</v>
      </c>
      <c r="E1263">
        <v>0</v>
      </c>
      <c r="J1263" t="b">
        <f t="shared" si="69"/>
        <v>0</v>
      </c>
      <c r="K1263" s="2" t="s">
        <v>2519</v>
      </c>
      <c r="L1263" s="17">
        <v>1E-3</v>
      </c>
    </row>
    <row r="1264" spans="1:16" x14ac:dyDescent="0.25">
      <c r="A1264" s="12" t="s">
        <v>1087</v>
      </c>
      <c r="C1264">
        <v>321</v>
      </c>
      <c r="D1264">
        <v>1</v>
      </c>
      <c r="E1264">
        <v>0</v>
      </c>
      <c r="J1264" t="b">
        <f t="shared" si="69"/>
        <v>0</v>
      </c>
      <c r="K1264" s="2">
        <v>6.3E-2</v>
      </c>
      <c r="L1264" s="17">
        <v>6.3E-2</v>
      </c>
    </row>
    <row r="1265" spans="1:16" x14ac:dyDescent="0.25">
      <c r="A1265" s="12" t="s">
        <v>1088</v>
      </c>
      <c r="C1265">
        <v>322</v>
      </c>
      <c r="D1265">
        <v>1</v>
      </c>
      <c r="E1265">
        <v>0</v>
      </c>
      <c r="J1265" t="b">
        <f t="shared" si="69"/>
        <v>0</v>
      </c>
      <c r="K1265" s="2">
        <v>2E-3</v>
      </c>
      <c r="L1265" s="17">
        <v>2E-3</v>
      </c>
      <c r="O1265" t="s">
        <v>2263</v>
      </c>
    </row>
    <row r="1266" spans="1:16" x14ac:dyDescent="0.25">
      <c r="A1266" s="12" t="s">
        <v>1089</v>
      </c>
      <c r="C1266">
        <v>322</v>
      </c>
      <c r="D1266">
        <v>1</v>
      </c>
      <c r="E1266">
        <v>0</v>
      </c>
      <c r="J1266" t="b">
        <f t="shared" si="69"/>
        <v>0</v>
      </c>
      <c r="K1266" s="2" t="s">
        <v>2519</v>
      </c>
      <c r="L1266" s="17">
        <v>1E-3</v>
      </c>
    </row>
    <row r="1267" spans="1:16" x14ac:dyDescent="0.25">
      <c r="A1267" s="12" t="s">
        <v>1090</v>
      </c>
      <c r="C1267">
        <v>322</v>
      </c>
      <c r="D1267">
        <v>1</v>
      </c>
      <c r="E1267">
        <v>0</v>
      </c>
      <c r="J1267" t="b">
        <f t="shared" si="69"/>
        <v>0</v>
      </c>
      <c r="K1267" s="2">
        <v>9.6000000000000002E-2</v>
      </c>
      <c r="L1267" s="17">
        <v>9.6000000000000002E-2</v>
      </c>
    </row>
    <row r="1268" spans="1:16" x14ac:dyDescent="0.25">
      <c r="A1268" s="12" t="s">
        <v>1091</v>
      </c>
      <c r="C1268">
        <v>322</v>
      </c>
      <c r="D1268">
        <v>1</v>
      </c>
      <c r="J1268">
        <v>0.67</v>
      </c>
      <c r="K1268" s="2" t="s">
        <v>2519</v>
      </c>
      <c r="L1268" s="17">
        <v>1E-3</v>
      </c>
      <c r="P1268" s="2" t="s">
        <v>2560</v>
      </c>
    </row>
    <row r="1269" spans="1:16" x14ac:dyDescent="0.25">
      <c r="A1269" s="12" t="s">
        <v>1092</v>
      </c>
      <c r="C1269">
        <v>322</v>
      </c>
      <c r="D1269">
        <v>1</v>
      </c>
      <c r="J1269">
        <v>0.78</v>
      </c>
      <c r="K1269" s="2" t="s">
        <v>2519</v>
      </c>
      <c r="L1269" s="17">
        <v>1E-3</v>
      </c>
      <c r="P1269" s="2" t="s">
        <v>2560</v>
      </c>
    </row>
    <row r="1270" spans="1:16" x14ac:dyDescent="0.25">
      <c r="A1270" s="12" t="s">
        <v>1093</v>
      </c>
      <c r="C1270">
        <v>322</v>
      </c>
      <c r="D1270">
        <v>1</v>
      </c>
      <c r="J1270">
        <v>0.1</v>
      </c>
      <c r="K1270" s="2">
        <v>0.22500000000000001</v>
      </c>
      <c r="L1270" s="17">
        <v>0.22500000000000001</v>
      </c>
      <c r="P1270" s="2" t="s">
        <v>2560</v>
      </c>
    </row>
    <row r="1271" spans="1:16" x14ac:dyDescent="0.25">
      <c r="A1271" s="12" t="s">
        <v>1094</v>
      </c>
      <c r="C1271">
        <v>322</v>
      </c>
      <c r="D1271">
        <v>1</v>
      </c>
      <c r="J1271">
        <v>0.17</v>
      </c>
      <c r="K1271" s="2">
        <v>2.5000000000000001E-2</v>
      </c>
      <c r="L1271" s="17">
        <v>2.5000000000000001E-2</v>
      </c>
      <c r="P1271" s="2" t="s">
        <v>2560</v>
      </c>
    </row>
    <row r="1272" spans="1:16" x14ac:dyDescent="0.25">
      <c r="A1272" s="12" t="s">
        <v>1095</v>
      </c>
      <c r="C1272">
        <v>322</v>
      </c>
      <c r="D1272">
        <v>1</v>
      </c>
      <c r="J1272">
        <v>0.28999999999999998</v>
      </c>
      <c r="K1272" s="2" t="s">
        <v>2519</v>
      </c>
      <c r="L1272" s="17">
        <v>1E-3</v>
      </c>
      <c r="P1272" s="2" t="s">
        <v>2560</v>
      </c>
    </row>
    <row r="1273" spans="1:16" x14ac:dyDescent="0.25">
      <c r="A1273" s="12" t="s">
        <v>1096</v>
      </c>
      <c r="C1273">
        <v>322</v>
      </c>
      <c r="D1273">
        <v>2</v>
      </c>
      <c r="J1273">
        <v>0.39</v>
      </c>
      <c r="K1273" s="2" t="s">
        <v>2519</v>
      </c>
      <c r="L1273" s="17">
        <v>1E-3</v>
      </c>
      <c r="O1273" t="s">
        <v>2253</v>
      </c>
      <c r="P1273" s="2" t="s">
        <v>2560</v>
      </c>
    </row>
    <row r="1274" spans="1:16" x14ac:dyDescent="0.25">
      <c r="A1274" s="12" t="s">
        <v>1097</v>
      </c>
      <c r="C1274">
        <v>322</v>
      </c>
      <c r="D1274">
        <v>1</v>
      </c>
      <c r="J1274">
        <v>0.49</v>
      </c>
      <c r="K1274" s="2" t="s">
        <v>2519</v>
      </c>
      <c r="L1274" s="17">
        <v>1E-3</v>
      </c>
      <c r="P1274" s="2" t="s">
        <v>2560</v>
      </c>
    </row>
    <row r="1275" spans="1:16" x14ac:dyDescent="0.25">
      <c r="A1275" s="12" t="s">
        <v>1098</v>
      </c>
      <c r="C1275">
        <v>322</v>
      </c>
      <c r="D1275">
        <v>1</v>
      </c>
      <c r="J1275">
        <v>0.75</v>
      </c>
      <c r="K1275" s="2" t="s">
        <v>2519</v>
      </c>
      <c r="L1275" s="17">
        <v>1E-3</v>
      </c>
      <c r="P1275" s="2" t="s">
        <v>2560</v>
      </c>
    </row>
    <row r="1276" spans="1:16" x14ac:dyDescent="0.25">
      <c r="A1276" s="12" t="s">
        <v>1099</v>
      </c>
      <c r="C1276">
        <v>322</v>
      </c>
      <c r="D1276">
        <v>1</v>
      </c>
      <c r="J1276">
        <v>0.53</v>
      </c>
      <c r="K1276" s="2" t="s">
        <v>2519</v>
      </c>
      <c r="L1276" s="17">
        <v>1E-3</v>
      </c>
      <c r="P1276" s="2" t="s">
        <v>2560</v>
      </c>
    </row>
    <row r="1277" spans="1:16" x14ac:dyDescent="0.25">
      <c r="A1277" s="12" t="s">
        <v>1100</v>
      </c>
      <c r="C1277">
        <v>322</v>
      </c>
      <c r="D1277">
        <v>2</v>
      </c>
      <c r="J1277">
        <v>0.75</v>
      </c>
      <c r="K1277" s="2" t="s">
        <v>2519</v>
      </c>
      <c r="L1277" s="17">
        <v>1E-3</v>
      </c>
      <c r="O1277" t="s">
        <v>2253</v>
      </c>
      <c r="P1277" s="2" t="s">
        <v>2560</v>
      </c>
    </row>
    <row r="1278" spans="1:16" x14ac:dyDescent="0.25">
      <c r="A1278" s="12" t="s">
        <v>1101</v>
      </c>
      <c r="C1278">
        <v>322</v>
      </c>
      <c r="D1278">
        <v>1</v>
      </c>
      <c r="E1278">
        <v>0</v>
      </c>
      <c r="J1278" t="b">
        <f t="shared" ref="J1278:J1288" si="71">IF(NOT(ISBLANK(F1278)),SQRT((F1278^2*1/H1278)/(F1278^2*1/H1278+1)),IF(NOT(ISBLANK(G1278)),SQRT((G1278*H1278/I1278)/(G1278*H1278/I1278+1)*SQRT(1/H1278))))</f>
        <v>0</v>
      </c>
      <c r="K1278" s="2" t="s">
        <v>2519</v>
      </c>
      <c r="L1278" s="17">
        <v>1E-3</v>
      </c>
    </row>
    <row r="1279" spans="1:16" x14ac:dyDescent="0.25">
      <c r="A1279" s="12" t="s">
        <v>1102</v>
      </c>
      <c r="C1279">
        <v>322</v>
      </c>
      <c r="D1279">
        <v>1</v>
      </c>
      <c r="E1279">
        <v>0</v>
      </c>
      <c r="J1279" t="b">
        <f t="shared" si="71"/>
        <v>0</v>
      </c>
      <c r="K1279" s="2" t="s">
        <v>2519</v>
      </c>
      <c r="L1279" s="17">
        <v>1E-3</v>
      </c>
    </row>
    <row r="1280" spans="1:16" x14ac:dyDescent="0.25">
      <c r="A1280" s="12" t="s">
        <v>1103</v>
      </c>
      <c r="C1280">
        <v>322</v>
      </c>
      <c r="D1280">
        <v>1</v>
      </c>
      <c r="E1280">
        <v>0</v>
      </c>
      <c r="J1280" t="b">
        <f t="shared" si="71"/>
        <v>0</v>
      </c>
      <c r="K1280" s="2" t="s">
        <v>2519</v>
      </c>
      <c r="L1280" s="17">
        <v>1E-3</v>
      </c>
    </row>
    <row r="1281" spans="1:16" x14ac:dyDescent="0.25">
      <c r="A1281" s="12" t="s">
        <v>1104</v>
      </c>
      <c r="C1281">
        <v>322</v>
      </c>
      <c r="D1281">
        <v>1</v>
      </c>
      <c r="E1281">
        <v>0</v>
      </c>
      <c r="J1281" t="b">
        <f t="shared" si="71"/>
        <v>0</v>
      </c>
      <c r="K1281" s="2">
        <v>2E-3</v>
      </c>
      <c r="L1281" s="17">
        <v>2E-3</v>
      </c>
    </row>
    <row r="1282" spans="1:16" x14ac:dyDescent="0.25">
      <c r="A1282" s="12" t="s">
        <v>1105</v>
      </c>
      <c r="C1282">
        <v>322</v>
      </c>
      <c r="D1282">
        <v>1</v>
      </c>
      <c r="E1282">
        <v>0</v>
      </c>
      <c r="J1282" t="b">
        <f t="shared" si="71"/>
        <v>0</v>
      </c>
      <c r="K1282" s="2" t="s">
        <v>2519</v>
      </c>
      <c r="L1282" s="17">
        <v>1E-3</v>
      </c>
    </row>
    <row r="1283" spans="1:16" x14ac:dyDescent="0.25">
      <c r="A1283" s="12" t="s">
        <v>1106</v>
      </c>
      <c r="C1283">
        <v>322</v>
      </c>
      <c r="D1283">
        <v>1</v>
      </c>
      <c r="E1283">
        <v>0</v>
      </c>
      <c r="J1283" t="b">
        <f t="shared" si="71"/>
        <v>0</v>
      </c>
      <c r="K1283" s="2" t="s">
        <v>2519</v>
      </c>
      <c r="L1283" s="17">
        <v>1E-3</v>
      </c>
    </row>
    <row r="1284" spans="1:16" x14ac:dyDescent="0.25">
      <c r="A1284" s="12" t="s">
        <v>1107</v>
      </c>
      <c r="C1284">
        <v>322</v>
      </c>
      <c r="D1284">
        <v>2</v>
      </c>
      <c r="E1284">
        <v>0</v>
      </c>
      <c r="J1284" t="b">
        <f t="shared" si="71"/>
        <v>0</v>
      </c>
      <c r="K1284" s="2" t="s">
        <v>2519</v>
      </c>
      <c r="L1284" s="17">
        <v>1E-3</v>
      </c>
      <c r="O1284" t="s">
        <v>2253</v>
      </c>
    </row>
    <row r="1285" spans="1:16" x14ac:dyDescent="0.25">
      <c r="A1285" s="12" t="s">
        <v>1108</v>
      </c>
      <c r="C1285">
        <v>322</v>
      </c>
      <c r="D1285">
        <v>1</v>
      </c>
      <c r="E1285">
        <v>0</v>
      </c>
      <c r="J1285" t="b">
        <f t="shared" si="71"/>
        <v>0</v>
      </c>
      <c r="K1285" s="2" t="s">
        <v>2519</v>
      </c>
      <c r="L1285" s="17">
        <v>1E-3</v>
      </c>
    </row>
    <row r="1286" spans="1:16" x14ac:dyDescent="0.25">
      <c r="A1286" s="12" t="s">
        <v>1109</v>
      </c>
      <c r="C1286">
        <v>322</v>
      </c>
      <c r="D1286">
        <v>1</v>
      </c>
      <c r="E1286">
        <v>0</v>
      </c>
      <c r="J1286" t="b">
        <f t="shared" si="71"/>
        <v>0</v>
      </c>
      <c r="K1286" s="2" t="s">
        <v>2519</v>
      </c>
      <c r="L1286" s="17">
        <v>1E-3</v>
      </c>
    </row>
    <row r="1287" spans="1:16" x14ac:dyDescent="0.25">
      <c r="A1287" s="12" t="s">
        <v>1110</v>
      </c>
      <c r="C1287">
        <v>322</v>
      </c>
      <c r="D1287">
        <v>1</v>
      </c>
      <c r="E1287">
        <v>0</v>
      </c>
      <c r="J1287" t="b">
        <f t="shared" si="71"/>
        <v>0</v>
      </c>
      <c r="K1287" s="2">
        <v>0.77100000000000002</v>
      </c>
      <c r="L1287" s="17">
        <v>0.77100000000000002</v>
      </c>
    </row>
    <row r="1288" spans="1:16" x14ac:dyDescent="0.25">
      <c r="A1288" s="12" t="s">
        <v>1111</v>
      </c>
      <c r="C1288">
        <v>322</v>
      </c>
      <c r="D1288">
        <v>1</v>
      </c>
      <c r="E1288">
        <v>0</v>
      </c>
      <c r="J1288" t="b">
        <f t="shared" si="71"/>
        <v>0</v>
      </c>
      <c r="K1288" s="2">
        <v>0.52100000000000002</v>
      </c>
      <c r="L1288" s="17">
        <v>0.52100000000000002</v>
      </c>
    </row>
    <row r="1289" spans="1:16" x14ac:dyDescent="0.25">
      <c r="A1289" s="12" t="s">
        <v>1112</v>
      </c>
      <c r="C1289">
        <v>322</v>
      </c>
      <c r="D1289">
        <v>1</v>
      </c>
      <c r="J1289">
        <v>0.04</v>
      </c>
      <c r="P1289" s="2" t="s">
        <v>2560</v>
      </c>
    </row>
    <row r="1290" spans="1:16" x14ac:dyDescent="0.25">
      <c r="A1290" s="12" t="s">
        <v>1113</v>
      </c>
      <c r="C1290">
        <v>323</v>
      </c>
      <c r="D1290">
        <v>1</v>
      </c>
      <c r="E1290">
        <v>0</v>
      </c>
      <c r="J1290" t="b">
        <f t="shared" ref="J1290:J1317" si="72">IF(NOT(ISBLANK(F1290)),SQRT((F1290^2*1/H1290)/(F1290^2*1/H1290+1)),IF(NOT(ISBLANK(G1290)),SQRT((G1290*H1290/I1290)/(G1290*H1290/I1290+1)*SQRT(1/H1290))))</f>
        <v>0</v>
      </c>
      <c r="K1290" s="2" t="s">
        <v>2519</v>
      </c>
      <c r="L1290" s="17">
        <v>1E-3</v>
      </c>
      <c r="O1290" t="s">
        <v>2135</v>
      </c>
    </row>
    <row r="1291" spans="1:16" x14ac:dyDescent="0.25">
      <c r="A1291" s="12" t="s">
        <v>1114</v>
      </c>
      <c r="C1291">
        <v>323</v>
      </c>
      <c r="D1291">
        <v>1</v>
      </c>
      <c r="E1291">
        <v>0</v>
      </c>
      <c r="J1291" t="b">
        <f t="shared" si="72"/>
        <v>0</v>
      </c>
      <c r="K1291" s="2" t="s">
        <v>2519</v>
      </c>
      <c r="L1291" s="17">
        <v>1E-3</v>
      </c>
    </row>
    <row r="1292" spans="1:16" x14ac:dyDescent="0.25">
      <c r="A1292" s="12" t="s">
        <v>1115</v>
      </c>
      <c r="C1292">
        <v>323</v>
      </c>
      <c r="D1292">
        <v>1</v>
      </c>
      <c r="E1292">
        <v>0</v>
      </c>
      <c r="J1292" t="b">
        <f t="shared" si="72"/>
        <v>0</v>
      </c>
      <c r="K1292" s="2">
        <v>0.18</v>
      </c>
      <c r="L1292" s="17">
        <v>0.18</v>
      </c>
    </row>
    <row r="1293" spans="1:16" x14ac:dyDescent="0.25">
      <c r="A1293" s="12" t="s">
        <v>1116</v>
      </c>
      <c r="C1293">
        <v>323</v>
      </c>
      <c r="D1293">
        <v>1</v>
      </c>
      <c r="E1293">
        <v>0</v>
      </c>
      <c r="J1293" t="b">
        <f t="shared" si="72"/>
        <v>0</v>
      </c>
      <c r="K1293" s="2">
        <v>0.01</v>
      </c>
      <c r="L1293" s="17">
        <v>0.01</v>
      </c>
    </row>
    <row r="1294" spans="1:16" x14ac:dyDescent="0.25">
      <c r="A1294" s="12" t="s">
        <v>1117</v>
      </c>
      <c r="C1294">
        <v>323</v>
      </c>
      <c r="D1294">
        <v>1</v>
      </c>
      <c r="E1294">
        <v>0</v>
      </c>
      <c r="J1294" t="b">
        <f t="shared" si="72"/>
        <v>0</v>
      </c>
      <c r="K1294" s="2">
        <v>0.08</v>
      </c>
      <c r="L1294" s="17">
        <v>0.08</v>
      </c>
    </row>
    <row r="1295" spans="1:16" x14ac:dyDescent="0.25">
      <c r="A1295" s="12" t="s">
        <v>1118</v>
      </c>
      <c r="C1295">
        <v>323</v>
      </c>
      <c r="D1295">
        <v>1</v>
      </c>
      <c r="E1295">
        <v>0</v>
      </c>
      <c r="J1295" t="b">
        <f t="shared" si="72"/>
        <v>0</v>
      </c>
      <c r="K1295" s="2">
        <v>0.39</v>
      </c>
      <c r="L1295" s="17">
        <v>0.39</v>
      </c>
    </row>
    <row r="1296" spans="1:16" x14ac:dyDescent="0.25">
      <c r="A1296" s="12" t="s">
        <v>1119</v>
      </c>
      <c r="C1296">
        <v>323</v>
      </c>
      <c r="D1296">
        <v>1</v>
      </c>
      <c r="E1296">
        <v>0</v>
      </c>
      <c r="J1296" t="b">
        <f t="shared" si="72"/>
        <v>0</v>
      </c>
      <c r="K1296" s="2">
        <v>8.9999999999999993E-3</v>
      </c>
      <c r="L1296" s="17">
        <v>8.9999999999999993E-3</v>
      </c>
    </row>
    <row r="1297" spans="1:15" x14ac:dyDescent="0.25">
      <c r="A1297" s="12" t="s">
        <v>1120</v>
      </c>
      <c r="C1297">
        <v>323</v>
      </c>
      <c r="D1297">
        <v>1</v>
      </c>
      <c r="E1297">
        <v>0</v>
      </c>
      <c r="J1297" t="b">
        <f t="shared" si="72"/>
        <v>0</v>
      </c>
      <c r="K1297" s="2">
        <v>0.05</v>
      </c>
      <c r="L1297" s="17">
        <v>0.05</v>
      </c>
    </row>
    <row r="1298" spans="1:15" x14ac:dyDescent="0.25">
      <c r="A1298" s="12" t="s">
        <v>1121</v>
      </c>
      <c r="C1298">
        <v>323</v>
      </c>
      <c r="D1298">
        <v>1</v>
      </c>
      <c r="E1298">
        <v>0</v>
      </c>
      <c r="J1298" t="b">
        <f t="shared" si="72"/>
        <v>0</v>
      </c>
      <c r="K1298" s="2">
        <v>0.37</v>
      </c>
      <c r="L1298" s="17">
        <v>0.37</v>
      </c>
    </row>
    <row r="1299" spans="1:15" x14ac:dyDescent="0.25">
      <c r="A1299" s="12" t="s">
        <v>1122</v>
      </c>
      <c r="C1299">
        <v>323</v>
      </c>
      <c r="D1299">
        <v>1</v>
      </c>
      <c r="E1299">
        <v>0</v>
      </c>
      <c r="J1299" t="b">
        <f t="shared" si="72"/>
        <v>0</v>
      </c>
      <c r="K1299" s="2">
        <v>0.48</v>
      </c>
      <c r="L1299" s="17">
        <v>0.48</v>
      </c>
    </row>
    <row r="1300" spans="1:15" x14ac:dyDescent="0.25">
      <c r="A1300" s="12" t="s">
        <v>1123</v>
      </c>
      <c r="C1300">
        <v>323</v>
      </c>
      <c r="D1300">
        <v>1</v>
      </c>
      <c r="E1300">
        <v>0</v>
      </c>
      <c r="J1300" t="b">
        <f t="shared" si="72"/>
        <v>0</v>
      </c>
      <c r="K1300" s="2">
        <v>0.7</v>
      </c>
      <c r="L1300" s="17">
        <v>0.7</v>
      </c>
    </row>
    <row r="1301" spans="1:15" x14ac:dyDescent="0.25">
      <c r="A1301" s="12" t="s">
        <v>1124</v>
      </c>
      <c r="C1301">
        <v>323</v>
      </c>
      <c r="D1301">
        <v>1</v>
      </c>
      <c r="E1301">
        <v>0</v>
      </c>
      <c r="J1301" t="b">
        <f t="shared" si="72"/>
        <v>0</v>
      </c>
      <c r="K1301" s="2">
        <v>0.09</v>
      </c>
      <c r="L1301" s="17">
        <v>0.09</v>
      </c>
    </row>
    <row r="1302" spans="1:15" x14ac:dyDescent="0.25">
      <c r="A1302" s="12" t="s">
        <v>1125</v>
      </c>
      <c r="C1302">
        <v>323</v>
      </c>
      <c r="D1302">
        <v>1</v>
      </c>
      <c r="E1302">
        <v>0</v>
      </c>
      <c r="J1302" t="b">
        <f t="shared" si="72"/>
        <v>0</v>
      </c>
      <c r="K1302" s="2">
        <v>0.85</v>
      </c>
      <c r="L1302" s="17">
        <v>0.85</v>
      </c>
    </row>
    <row r="1303" spans="1:15" x14ac:dyDescent="0.25">
      <c r="A1303" s="12" t="s">
        <v>1126</v>
      </c>
      <c r="C1303">
        <v>323</v>
      </c>
      <c r="D1303">
        <v>1</v>
      </c>
      <c r="E1303">
        <v>0</v>
      </c>
      <c r="J1303" t="b">
        <f t="shared" si="72"/>
        <v>0</v>
      </c>
      <c r="K1303" s="2">
        <v>0.88</v>
      </c>
      <c r="L1303" s="17">
        <v>0.88</v>
      </c>
    </row>
    <row r="1304" spans="1:15" x14ac:dyDescent="0.25">
      <c r="A1304" s="12" t="s">
        <v>1127</v>
      </c>
      <c r="C1304">
        <v>323</v>
      </c>
      <c r="D1304">
        <v>1</v>
      </c>
      <c r="E1304">
        <v>0</v>
      </c>
      <c r="J1304" t="b">
        <f t="shared" si="72"/>
        <v>0</v>
      </c>
      <c r="K1304" s="2">
        <v>0.3</v>
      </c>
      <c r="L1304" s="17">
        <v>0.3</v>
      </c>
    </row>
    <row r="1305" spans="1:15" x14ac:dyDescent="0.25">
      <c r="A1305" s="12" t="s">
        <v>1128</v>
      </c>
      <c r="C1305">
        <v>323</v>
      </c>
      <c r="D1305">
        <v>2</v>
      </c>
      <c r="E1305">
        <v>0</v>
      </c>
      <c r="J1305" t="b">
        <f t="shared" si="72"/>
        <v>0</v>
      </c>
      <c r="K1305" s="2">
        <v>0.5</v>
      </c>
      <c r="L1305" s="17">
        <v>0.5</v>
      </c>
      <c r="O1305" t="s">
        <v>2254</v>
      </c>
    </row>
    <row r="1306" spans="1:15" x14ac:dyDescent="0.25">
      <c r="A1306" s="12" t="s">
        <v>1129</v>
      </c>
      <c r="C1306">
        <v>323</v>
      </c>
      <c r="D1306">
        <v>2</v>
      </c>
      <c r="E1306">
        <v>0</v>
      </c>
      <c r="J1306" t="b">
        <f t="shared" si="72"/>
        <v>0</v>
      </c>
      <c r="K1306" s="2">
        <v>0.88</v>
      </c>
      <c r="L1306" s="17">
        <v>0.88</v>
      </c>
      <c r="O1306" t="s">
        <v>2254</v>
      </c>
    </row>
    <row r="1307" spans="1:15" x14ac:dyDescent="0.25">
      <c r="A1307" s="12" t="s">
        <v>1130</v>
      </c>
      <c r="C1307">
        <v>323</v>
      </c>
      <c r="D1307">
        <v>1</v>
      </c>
      <c r="E1307">
        <v>0</v>
      </c>
      <c r="J1307" t="b">
        <f t="shared" si="72"/>
        <v>0</v>
      </c>
      <c r="K1307" s="2">
        <v>0.81</v>
      </c>
      <c r="L1307" s="17">
        <v>0.81</v>
      </c>
    </row>
    <row r="1308" spans="1:15" x14ac:dyDescent="0.25">
      <c r="A1308" s="12" t="s">
        <v>1131</v>
      </c>
      <c r="C1308">
        <v>323</v>
      </c>
      <c r="D1308">
        <v>1</v>
      </c>
      <c r="E1308">
        <v>0</v>
      </c>
      <c r="J1308" t="b">
        <f t="shared" si="72"/>
        <v>0</v>
      </c>
      <c r="K1308" s="2">
        <v>0.96</v>
      </c>
      <c r="L1308" s="17">
        <v>0.96</v>
      </c>
    </row>
    <row r="1309" spans="1:15" x14ac:dyDescent="0.25">
      <c r="A1309" s="12" t="s">
        <v>1132</v>
      </c>
      <c r="C1309">
        <v>323</v>
      </c>
      <c r="D1309">
        <v>1</v>
      </c>
      <c r="E1309">
        <v>0</v>
      </c>
      <c r="J1309" t="b">
        <f t="shared" si="72"/>
        <v>0</v>
      </c>
      <c r="K1309" s="2">
        <v>0.54</v>
      </c>
      <c r="L1309" s="17">
        <v>0.54</v>
      </c>
    </row>
    <row r="1310" spans="1:15" x14ac:dyDescent="0.25">
      <c r="A1310" s="12" t="s">
        <v>1133</v>
      </c>
      <c r="C1310">
        <v>323</v>
      </c>
      <c r="D1310">
        <v>1</v>
      </c>
      <c r="E1310">
        <v>0</v>
      </c>
      <c r="J1310" t="b">
        <f t="shared" si="72"/>
        <v>0</v>
      </c>
      <c r="K1310" s="2">
        <v>0.28000000000000003</v>
      </c>
      <c r="L1310" s="17">
        <v>0.28000000000000003</v>
      </c>
    </row>
    <row r="1311" spans="1:15" x14ac:dyDescent="0.25">
      <c r="A1311" s="12" t="s">
        <v>1134</v>
      </c>
      <c r="C1311">
        <v>323</v>
      </c>
      <c r="D1311">
        <v>1</v>
      </c>
      <c r="E1311">
        <v>0</v>
      </c>
      <c r="J1311" t="b">
        <f t="shared" si="72"/>
        <v>0</v>
      </c>
      <c r="K1311" s="2">
        <v>0.97</v>
      </c>
      <c r="L1311" s="17">
        <v>0.97</v>
      </c>
    </row>
    <row r="1312" spans="1:15" x14ac:dyDescent="0.25">
      <c r="A1312" s="12" t="s">
        <v>1135</v>
      </c>
      <c r="C1312">
        <v>323</v>
      </c>
      <c r="D1312">
        <v>1</v>
      </c>
      <c r="E1312">
        <v>0</v>
      </c>
      <c r="J1312" t="b">
        <f t="shared" si="72"/>
        <v>0</v>
      </c>
      <c r="K1312" s="2">
        <v>0.48</v>
      </c>
      <c r="L1312" s="17">
        <v>0.48</v>
      </c>
    </row>
    <row r="1313" spans="1:15" x14ac:dyDescent="0.25">
      <c r="A1313" s="12" t="s">
        <v>1136</v>
      </c>
      <c r="C1313">
        <v>323</v>
      </c>
      <c r="D1313">
        <v>1</v>
      </c>
      <c r="E1313">
        <v>0</v>
      </c>
      <c r="J1313" t="b">
        <f t="shared" si="72"/>
        <v>0</v>
      </c>
      <c r="K1313" s="2">
        <v>2E-3</v>
      </c>
      <c r="L1313" s="17">
        <v>2E-3</v>
      </c>
    </row>
    <row r="1314" spans="1:15" x14ac:dyDescent="0.25">
      <c r="A1314" s="12" t="s">
        <v>1137</v>
      </c>
      <c r="C1314">
        <v>323</v>
      </c>
      <c r="D1314">
        <v>1</v>
      </c>
      <c r="E1314">
        <v>0</v>
      </c>
      <c r="J1314" t="b">
        <f t="shared" si="72"/>
        <v>0</v>
      </c>
      <c r="K1314" s="2">
        <v>0.99</v>
      </c>
      <c r="L1314" s="17">
        <v>0.99</v>
      </c>
    </row>
    <row r="1315" spans="1:15" x14ac:dyDescent="0.25">
      <c r="A1315" s="12" t="s">
        <v>1138</v>
      </c>
      <c r="C1315">
        <v>323</v>
      </c>
      <c r="D1315">
        <v>1</v>
      </c>
      <c r="E1315">
        <v>0</v>
      </c>
      <c r="J1315" t="b">
        <f t="shared" si="72"/>
        <v>0</v>
      </c>
      <c r="K1315" s="2">
        <v>1E-3</v>
      </c>
      <c r="L1315" s="17">
        <v>1E-3</v>
      </c>
    </row>
    <row r="1316" spans="1:15" x14ac:dyDescent="0.25">
      <c r="A1316" s="12" t="s">
        <v>1139</v>
      </c>
      <c r="C1316">
        <v>323</v>
      </c>
      <c r="D1316">
        <v>1</v>
      </c>
      <c r="E1316">
        <v>0</v>
      </c>
      <c r="J1316" t="b">
        <f t="shared" si="72"/>
        <v>0</v>
      </c>
      <c r="K1316" s="2">
        <v>1E-3</v>
      </c>
      <c r="L1316" s="17">
        <v>1E-3</v>
      </c>
    </row>
    <row r="1317" spans="1:15" x14ac:dyDescent="0.25">
      <c r="A1317" s="12" t="s">
        <v>1140</v>
      </c>
      <c r="C1317">
        <v>323</v>
      </c>
      <c r="D1317">
        <v>1</v>
      </c>
      <c r="E1317">
        <v>0</v>
      </c>
      <c r="J1317" t="b">
        <f t="shared" si="72"/>
        <v>0</v>
      </c>
      <c r="K1317" s="2">
        <v>0.82</v>
      </c>
      <c r="L1317" s="17">
        <v>0.82</v>
      </c>
    </row>
    <row r="1318" spans="1:15" x14ac:dyDescent="0.25">
      <c r="A1318" s="12" t="s">
        <v>1141</v>
      </c>
      <c r="C1318">
        <v>324</v>
      </c>
      <c r="D1318">
        <v>1</v>
      </c>
      <c r="J1318">
        <v>0.28999999999999998</v>
      </c>
      <c r="K1318" s="2">
        <v>0.01</v>
      </c>
      <c r="L1318" s="17">
        <v>0.01</v>
      </c>
      <c r="M1318" s="2" t="s">
        <v>2558</v>
      </c>
      <c r="N1318" s="2" t="s">
        <v>2558</v>
      </c>
      <c r="O1318" t="s">
        <v>2263</v>
      </c>
    </row>
    <row r="1319" spans="1:15" x14ac:dyDescent="0.25">
      <c r="A1319" s="12" t="s">
        <v>1142</v>
      </c>
      <c r="C1319">
        <v>324</v>
      </c>
      <c r="D1319">
        <v>1</v>
      </c>
      <c r="F1319">
        <v>7.78</v>
      </c>
      <c r="H1319">
        <v>82</v>
      </c>
      <c r="J1319">
        <f t="shared" ref="J1319:J1331" si="73">IF(NOT(ISBLANK(F1319)),SQRT((F1319^2*1/H1319)/(F1319^2*1/H1319+1)),IF(NOT(ISBLANK(G1319)),SQRT((G1319*H1319/I1319)/(G1319*H1319/I1319+1)*SQRT(1/H1319))))</f>
        <v>0.65167174601924005</v>
      </c>
      <c r="K1319" s="2">
        <v>1E-4</v>
      </c>
      <c r="L1319" s="17">
        <v>1E-4</v>
      </c>
      <c r="M1319" s="2" t="s">
        <v>2558</v>
      </c>
      <c r="N1319" s="2" t="s">
        <v>2558</v>
      </c>
    </row>
    <row r="1320" spans="1:15" x14ac:dyDescent="0.25">
      <c r="A1320" s="12" t="s">
        <v>1143</v>
      </c>
      <c r="C1320">
        <v>324</v>
      </c>
      <c r="D1320">
        <v>1</v>
      </c>
      <c r="F1320">
        <v>0.81</v>
      </c>
      <c r="H1320">
        <v>82</v>
      </c>
      <c r="J1320">
        <f t="shared" si="73"/>
        <v>8.9093816658224814E-2</v>
      </c>
      <c r="K1320" s="2">
        <v>0.42</v>
      </c>
      <c r="L1320" s="17">
        <v>0.42</v>
      </c>
      <c r="M1320" s="2" t="s">
        <v>2558</v>
      </c>
      <c r="N1320" s="2" t="s">
        <v>2558</v>
      </c>
    </row>
    <row r="1321" spans="1:15" x14ac:dyDescent="0.25">
      <c r="A1321" s="12" t="s">
        <v>1144</v>
      </c>
      <c r="C1321">
        <v>324</v>
      </c>
      <c r="D1321">
        <v>1</v>
      </c>
      <c r="F1321">
        <v>1.34</v>
      </c>
      <c r="H1321">
        <v>82</v>
      </c>
      <c r="J1321">
        <f t="shared" si="73"/>
        <v>0.14638419570621355</v>
      </c>
      <c r="K1321" s="2">
        <v>0.18</v>
      </c>
      <c r="L1321" s="17">
        <v>0.18</v>
      </c>
      <c r="M1321" s="2" t="s">
        <v>2558</v>
      </c>
      <c r="N1321" s="2" t="s">
        <v>2558</v>
      </c>
    </row>
    <row r="1322" spans="1:15" x14ac:dyDescent="0.25">
      <c r="A1322" s="12" t="s">
        <v>1145</v>
      </c>
      <c r="C1322">
        <v>324</v>
      </c>
      <c r="D1322">
        <v>1</v>
      </c>
      <c r="F1322">
        <v>2.4900000000000002</v>
      </c>
      <c r="H1322">
        <v>82</v>
      </c>
      <c r="J1322">
        <f t="shared" si="73"/>
        <v>0.26513362417250963</v>
      </c>
      <c r="K1322" s="2">
        <v>0.02</v>
      </c>
      <c r="L1322" s="17">
        <v>0.02</v>
      </c>
      <c r="M1322" s="2" t="s">
        <v>2558</v>
      </c>
      <c r="N1322" s="2" t="s">
        <v>2558</v>
      </c>
    </row>
    <row r="1323" spans="1:15" x14ac:dyDescent="0.25">
      <c r="A1323" s="12" t="s">
        <v>1146</v>
      </c>
      <c r="C1323">
        <v>324</v>
      </c>
      <c r="D1323">
        <v>1</v>
      </c>
      <c r="F1323">
        <v>0.18</v>
      </c>
      <c r="H1323">
        <v>80</v>
      </c>
      <c r="J1323">
        <f t="shared" si="73"/>
        <v>2.0120537801043781E-2</v>
      </c>
      <c r="K1323" s="2">
        <v>0.86</v>
      </c>
      <c r="L1323" s="17">
        <v>0.86</v>
      </c>
      <c r="M1323" s="2" t="s">
        <v>2558</v>
      </c>
      <c r="N1323" s="2" t="s">
        <v>2558</v>
      </c>
    </row>
    <row r="1324" spans="1:15" x14ac:dyDescent="0.25">
      <c r="A1324" s="12" t="s">
        <v>1147</v>
      </c>
      <c r="C1324">
        <v>324</v>
      </c>
      <c r="D1324">
        <v>1</v>
      </c>
      <c r="F1324">
        <v>0.63</v>
      </c>
      <c r="H1324">
        <v>80</v>
      </c>
      <c r="J1324">
        <f t="shared" si="73"/>
        <v>7.0262063105167999E-2</v>
      </c>
      <c r="K1324" s="2">
        <v>0.53</v>
      </c>
      <c r="L1324" s="17">
        <v>0.53</v>
      </c>
      <c r="M1324" s="2" t="s">
        <v>2558</v>
      </c>
      <c r="N1324" s="2" t="s">
        <v>2558</v>
      </c>
    </row>
    <row r="1325" spans="1:15" x14ac:dyDescent="0.25">
      <c r="A1325" s="12" t="s">
        <v>1148</v>
      </c>
      <c r="C1325">
        <v>324</v>
      </c>
      <c r="D1325">
        <v>1</v>
      </c>
      <c r="F1325">
        <v>2.4500000000000002</v>
      </c>
      <c r="H1325">
        <v>80</v>
      </c>
      <c r="J1325">
        <f t="shared" si="73"/>
        <v>0.26418645445693395</v>
      </c>
      <c r="K1325" s="2">
        <v>0.02</v>
      </c>
      <c r="L1325" s="17">
        <v>0.02</v>
      </c>
      <c r="M1325" s="2" t="s">
        <v>2558</v>
      </c>
      <c r="N1325" s="2" t="s">
        <v>2558</v>
      </c>
    </row>
    <row r="1326" spans="1:15" x14ac:dyDescent="0.25">
      <c r="A1326" s="12" t="s">
        <v>1149</v>
      </c>
      <c r="C1326">
        <v>324</v>
      </c>
      <c r="D1326">
        <v>1</v>
      </c>
      <c r="F1326">
        <v>7.39</v>
      </c>
      <c r="H1326">
        <v>80</v>
      </c>
      <c r="J1326">
        <f t="shared" si="73"/>
        <v>0.63694566863197566</v>
      </c>
      <c r="K1326" s="2">
        <v>1E-3</v>
      </c>
      <c r="L1326" s="17">
        <v>1E-3</v>
      </c>
      <c r="M1326" s="2" t="s">
        <v>2558</v>
      </c>
      <c r="N1326" s="2" t="s">
        <v>2558</v>
      </c>
    </row>
    <row r="1327" spans="1:15" x14ac:dyDescent="0.25">
      <c r="A1327" s="12" t="s">
        <v>1150</v>
      </c>
      <c r="C1327">
        <v>324</v>
      </c>
      <c r="D1327">
        <v>1</v>
      </c>
      <c r="F1327">
        <v>2.33</v>
      </c>
      <c r="H1327">
        <v>80</v>
      </c>
      <c r="J1327">
        <f t="shared" si="73"/>
        <v>0.25208877848337591</v>
      </c>
      <c r="K1327" s="2">
        <v>0.02</v>
      </c>
      <c r="L1327" s="17">
        <v>0.02</v>
      </c>
      <c r="M1327" s="2" t="s">
        <v>2558</v>
      </c>
      <c r="N1327" s="2" t="s">
        <v>2558</v>
      </c>
    </row>
    <row r="1328" spans="1:15" x14ac:dyDescent="0.25">
      <c r="A1328" s="12" t="s">
        <v>1151</v>
      </c>
      <c r="C1328">
        <v>325</v>
      </c>
      <c r="D1328">
        <v>1</v>
      </c>
      <c r="F1328">
        <v>5.05</v>
      </c>
      <c r="H1328">
        <v>80</v>
      </c>
      <c r="J1328">
        <f t="shared" si="73"/>
        <v>0.49165448209078527</v>
      </c>
      <c r="K1328" s="2" t="s">
        <v>2136</v>
      </c>
      <c r="L1328" s="17">
        <v>1E-3</v>
      </c>
      <c r="M1328" s="2" t="s">
        <v>2558</v>
      </c>
      <c r="N1328" s="2" t="s">
        <v>2558</v>
      </c>
      <c r="O1328" t="s">
        <v>2249</v>
      </c>
    </row>
    <row r="1329" spans="1:16" x14ac:dyDescent="0.25">
      <c r="A1329" s="12" t="s">
        <v>1152</v>
      </c>
      <c r="C1329">
        <v>325</v>
      </c>
      <c r="D1329">
        <v>1</v>
      </c>
      <c r="F1329">
        <v>8.4</v>
      </c>
      <c r="H1329">
        <v>80</v>
      </c>
      <c r="J1329">
        <f t="shared" si="73"/>
        <v>0.68458043497074883</v>
      </c>
      <c r="K1329" s="2" t="s">
        <v>2136</v>
      </c>
      <c r="L1329" s="17">
        <v>1E-3</v>
      </c>
      <c r="M1329" s="2" t="s">
        <v>2558</v>
      </c>
      <c r="N1329" s="2" t="s">
        <v>2558</v>
      </c>
      <c r="O1329" t="s">
        <v>2249</v>
      </c>
    </row>
    <row r="1330" spans="1:16" x14ac:dyDescent="0.25">
      <c r="A1330" s="12" t="s">
        <v>1153</v>
      </c>
      <c r="C1330">
        <v>325</v>
      </c>
      <c r="D1330">
        <v>1</v>
      </c>
      <c r="F1330">
        <v>-6.56</v>
      </c>
      <c r="H1330">
        <v>80</v>
      </c>
      <c r="J1330">
        <f t="shared" si="73"/>
        <v>0.59141450729081779</v>
      </c>
      <c r="K1330" s="2" t="s">
        <v>2136</v>
      </c>
      <c r="L1330" s="17">
        <v>1E-3</v>
      </c>
      <c r="M1330" s="2" t="s">
        <v>2558</v>
      </c>
      <c r="N1330" s="2" t="s">
        <v>2558</v>
      </c>
      <c r="O1330" t="s">
        <v>2249</v>
      </c>
    </row>
    <row r="1331" spans="1:16" x14ac:dyDescent="0.25">
      <c r="A1331" s="12" t="s">
        <v>1154</v>
      </c>
      <c r="C1331">
        <v>325</v>
      </c>
      <c r="D1331">
        <v>1</v>
      </c>
      <c r="F1331">
        <v>-6.85</v>
      </c>
      <c r="H1331">
        <v>80</v>
      </c>
      <c r="J1331">
        <f t="shared" si="73"/>
        <v>0.60802475662605437</v>
      </c>
      <c r="K1331" s="2" t="s">
        <v>2136</v>
      </c>
      <c r="L1331" s="17">
        <v>1E-3</v>
      </c>
      <c r="M1331" s="2" t="s">
        <v>2558</v>
      </c>
      <c r="N1331" s="2" t="s">
        <v>2558</v>
      </c>
      <c r="O1331" t="s">
        <v>2249</v>
      </c>
    </row>
    <row r="1332" spans="1:16" x14ac:dyDescent="0.25">
      <c r="A1332" s="12" t="s">
        <v>1155</v>
      </c>
      <c r="C1332">
        <v>325</v>
      </c>
      <c r="D1332">
        <v>1</v>
      </c>
      <c r="J1332">
        <v>0.495</v>
      </c>
      <c r="K1332" s="2" t="s">
        <v>2136</v>
      </c>
      <c r="L1332" s="17">
        <v>1E-3</v>
      </c>
      <c r="P1332" s="2" t="s">
        <v>2560</v>
      </c>
    </row>
    <row r="1333" spans="1:16" x14ac:dyDescent="0.25">
      <c r="A1333" s="12" t="s">
        <v>1156</v>
      </c>
      <c r="C1333">
        <v>325</v>
      </c>
      <c r="D1333">
        <v>1</v>
      </c>
      <c r="F1333">
        <v>0.92</v>
      </c>
      <c r="H1333">
        <v>80</v>
      </c>
      <c r="J1333">
        <f>IF(NOT(ISBLANK(F1333)),SQRT((F1333^2*1/H1333)/(F1333^2*1/H1333+1)),IF(NOT(ISBLANK(G1333)),SQRT((G1333*H1333/I1333)/(G1333*H1333/I1333+1)*SQRT(1/H1333))))</f>
        <v>0.10231928209546497</v>
      </c>
      <c r="K1333" s="2">
        <v>0.36</v>
      </c>
      <c r="L1333" s="17">
        <v>0.36</v>
      </c>
      <c r="M1333" s="2" t="s">
        <v>2558</v>
      </c>
      <c r="N1333" s="2" t="s">
        <v>2558</v>
      </c>
      <c r="O1333" t="s">
        <v>2249</v>
      </c>
    </row>
    <row r="1334" spans="1:16" x14ac:dyDescent="0.25">
      <c r="A1334" s="12" t="s">
        <v>1157</v>
      </c>
      <c r="C1334">
        <v>325</v>
      </c>
      <c r="D1334">
        <v>1</v>
      </c>
      <c r="F1334">
        <v>0.36</v>
      </c>
      <c r="H1334">
        <v>80</v>
      </c>
      <c r="J1334">
        <f>IF(NOT(ISBLANK(F1334)),SQRT((F1334^2*1/H1334)/(F1334^2*1/H1334+1)),IF(NOT(ISBLANK(G1334)),SQRT((G1334*H1334/I1334)/(G1334*H1334/I1334+1)*SQRT(1/H1334))))</f>
        <v>4.0216661281758138E-2</v>
      </c>
      <c r="K1334" s="2">
        <v>0.72</v>
      </c>
      <c r="L1334" s="17">
        <v>0.72</v>
      </c>
      <c r="M1334" s="2" t="s">
        <v>2558</v>
      </c>
      <c r="N1334" s="2" t="s">
        <v>2558</v>
      </c>
      <c r="O1334" t="s">
        <v>2249</v>
      </c>
    </row>
    <row r="1335" spans="1:16" x14ac:dyDescent="0.25">
      <c r="A1335" s="12" t="s">
        <v>1158</v>
      </c>
      <c r="C1335">
        <v>326</v>
      </c>
      <c r="D1335">
        <v>1</v>
      </c>
      <c r="F1335">
        <v>3.7</v>
      </c>
      <c r="H1335">
        <v>66</v>
      </c>
      <c r="J1335">
        <f>IF(NOT(ISBLANK(F1335)),SQRT((F1335^2*1/H1335)/(F1335^2*1/H1335+1)),IF(NOT(ISBLANK(G1335)),SQRT((G1335*H1335/I1335)/(G1335*H1335/I1335+1)*SQRT(1/H1335))))</f>
        <v>0.41447640333264246</v>
      </c>
      <c r="K1335" s="2" t="s">
        <v>2139</v>
      </c>
      <c r="L1335" s="17">
        <v>1E-3</v>
      </c>
      <c r="M1335" s="2">
        <v>0</v>
      </c>
      <c r="N1335" s="2">
        <f t="shared" ref="N1335:N1338" si="74">IF(M1335=0, 0)</f>
        <v>0</v>
      </c>
    </row>
    <row r="1336" spans="1:16" x14ac:dyDescent="0.25">
      <c r="A1336" s="12" t="s">
        <v>1159</v>
      </c>
      <c r="C1336">
        <v>326</v>
      </c>
      <c r="D1336">
        <v>1</v>
      </c>
      <c r="J1336">
        <v>0.48</v>
      </c>
      <c r="K1336" s="2" t="s">
        <v>2156</v>
      </c>
      <c r="L1336" s="17">
        <v>0.01</v>
      </c>
      <c r="P1336" s="2" t="s">
        <v>2560</v>
      </c>
    </row>
    <row r="1337" spans="1:16" x14ac:dyDescent="0.25">
      <c r="A1337" s="12" t="s">
        <v>1160</v>
      </c>
      <c r="C1337">
        <v>326</v>
      </c>
      <c r="D1337">
        <v>1</v>
      </c>
      <c r="J1337">
        <v>0.26</v>
      </c>
      <c r="K1337" s="2" t="s">
        <v>2527</v>
      </c>
      <c r="L1337" s="17">
        <v>4.9000000000000002E-2</v>
      </c>
      <c r="P1337" s="2" t="s">
        <v>2560</v>
      </c>
    </row>
    <row r="1338" spans="1:16" x14ac:dyDescent="0.25">
      <c r="A1338" s="12" t="s">
        <v>1161</v>
      </c>
      <c r="C1338">
        <v>326</v>
      </c>
      <c r="D1338">
        <v>1</v>
      </c>
      <c r="F1338">
        <v>3.25</v>
      </c>
      <c r="H1338">
        <v>64</v>
      </c>
      <c r="J1338">
        <f t="shared" ref="J1338:J1369" si="75">IF(NOT(ISBLANK(F1338)),SQRT((F1338^2*1/H1338)/(F1338^2*1/H1338+1)),IF(NOT(ISBLANK(G1338)),SQRT((G1338*H1338/I1338)/(G1338*H1338/I1338+1)*SQRT(1/H1338))))</f>
        <v>0.3763770469559381</v>
      </c>
      <c r="K1338" s="2" t="s">
        <v>2156</v>
      </c>
      <c r="L1338" s="17">
        <v>0.01</v>
      </c>
      <c r="M1338" s="2">
        <v>0</v>
      </c>
      <c r="N1338" s="2">
        <f t="shared" si="74"/>
        <v>0</v>
      </c>
    </row>
    <row r="1339" spans="1:16" x14ac:dyDescent="0.25">
      <c r="A1339" s="12" t="s">
        <v>1162</v>
      </c>
      <c r="C1339">
        <v>327</v>
      </c>
      <c r="D1339">
        <v>1</v>
      </c>
      <c r="G1339">
        <v>55.48</v>
      </c>
      <c r="H1339">
        <v>1</v>
      </c>
      <c r="I1339">
        <v>195</v>
      </c>
      <c r="J1339">
        <f t="shared" si="75"/>
        <v>0.47063226633771416</v>
      </c>
      <c r="K1339" s="2">
        <v>1E-3</v>
      </c>
      <c r="L1339" s="17">
        <v>1E-3</v>
      </c>
      <c r="M1339" s="2" t="s">
        <v>2558</v>
      </c>
      <c r="N1339" s="2" t="s">
        <v>2558</v>
      </c>
      <c r="O1339" t="s">
        <v>2264</v>
      </c>
    </row>
    <row r="1340" spans="1:16" x14ac:dyDescent="0.25">
      <c r="A1340" s="12" t="s">
        <v>1163</v>
      </c>
      <c r="C1340">
        <v>327</v>
      </c>
      <c r="D1340">
        <v>1</v>
      </c>
      <c r="G1340">
        <v>1.1299999999999999</v>
      </c>
      <c r="H1340">
        <v>1</v>
      </c>
      <c r="I1340">
        <v>195</v>
      </c>
      <c r="J1340">
        <f t="shared" si="75"/>
        <v>7.5904444728330217E-2</v>
      </c>
      <c r="K1340" s="2">
        <v>0.28999999999999998</v>
      </c>
      <c r="L1340" s="17">
        <v>0.28999999999999998</v>
      </c>
      <c r="M1340" s="2" t="s">
        <v>2558</v>
      </c>
      <c r="N1340" s="2" t="s">
        <v>2558</v>
      </c>
    </row>
    <row r="1341" spans="1:16" x14ac:dyDescent="0.25">
      <c r="A1341" s="12" t="s">
        <v>1164</v>
      </c>
      <c r="C1341">
        <v>327</v>
      </c>
      <c r="D1341">
        <v>1</v>
      </c>
      <c r="G1341">
        <v>58.46</v>
      </c>
      <c r="H1341">
        <v>1</v>
      </c>
      <c r="I1341">
        <v>195</v>
      </c>
      <c r="J1341">
        <f t="shared" si="75"/>
        <v>0.48025809100706257</v>
      </c>
      <c r="K1341" s="2">
        <v>1E-3</v>
      </c>
      <c r="L1341" s="17">
        <v>1E-3</v>
      </c>
      <c r="M1341" s="2" t="s">
        <v>2558</v>
      </c>
      <c r="N1341" s="2" t="s">
        <v>2558</v>
      </c>
    </row>
    <row r="1342" spans="1:16" x14ac:dyDescent="0.25">
      <c r="A1342" s="12" t="s">
        <v>1165</v>
      </c>
      <c r="C1342">
        <v>327</v>
      </c>
      <c r="D1342">
        <v>1</v>
      </c>
      <c r="G1342">
        <v>39.71</v>
      </c>
      <c r="H1342">
        <v>1</v>
      </c>
      <c r="I1342">
        <v>195</v>
      </c>
      <c r="J1342">
        <f t="shared" si="75"/>
        <v>0.41132409118428942</v>
      </c>
      <c r="K1342" s="2">
        <v>1E-3</v>
      </c>
      <c r="L1342" s="17">
        <v>1E-3</v>
      </c>
      <c r="M1342" s="2" t="s">
        <v>2558</v>
      </c>
      <c r="N1342" s="2" t="s">
        <v>2558</v>
      </c>
    </row>
    <row r="1343" spans="1:16" x14ac:dyDescent="0.25">
      <c r="A1343" s="12" t="s">
        <v>1166</v>
      </c>
      <c r="C1343">
        <v>327</v>
      </c>
      <c r="D1343">
        <v>1</v>
      </c>
      <c r="G1343">
        <v>4.13</v>
      </c>
      <c r="H1343">
        <v>1</v>
      </c>
      <c r="I1343">
        <v>195</v>
      </c>
      <c r="J1343">
        <f t="shared" si="75"/>
        <v>0.14401465188241136</v>
      </c>
      <c r="K1343" s="2">
        <v>0.04</v>
      </c>
      <c r="L1343" s="17">
        <v>0.04</v>
      </c>
      <c r="M1343" s="2" t="s">
        <v>2558</v>
      </c>
      <c r="N1343" s="2" t="s">
        <v>2558</v>
      </c>
    </row>
    <row r="1344" spans="1:16" x14ac:dyDescent="0.25">
      <c r="A1344" s="12" t="s">
        <v>1167</v>
      </c>
      <c r="C1344">
        <v>327</v>
      </c>
      <c r="D1344">
        <v>1</v>
      </c>
      <c r="G1344">
        <v>2.2200000000000002</v>
      </c>
      <c r="H1344">
        <v>1</v>
      </c>
      <c r="I1344">
        <v>195</v>
      </c>
      <c r="J1344">
        <f t="shared" si="75"/>
        <v>0.10609648845073011</v>
      </c>
      <c r="K1344" s="2">
        <v>0.14000000000000001</v>
      </c>
      <c r="L1344" s="17">
        <v>0.14000000000000001</v>
      </c>
      <c r="M1344" s="2" t="s">
        <v>2558</v>
      </c>
      <c r="N1344" s="2" t="s">
        <v>2558</v>
      </c>
    </row>
    <row r="1345" spans="1:15" x14ac:dyDescent="0.25">
      <c r="A1345" s="12" t="s">
        <v>1168</v>
      </c>
      <c r="C1345">
        <v>327</v>
      </c>
      <c r="D1345">
        <v>1</v>
      </c>
      <c r="E1345">
        <v>0</v>
      </c>
      <c r="J1345" t="b">
        <f t="shared" si="75"/>
        <v>0</v>
      </c>
      <c r="K1345" s="2">
        <v>0.34</v>
      </c>
      <c r="L1345" s="17">
        <v>0.34</v>
      </c>
    </row>
    <row r="1346" spans="1:15" x14ac:dyDescent="0.25">
      <c r="A1346" s="12" t="s">
        <v>1169</v>
      </c>
      <c r="C1346">
        <v>327</v>
      </c>
      <c r="D1346">
        <v>1</v>
      </c>
      <c r="E1346">
        <v>0</v>
      </c>
      <c r="J1346" t="b">
        <f t="shared" si="75"/>
        <v>0</v>
      </c>
      <c r="K1346" s="2">
        <v>0.49</v>
      </c>
      <c r="L1346" s="17">
        <v>0.49</v>
      </c>
    </row>
    <row r="1347" spans="1:15" x14ac:dyDescent="0.25">
      <c r="A1347" s="12" t="s">
        <v>1170</v>
      </c>
      <c r="C1347">
        <v>327</v>
      </c>
      <c r="D1347">
        <v>1</v>
      </c>
      <c r="E1347">
        <v>0</v>
      </c>
      <c r="J1347" t="b">
        <f t="shared" si="75"/>
        <v>0</v>
      </c>
      <c r="K1347" s="2">
        <v>0.03</v>
      </c>
      <c r="L1347" s="17">
        <v>0.03</v>
      </c>
    </row>
    <row r="1348" spans="1:15" x14ac:dyDescent="0.25">
      <c r="A1348" s="12" t="s">
        <v>1171</v>
      </c>
      <c r="C1348">
        <v>327</v>
      </c>
      <c r="D1348">
        <v>1</v>
      </c>
      <c r="E1348">
        <v>0</v>
      </c>
      <c r="J1348" t="b">
        <f t="shared" si="75"/>
        <v>0</v>
      </c>
      <c r="K1348" s="2">
        <v>1E-3</v>
      </c>
      <c r="L1348" s="17">
        <v>1E-3</v>
      </c>
    </row>
    <row r="1349" spans="1:15" x14ac:dyDescent="0.25">
      <c r="A1349" s="12" t="s">
        <v>1172</v>
      </c>
      <c r="C1349">
        <v>327</v>
      </c>
      <c r="D1349">
        <v>1</v>
      </c>
      <c r="E1349">
        <v>0</v>
      </c>
      <c r="J1349" t="b">
        <f t="shared" si="75"/>
        <v>0</v>
      </c>
      <c r="K1349" s="2">
        <v>0.01</v>
      </c>
      <c r="L1349" s="17">
        <v>0.01</v>
      </c>
    </row>
    <row r="1350" spans="1:15" x14ac:dyDescent="0.25">
      <c r="A1350" s="12" t="s">
        <v>1173</v>
      </c>
      <c r="C1350">
        <v>327</v>
      </c>
      <c r="D1350">
        <v>1</v>
      </c>
      <c r="E1350">
        <v>0</v>
      </c>
      <c r="J1350" t="b">
        <f t="shared" si="75"/>
        <v>0</v>
      </c>
      <c r="K1350" s="2">
        <v>0.42</v>
      </c>
      <c r="L1350" s="17">
        <v>0.42</v>
      </c>
    </row>
    <row r="1351" spans="1:15" x14ac:dyDescent="0.25">
      <c r="A1351" s="12" t="s">
        <v>1174</v>
      </c>
      <c r="C1351">
        <v>327</v>
      </c>
      <c r="D1351">
        <v>1</v>
      </c>
      <c r="E1351">
        <v>0</v>
      </c>
      <c r="J1351" t="b">
        <f t="shared" si="75"/>
        <v>0</v>
      </c>
    </row>
    <row r="1352" spans="1:15" x14ac:dyDescent="0.25">
      <c r="A1352" s="12" t="s">
        <v>1175</v>
      </c>
      <c r="C1352">
        <v>328</v>
      </c>
      <c r="D1352">
        <v>1</v>
      </c>
      <c r="G1352">
        <v>9.34</v>
      </c>
      <c r="H1352">
        <v>2</v>
      </c>
      <c r="I1352">
        <v>14</v>
      </c>
      <c r="J1352">
        <f t="shared" si="75"/>
        <v>0.63575518834155342</v>
      </c>
      <c r="K1352" s="2">
        <v>3.0000000000000001E-3</v>
      </c>
      <c r="L1352" s="17">
        <v>3.0000000000000001E-3</v>
      </c>
      <c r="M1352" s="2" t="s">
        <v>2558</v>
      </c>
      <c r="N1352" s="2" t="s">
        <v>2558</v>
      </c>
      <c r="O1352" t="s">
        <v>2264</v>
      </c>
    </row>
    <row r="1353" spans="1:15" x14ac:dyDescent="0.25">
      <c r="A1353" s="12" t="s">
        <v>1176</v>
      </c>
      <c r="C1353">
        <v>328</v>
      </c>
      <c r="D1353">
        <v>1</v>
      </c>
      <c r="G1353">
        <v>1.59</v>
      </c>
      <c r="H1353">
        <v>2</v>
      </c>
      <c r="I1353">
        <v>14</v>
      </c>
      <c r="J1353">
        <f t="shared" si="75"/>
        <v>0.36177993910760131</v>
      </c>
      <c r="K1353" s="2">
        <v>0.23799999999999999</v>
      </c>
      <c r="L1353" s="17">
        <v>0.23799999999999999</v>
      </c>
      <c r="M1353" s="2" t="s">
        <v>2558</v>
      </c>
      <c r="N1353" s="2" t="s">
        <v>2558</v>
      </c>
    </row>
    <row r="1354" spans="1:15" x14ac:dyDescent="0.25">
      <c r="A1354" s="12" t="s">
        <v>1177</v>
      </c>
      <c r="C1354">
        <v>328</v>
      </c>
      <c r="D1354">
        <v>1</v>
      </c>
      <c r="G1354">
        <v>265.01</v>
      </c>
      <c r="H1354">
        <v>1</v>
      </c>
      <c r="I1354">
        <v>21</v>
      </c>
      <c r="J1354">
        <f t="shared" si="75"/>
        <v>0.96258817458265555</v>
      </c>
      <c r="K1354" s="2" t="s">
        <v>2139</v>
      </c>
      <c r="L1354" s="17">
        <v>1E-3</v>
      </c>
      <c r="M1354" s="2" t="s">
        <v>2558</v>
      </c>
      <c r="N1354" s="2" t="s">
        <v>2558</v>
      </c>
    </row>
    <row r="1355" spans="1:15" x14ac:dyDescent="0.25">
      <c r="A1355" s="12" t="s">
        <v>1178</v>
      </c>
      <c r="C1355">
        <v>328</v>
      </c>
      <c r="D1355">
        <v>1</v>
      </c>
      <c r="G1355">
        <v>276.31</v>
      </c>
      <c r="H1355">
        <v>1</v>
      </c>
      <c r="I1355">
        <v>21</v>
      </c>
      <c r="J1355">
        <f t="shared" si="75"/>
        <v>0.96403664574219383</v>
      </c>
      <c r="K1355" s="2" t="s">
        <v>2139</v>
      </c>
      <c r="L1355" s="17">
        <v>1E-3</v>
      </c>
      <c r="M1355" s="2" t="s">
        <v>2558</v>
      </c>
      <c r="N1355" s="2" t="s">
        <v>2558</v>
      </c>
    </row>
    <row r="1356" spans="1:15" x14ac:dyDescent="0.25">
      <c r="A1356" s="12" t="s">
        <v>1179</v>
      </c>
      <c r="C1356">
        <v>328</v>
      </c>
      <c r="D1356">
        <v>1</v>
      </c>
      <c r="G1356">
        <v>0.88</v>
      </c>
      <c r="H1356">
        <v>2</v>
      </c>
      <c r="I1356">
        <v>42</v>
      </c>
      <c r="J1356">
        <f t="shared" si="75"/>
        <v>0.16863983877303962</v>
      </c>
      <c r="K1356" s="2">
        <v>0.44</v>
      </c>
      <c r="L1356" s="17">
        <v>0.44</v>
      </c>
      <c r="M1356" s="2" t="s">
        <v>2558</v>
      </c>
      <c r="N1356" s="2" t="s">
        <v>2558</v>
      </c>
    </row>
    <row r="1357" spans="1:15" x14ac:dyDescent="0.25">
      <c r="A1357" s="12" t="s">
        <v>1180</v>
      </c>
      <c r="C1357">
        <v>328</v>
      </c>
      <c r="D1357">
        <v>1</v>
      </c>
      <c r="G1357">
        <v>0.27</v>
      </c>
      <c r="H1357">
        <v>2</v>
      </c>
      <c r="I1357">
        <v>43</v>
      </c>
      <c r="J1357">
        <f t="shared" si="75"/>
        <v>9.3647280194100208E-2</v>
      </c>
      <c r="K1357" s="2">
        <v>0.76400000000000001</v>
      </c>
      <c r="L1357" s="17">
        <v>0.76400000000000001</v>
      </c>
      <c r="M1357" s="2" t="s">
        <v>2558</v>
      </c>
      <c r="N1357" s="2" t="s">
        <v>2558</v>
      </c>
    </row>
    <row r="1358" spans="1:15" x14ac:dyDescent="0.25">
      <c r="A1358" s="12" t="s">
        <v>1181</v>
      </c>
      <c r="C1358">
        <v>328</v>
      </c>
      <c r="D1358">
        <v>1</v>
      </c>
      <c r="G1358">
        <v>0.93</v>
      </c>
      <c r="H1358">
        <v>2</v>
      </c>
      <c r="I1358">
        <v>42</v>
      </c>
      <c r="J1358">
        <f t="shared" si="75"/>
        <v>0.17316681114637195</v>
      </c>
      <c r="K1358" s="2">
        <v>0.40100000000000002</v>
      </c>
      <c r="L1358" s="17">
        <v>0.40100000000000002</v>
      </c>
      <c r="M1358" s="2" t="s">
        <v>2558</v>
      </c>
      <c r="N1358" s="2" t="s">
        <v>2558</v>
      </c>
    </row>
    <row r="1359" spans="1:15" x14ac:dyDescent="0.25">
      <c r="A1359" s="12" t="s">
        <v>1182</v>
      </c>
      <c r="C1359">
        <v>328</v>
      </c>
      <c r="D1359">
        <v>1</v>
      </c>
      <c r="G1359">
        <v>0.49</v>
      </c>
      <c r="H1359">
        <v>2</v>
      </c>
      <c r="I1359">
        <v>42</v>
      </c>
      <c r="J1359">
        <f t="shared" si="75"/>
        <v>0.12697620219088421</v>
      </c>
      <c r="K1359" s="2">
        <v>0.61399999999999999</v>
      </c>
      <c r="L1359" s="17">
        <v>0.61399999999999999</v>
      </c>
      <c r="M1359" s="2" t="s">
        <v>2558</v>
      </c>
      <c r="N1359" s="2" t="s">
        <v>2558</v>
      </c>
    </row>
    <row r="1360" spans="1:15" x14ac:dyDescent="0.25">
      <c r="A1360" s="12" t="s">
        <v>1183</v>
      </c>
      <c r="C1360">
        <v>328</v>
      </c>
      <c r="D1360">
        <v>1</v>
      </c>
      <c r="G1360">
        <v>15.07</v>
      </c>
      <c r="H1360">
        <v>2</v>
      </c>
      <c r="I1360">
        <v>42</v>
      </c>
      <c r="J1360">
        <f t="shared" si="75"/>
        <v>0.54353317415577618</v>
      </c>
      <c r="K1360" s="2" t="s">
        <v>2139</v>
      </c>
      <c r="L1360" s="17">
        <v>1E-3</v>
      </c>
      <c r="M1360" s="2" t="s">
        <v>2558</v>
      </c>
      <c r="N1360" s="2" t="s">
        <v>2558</v>
      </c>
    </row>
    <row r="1361" spans="1:16" x14ac:dyDescent="0.25">
      <c r="A1361" s="12" t="s">
        <v>1184</v>
      </c>
      <c r="C1361">
        <v>328</v>
      </c>
      <c r="D1361">
        <v>1</v>
      </c>
      <c r="G1361">
        <v>2.9</v>
      </c>
      <c r="H1361">
        <v>2</v>
      </c>
      <c r="I1361">
        <v>42</v>
      </c>
      <c r="J1361">
        <f t="shared" si="75"/>
        <v>0.2929156322077624</v>
      </c>
      <c r="K1361" s="2">
        <v>6.6000000000000003E-2</v>
      </c>
      <c r="L1361" s="17">
        <v>6.6000000000000003E-2</v>
      </c>
      <c r="M1361" s="2" t="s">
        <v>2558</v>
      </c>
      <c r="N1361" s="2" t="s">
        <v>2558</v>
      </c>
    </row>
    <row r="1362" spans="1:16" x14ac:dyDescent="0.25">
      <c r="A1362" s="12" t="s">
        <v>1185</v>
      </c>
      <c r="C1362">
        <v>328</v>
      </c>
      <c r="D1362">
        <v>1</v>
      </c>
      <c r="G1362">
        <v>0.43</v>
      </c>
      <c r="H1362">
        <v>4</v>
      </c>
      <c r="I1362">
        <v>84</v>
      </c>
      <c r="J1362">
        <f t="shared" si="75"/>
        <v>0.1001631892914461</v>
      </c>
      <c r="K1362" s="2">
        <v>0.78600000000000003</v>
      </c>
      <c r="L1362" s="17">
        <v>0.78600000000000003</v>
      </c>
      <c r="M1362" s="2" t="s">
        <v>2558</v>
      </c>
      <c r="N1362" s="2" t="s">
        <v>2558</v>
      </c>
    </row>
    <row r="1363" spans="1:16" x14ac:dyDescent="0.25">
      <c r="A1363" s="12" t="s">
        <v>1186</v>
      </c>
      <c r="C1363">
        <v>328</v>
      </c>
      <c r="D1363">
        <v>1</v>
      </c>
      <c r="G1363">
        <v>38.26</v>
      </c>
      <c r="H1363">
        <v>2</v>
      </c>
      <c r="I1363">
        <v>22</v>
      </c>
      <c r="J1363">
        <f t="shared" si="75"/>
        <v>0.74108458568397872</v>
      </c>
      <c r="K1363" s="2" t="s">
        <v>2139</v>
      </c>
      <c r="L1363" s="17">
        <v>1E-3</v>
      </c>
      <c r="M1363" s="2" t="s">
        <v>2558</v>
      </c>
      <c r="N1363" s="2" t="s">
        <v>2558</v>
      </c>
    </row>
    <row r="1364" spans="1:16" x14ac:dyDescent="0.25">
      <c r="A1364" s="12" t="s">
        <v>1187</v>
      </c>
      <c r="C1364">
        <v>328</v>
      </c>
      <c r="D1364">
        <v>1</v>
      </c>
      <c r="G1364">
        <v>1.54</v>
      </c>
      <c r="H1364">
        <v>2</v>
      </c>
      <c r="I1364">
        <v>42</v>
      </c>
      <c r="J1364">
        <f t="shared" si="75"/>
        <v>0.21979909789420368</v>
      </c>
      <c r="K1364" s="2">
        <v>0.22600000000000001</v>
      </c>
      <c r="L1364" s="17">
        <v>0.22600000000000001</v>
      </c>
      <c r="M1364" s="2" t="s">
        <v>2558</v>
      </c>
      <c r="N1364" s="2" t="s">
        <v>2558</v>
      </c>
    </row>
    <row r="1365" spans="1:16" x14ac:dyDescent="0.25">
      <c r="A1365" s="12" t="s">
        <v>1188</v>
      </c>
      <c r="C1365">
        <v>328</v>
      </c>
      <c r="D1365">
        <v>1</v>
      </c>
      <c r="G1365">
        <v>0.68</v>
      </c>
      <c r="H1365">
        <v>2</v>
      </c>
      <c r="I1365">
        <v>24</v>
      </c>
      <c r="J1365">
        <f t="shared" si="75"/>
        <v>0.19473200285082665</v>
      </c>
      <c r="K1365" s="2">
        <v>0.51300000000000001</v>
      </c>
      <c r="L1365" s="17">
        <v>0.51300000000000001</v>
      </c>
      <c r="M1365" s="2" t="s">
        <v>2558</v>
      </c>
      <c r="N1365" s="2" t="s">
        <v>2558</v>
      </c>
    </row>
    <row r="1366" spans="1:16" x14ac:dyDescent="0.25">
      <c r="A1366" s="12" t="s">
        <v>1189</v>
      </c>
      <c r="C1366">
        <v>328</v>
      </c>
      <c r="D1366">
        <v>1</v>
      </c>
      <c r="G1366">
        <v>1.44</v>
      </c>
      <c r="H1366">
        <v>4</v>
      </c>
      <c r="I1366">
        <v>84</v>
      </c>
      <c r="J1366">
        <f t="shared" si="75"/>
        <v>0.17912443020795965</v>
      </c>
      <c r="K1366" s="2">
        <v>0.22800000000000001</v>
      </c>
      <c r="L1366" s="17">
        <v>0.22800000000000001</v>
      </c>
      <c r="M1366" s="2" t="s">
        <v>2558</v>
      </c>
      <c r="N1366" s="2" t="s">
        <v>2558</v>
      </c>
    </row>
    <row r="1367" spans="1:16" x14ac:dyDescent="0.25">
      <c r="A1367" s="12" t="s">
        <v>1190</v>
      </c>
      <c r="C1367">
        <v>328</v>
      </c>
      <c r="D1367">
        <v>1</v>
      </c>
      <c r="G1367">
        <v>0.95</v>
      </c>
      <c r="H1367">
        <v>2</v>
      </c>
      <c r="I1367">
        <v>24</v>
      </c>
      <c r="J1367">
        <f t="shared" si="75"/>
        <v>0.22775578638919841</v>
      </c>
      <c r="K1367" s="2">
        <v>0.39400000000000002</v>
      </c>
      <c r="L1367" s="17">
        <v>0.39400000000000002</v>
      </c>
      <c r="M1367" s="2" t="s">
        <v>2558</v>
      </c>
      <c r="N1367" s="2" t="s">
        <v>2558</v>
      </c>
    </row>
    <row r="1368" spans="1:16" x14ac:dyDescent="0.25">
      <c r="A1368" s="12" t="s">
        <v>1191</v>
      </c>
      <c r="C1368">
        <v>328</v>
      </c>
      <c r="D1368">
        <v>1</v>
      </c>
      <c r="G1368">
        <v>0.69</v>
      </c>
      <c r="H1368">
        <v>2</v>
      </c>
      <c r="I1368">
        <v>42</v>
      </c>
      <c r="J1368">
        <f t="shared" si="75"/>
        <v>0.14998135415365113</v>
      </c>
      <c r="K1368" s="2">
        <v>0.50700000000000001</v>
      </c>
      <c r="L1368" s="17">
        <v>0.50700000000000001</v>
      </c>
      <c r="M1368" s="2" t="s">
        <v>2558</v>
      </c>
      <c r="N1368" s="2" t="s">
        <v>2558</v>
      </c>
    </row>
    <row r="1369" spans="1:16" x14ac:dyDescent="0.25">
      <c r="A1369" s="12" t="s">
        <v>1192</v>
      </c>
      <c r="C1369">
        <v>328</v>
      </c>
      <c r="D1369">
        <v>1</v>
      </c>
      <c r="G1369">
        <v>0.68</v>
      </c>
      <c r="H1369">
        <v>2</v>
      </c>
      <c r="I1369">
        <v>48</v>
      </c>
      <c r="J1369">
        <f t="shared" si="75"/>
        <v>0.13958038109978058</v>
      </c>
      <c r="K1369" s="2">
        <v>0.61099999999999999</v>
      </c>
      <c r="L1369" s="17">
        <v>0.61099999999999999</v>
      </c>
      <c r="M1369" s="2" t="s">
        <v>2558</v>
      </c>
      <c r="N1369" s="2" t="s">
        <v>2558</v>
      </c>
    </row>
    <row r="1370" spans="1:16" x14ac:dyDescent="0.25">
      <c r="A1370" s="12" t="s">
        <v>1193</v>
      </c>
      <c r="C1370">
        <v>328</v>
      </c>
      <c r="D1370">
        <v>1</v>
      </c>
      <c r="J1370">
        <v>0.13</v>
      </c>
      <c r="O1370" t="s">
        <v>2255</v>
      </c>
      <c r="P1370" s="2" t="s">
        <v>2560</v>
      </c>
    </row>
    <row r="1371" spans="1:16" x14ac:dyDescent="0.25">
      <c r="A1371" s="12" t="s">
        <v>1194</v>
      </c>
      <c r="C1371">
        <v>328</v>
      </c>
      <c r="D1371">
        <v>1</v>
      </c>
      <c r="J1371">
        <v>-0.36</v>
      </c>
      <c r="P1371" s="2" t="s">
        <v>2560</v>
      </c>
    </row>
    <row r="1372" spans="1:16" x14ac:dyDescent="0.25">
      <c r="A1372" s="12" t="s">
        <v>1195</v>
      </c>
      <c r="C1372">
        <v>328</v>
      </c>
      <c r="D1372">
        <v>1</v>
      </c>
      <c r="G1372">
        <v>3.6</v>
      </c>
      <c r="H1372">
        <v>2</v>
      </c>
      <c r="I1372">
        <v>42</v>
      </c>
      <c r="J1372">
        <f t="shared" ref="J1372:J1417" si="76">IF(NOT(ISBLANK(F1372)),SQRT((F1372^2*1/H1372)/(F1372^2*1/H1372+1)),IF(NOT(ISBLANK(G1372)),SQRT((G1372*H1372/I1372)/(G1372*H1372/I1372+1)*SQRT(1/H1372))))</f>
        <v>0.32168158347852438</v>
      </c>
      <c r="K1372" s="2">
        <v>3.5999999999999997E-2</v>
      </c>
      <c r="L1372" s="17">
        <v>3.5999999999999997E-2</v>
      </c>
      <c r="M1372" s="2" t="s">
        <v>2558</v>
      </c>
      <c r="N1372" s="2" t="s">
        <v>2558</v>
      </c>
    </row>
    <row r="1373" spans="1:16" x14ac:dyDescent="0.25">
      <c r="A1373" s="12" t="s">
        <v>1196</v>
      </c>
      <c r="C1373">
        <v>328</v>
      </c>
      <c r="D1373">
        <v>1</v>
      </c>
      <c r="G1373">
        <v>10.5</v>
      </c>
      <c r="H1373">
        <v>2</v>
      </c>
      <c r="I1373">
        <v>42</v>
      </c>
      <c r="J1373">
        <f t="shared" si="76"/>
        <v>0.48549177170732344</v>
      </c>
      <c r="K1373" s="2" t="s">
        <v>2139</v>
      </c>
      <c r="L1373" s="17">
        <v>1E-3</v>
      </c>
      <c r="M1373" s="2" t="s">
        <v>2558</v>
      </c>
      <c r="N1373" s="2" t="s">
        <v>2558</v>
      </c>
    </row>
    <row r="1374" spans="1:16" x14ac:dyDescent="0.25">
      <c r="A1374" s="12" t="s">
        <v>1197</v>
      </c>
      <c r="C1374">
        <v>328</v>
      </c>
      <c r="D1374">
        <v>1</v>
      </c>
      <c r="G1374">
        <v>9.32</v>
      </c>
      <c r="H1374">
        <v>2</v>
      </c>
      <c r="I1374">
        <v>42</v>
      </c>
      <c r="J1374">
        <f t="shared" si="76"/>
        <v>0.46621458818668604</v>
      </c>
      <c r="K1374" s="2" t="s">
        <v>2139</v>
      </c>
      <c r="L1374" s="17">
        <v>1E-3</v>
      </c>
      <c r="M1374" s="2" t="s">
        <v>2558</v>
      </c>
      <c r="N1374" s="2" t="s">
        <v>2558</v>
      </c>
    </row>
    <row r="1375" spans="1:16" x14ac:dyDescent="0.25">
      <c r="A1375" s="12" t="s">
        <v>1198</v>
      </c>
      <c r="C1375">
        <v>328</v>
      </c>
      <c r="D1375">
        <v>1</v>
      </c>
      <c r="G1375">
        <v>170.95</v>
      </c>
      <c r="H1375">
        <v>2</v>
      </c>
      <c r="I1375">
        <v>42</v>
      </c>
      <c r="J1375">
        <f t="shared" si="76"/>
        <v>0.79356589592418414</v>
      </c>
      <c r="K1375" s="2" t="s">
        <v>2139</v>
      </c>
      <c r="L1375" s="17">
        <v>1E-3</v>
      </c>
      <c r="M1375" s="2" t="s">
        <v>2558</v>
      </c>
      <c r="N1375" s="2" t="s">
        <v>2558</v>
      </c>
    </row>
    <row r="1376" spans="1:16" x14ac:dyDescent="0.25">
      <c r="A1376" s="12" t="s">
        <v>1199</v>
      </c>
      <c r="C1376">
        <v>328</v>
      </c>
      <c r="D1376">
        <v>1</v>
      </c>
      <c r="G1376">
        <v>0.75</v>
      </c>
      <c r="H1376">
        <v>2</v>
      </c>
      <c r="I1376">
        <v>30</v>
      </c>
      <c r="J1376">
        <f t="shared" si="76"/>
        <v>0.18349864164367455</v>
      </c>
      <c r="K1376" s="2">
        <v>0.48</v>
      </c>
      <c r="L1376" s="17">
        <v>0.48</v>
      </c>
      <c r="M1376" s="2" t="s">
        <v>2558</v>
      </c>
      <c r="N1376" s="2" t="s">
        <v>2558</v>
      </c>
    </row>
    <row r="1377" spans="1:15" x14ac:dyDescent="0.25">
      <c r="A1377" s="12" t="s">
        <v>1200</v>
      </c>
      <c r="C1377">
        <v>328</v>
      </c>
      <c r="D1377">
        <v>1</v>
      </c>
      <c r="G1377">
        <v>37.75</v>
      </c>
      <c r="H1377">
        <v>2</v>
      </c>
      <c r="I1377">
        <v>30</v>
      </c>
      <c r="J1377">
        <f t="shared" si="76"/>
        <v>0.71136050132099826</v>
      </c>
      <c r="K1377" s="2" t="s">
        <v>2139</v>
      </c>
      <c r="L1377" s="17">
        <v>1E-3</v>
      </c>
      <c r="M1377" s="2" t="s">
        <v>2558</v>
      </c>
      <c r="N1377" s="2" t="s">
        <v>2558</v>
      </c>
    </row>
    <row r="1378" spans="1:15" x14ac:dyDescent="0.25">
      <c r="A1378" s="12" t="s">
        <v>1201</v>
      </c>
      <c r="C1378">
        <v>328</v>
      </c>
      <c r="D1378">
        <v>1</v>
      </c>
      <c r="G1378">
        <v>0.61</v>
      </c>
      <c r="H1378">
        <v>2</v>
      </c>
      <c r="I1378">
        <v>30</v>
      </c>
      <c r="J1378">
        <f t="shared" si="76"/>
        <v>0.16622868414909442</v>
      </c>
      <c r="K1378" s="2">
        <v>0.55000000000000004</v>
      </c>
      <c r="L1378" s="17">
        <v>0.55000000000000004</v>
      </c>
      <c r="M1378" s="2" t="s">
        <v>2558</v>
      </c>
      <c r="N1378" s="2" t="s">
        <v>2558</v>
      </c>
    </row>
    <row r="1379" spans="1:15" x14ac:dyDescent="0.25">
      <c r="A1379" s="12" t="s">
        <v>1202</v>
      </c>
      <c r="C1379">
        <v>328</v>
      </c>
      <c r="D1379">
        <v>1</v>
      </c>
      <c r="G1379">
        <v>1.8</v>
      </c>
      <c r="H1379">
        <v>2</v>
      </c>
      <c r="I1379">
        <v>30</v>
      </c>
      <c r="J1379">
        <f t="shared" si="76"/>
        <v>0.27524796246551181</v>
      </c>
      <c r="K1379" s="2">
        <v>0.183</v>
      </c>
      <c r="L1379" s="17">
        <v>0.183</v>
      </c>
      <c r="M1379" s="2" t="s">
        <v>2558</v>
      </c>
      <c r="N1379" s="2" t="s">
        <v>2558</v>
      </c>
    </row>
    <row r="1380" spans="1:15" x14ac:dyDescent="0.25">
      <c r="A1380" s="12" t="s">
        <v>1203</v>
      </c>
      <c r="C1380">
        <v>328</v>
      </c>
      <c r="D1380">
        <v>1</v>
      </c>
      <c r="G1380">
        <v>1.44</v>
      </c>
      <c r="H1380">
        <v>4</v>
      </c>
      <c r="I1380">
        <v>60</v>
      </c>
      <c r="J1380">
        <f t="shared" si="76"/>
        <v>0.20927403192454672</v>
      </c>
      <c r="K1380" s="2">
        <v>0.23300000000000001</v>
      </c>
      <c r="L1380" s="17">
        <v>0.23300000000000001</v>
      </c>
      <c r="M1380" s="2" t="s">
        <v>2558</v>
      </c>
      <c r="N1380" s="2" t="s">
        <v>2558</v>
      </c>
    </row>
    <row r="1381" spans="1:15" x14ac:dyDescent="0.25">
      <c r="A1381" s="12" t="s">
        <v>2322</v>
      </c>
      <c r="C1381">
        <v>329</v>
      </c>
      <c r="D1381">
        <v>1</v>
      </c>
      <c r="G1381">
        <v>59.53</v>
      </c>
      <c r="H1381">
        <v>1</v>
      </c>
      <c r="I1381">
        <v>15151</v>
      </c>
      <c r="J1381">
        <f t="shared" si="76"/>
        <v>6.2559859944358073E-2</v>
      </c>
      <c r="K1381" s="2" t="s">
        <v>2174</v>
      </c>
      <c r="L1381" s="17">
        <v>1E-3</v>
      </c>
      <c r="M1381" s="2">
        <v>0</v>
      </c>
      <c r="N1381" s="2">
        <f t="shared" ref="N1381:N1384" si="77">IF(M1381=0, 0)</f>
        <v>0</v>
      </c>
    </row>
    <row r="1382" spans="1:15" x14ac:dyDescent="0.25">
      <c r="A1382" s="12" t="s">
        <v>2323</v>
      </c>
      <c r="C1382">
        <v>329</v>
      </c>
      <c r="D1382">
        <v>1</v>
      </c>
      <c r="G1382">
        <v>149.27000000000001</v>
      </c>
      <c r="H1382">
        <v>1</v>
      </c>
      <c r="I1382">
        <v>15151</v>
      </c>
      <c r="J1382">
        <f t="shared" si="76"/>
        <v>9.8772653021816925E-2</v>
      </c>
      <c r="K1382" s="2" t="s">
        <v>2174</v>
      </c>
      <c r="L1382" s="17">
        <v>1E-3</v>
      </c>
      <c r="M1382" s="2">
        <v>0</v>
      </c>
      <c r="N1382" s="2">
        <f t="shared" si="77"/>
        <v>0</v>
      </c>
    </row>
    <row r="1383" spans="1:15" x14ac:dyDescent="0.25">
      <c r="A1383" s="12" t="s">
        <v>2324</v>
      </c>
      <c r="C1383">
        <v>329</v>
      </c>
      <c r="D1383">
        <v>1</v>
      </c>
      <c r="G1383">
        <v>5.03</v>
      </c>
      <c r="H1383">
        <v>1</v>
      </c>
      <c r="I1383">
        <v>15151</v>
      </c>
      <c r="J1383">
        <f t="shared" si="76"/>
        <v>1.8217604290027101E-2</v>
      </c>
      <c r="K1383" s="2">
        <v>2.5000000000000001E-2</v>
      </c>
      <c r="L1383" s="17">
        <v>2.5000000000000001E-2</v>
      </c>
      <c r="M1383" s="2">
        <v>0</v>
      </c>
      <c r="N1383" s="2">
        <f t="shared" si="77"/>
        <v>0</v>
      </c>
    </row>
    <row r="1384" spans="1:15" x14ac:dyDescent="0.25">
      <c r="A1384" s="12" t="s">
        <v>2325</v>
      </c>
      <c r="C1384">
        <v>329</v>
      </c>
      <c r="D1384">
        <v>1</v>
      </c>
      <c r="G1384">
        <v>16</v>
      </c>
      <c r="H1384">
        <v>1</v>
      </c>
      <c r="I1384">
        <v>4984</v>
      </c>
      <c r="J1384">
        <f t="shared" si="76"/>
        <v>5.6568542494923803E-2</v>
      </c>
      <c r="K1384" s="2" t="s">
        <v>2174</v>
      </c>
      <c r="L1384" s="17">
        <v>1E-3</v>
      </c>
      <c r="M1384" s="2">
        <v>0</v>
      </c>
      <c r="N1384" s="2">
        <f t="shared" si="77"/>
        <v>0</v>
      </c>
    </row>
    <row r="1385" spans="1:15" x14ac:dyDescent="0.25">
      <c r="A1385" s="12" t="s">
        <v>1204</v>
      </c>
      <c r="C1385">
        <v>330</v>
      </c>
      <c r="D1385">
        <v>2</v>
      </c>
      <c r="E1385">
        <v>0</v>
      </c>
      <c r="J1385" t="b">
        <f t="shared" si="76"/>
        <v>0</v>
      </c>
      <c r="K1385" s="2">
        <v>1E-3</v>
      </c>
      <c r="L1385" s="17">
        <v>1E-3</v>
      </c>
      <c r="O1385" t="s">
        <v>2140</v>
      </c>
    </row>
    <row r="1386" spans="1:15" x14ac:dyDescent="0.25">
      <c r="A1386" s="12" t="s">
        <v>1205</v>
      </c>
      <c r="C1386">
        <v>330</v>
      </c>
      <c r="D1386">
        <v>1</v>
      </c>
      <c r="E1386">
        <v>0</v>
      </c>
      <c r="J1386" t="b">
        <f t="shared" si="76"/>
        <v>0</v>
      </c>
      <c r="K1386" s="2">
        <v>0.04</v>
      </c>
      <c r="L1386" s="17">
        <v>0.04</v>
      </c>
    </row>
    <row r="1387" spans="1:15" x14ac:dyDescent="0.25">
      <c r="A1387" s="12" t="s">
        <v>1206</v>
      </c>
      <c r="C1387">
        <v>330</v>
      </c>
      <c r="D1387">
        <v>2</v>
      </c>
      <c r="E1387">
        <v>0</v>
      </c>
      <c r="J1387" t="b">
        <f t="shared" si="76"/>
        <v>0</v>
      </c>
      <c r="K1387" s="2">
        <v>0.96</v>
      </c>
      <c r="L1387" s="17">
        <v>0.96</v>
      </c>
      <c r="O1387" t="s">
        <v>2256</v>
      </c>
    </row>
    <row r="1388" spans="1:15" x14ac:dyDescent="0.25">
      <c r="A1388" s="12" t="s">
        <v>1207</v>
      </c>
      <c r="C1388">
        <v>330</v>
      </c>
      <c r="D1388">
        <v>1</v>
      </c>
      <c r="E1388">
        <v>0</v>
      </c>
      <c r="J1388" t="b">
        <f t="shared" si="76"/>
        <v>0</v>
      </c>
      <c r="K1388" s="2">
        <v>0.37</v>
      </c>
      <c r="L1388" s="17">
        <v>0.37</v>
      </c>
    </row>
    <row r="1389" spans="1:15" x14ac:dyDescent="0.25">
      <c r="A1389" s="12" t="s">
        <v>1208</v>
      </c>
      <c r="C1389">
        <v>330</v>
      </c>
      <c r="D1389">
        <v>1</v>
      </c>
      <c r="E1389">
        <v>0</v>
      </c>
      <c r="J1389" t="b">
        <f t="shared" si="76"/>
        <v>0</v>
      </c>
      <c r="K1389" s="2">
        <v>0.99</v>
      </c>
      <c r="L1389" s="17">
        <v>0.99</v>
      </c>
    </row>
    <row r="1390" spans="1:15" x14ac:dyDescent="0.25">
      <c r="A1390" s="12" t="s">
        <v>1209</v>
      </c>
      <c r="C1390">
        <v>340</v>
      </c>
      <c r="D1390">
        <v>1</v>
      </c>
      <c r="G1390">
        <v>51.439</v>
      </c>
      <c r="H1390">
        <v>4</v>
      </c>
      <c r="I1390">
        <v>64</v>
      </c>
      <c r="J1390">
        <f t="shared" si="76"/>
        <v>0.61755508173606621</v>
      </c>
      <c r="K1390" s="2" t="s">
        <v>2547</v>
      </c>
      <c r="L1390" s="17">
        <v>1E-4</v>
      </c>
      <c r="M1390" s="2" t="s">
        <v>2558</v>
      </c>
      <c r="N1390" s="2" t="s">
        <v>2558</v>
      </c>
      <c r="O1390" t="s">
        <v>2264</v>
      </c>
    </row>
    <row r="1391" spans="1:15" x14ac:dyDescent="0.25">
      <c r="A1391" s="12" t="s">
        <v>1210</v>
      </c>
      <c r="C1391">
        <v>340</v>
      </c>
      <c r="D1391">
        <v>1</v>
      </c>
      <c r="G1391">
        <v>2.1040000000000001</v>
      </c>
      <c r="H1391">
        <v>1</v>
      </c>
      <c r="I1391">
        <v>16</v>
      </c>
      <c r="J1391">
        <f t="shared" si="76"/>
        <v>0.34090674753811023</v>
      </c>
      <c r="K1391" s="2">
        <v>0.17</v>
      </c>
      <c r="L1391" s="17">
        <v>0.17</v>
      </c>
      <c r="M1391" s="2" t="s">
        <v>2558</v>
      </c>
      <c r="N1391" s="2" t="s">
        <v>2558</v>
      </c>
    </row>
    <row r="1392" spans="1:15" x14ac:dyDescent="0.25">
      <c r="A1392" s="12" t="s">
        <v>1211</v>
      </c>
      <c r="C1392">
        <v>340</v>
      </c>
      <c r="D1392">
        <v>1</v>
      </c>
      <c r="G1392">
        <v>0.97</v>
      </c>
      <c r="H1392">
        <v>4</v>
      </c>
      <c r="I1392">
        <v>64</v>
      </c>
      <c r="J1392">
        <f t="shared" si="76"/>
        <v>0.16905575053351543</v>
      </c>
      <c r="K1392" s="2">
        <v>0.43</v>
      </c>
      <c r="L1392" s="17">
        <v>0.43</v>
      </c>
      <c r="M1392" s="2" t="s">
        <v>2558</v>
      </c>
      <c r="N1392" s="2" t="s">
        <v>2558</v>
      </c>
    </row>
    <row r="1393" spans="1:15" x14ac:dyDescent="0.25">
      <c r="A1393" s="12" t="s">
        <v>1212</v>
      </c>
      <c r="C1393">
        <v>340</v>
      </c>
      <c r="D1393">
        <v>1</v>
      </c>
      <c r="G1393">
        <v>7.0000000000000001E-3</v>
      </c>
      <c r="H1393">
        <v>1</v>
      </c>
      <c r="I1393">
        <v>16</v>
      </c>
      <c r="J1393">
        <f t="shared" si="76"/>
        <v>2.0911926679615486E-2</v>
      </c>
      <c r="K1393" s="2">
        <v>0.93</v>
      </c>
      <c r="L1393" s="17">
        <v>0.93</v>
      </c>
      <c r="M1393" s="2" t="s">
        <v>2558</v>
      </c>
      <c r="N1393" s="2" t="s">
        <v>2558</v>
      </c>
    </row>
    <row r="1394" spans="1:15" x14ac:dyDescent="0.25">
      <c r="A1394" s="12" t="s">
        <v>1213</v>
      </c>
      <c r="C1394">
        <v>340</v>
      </c>
      <c r="D1394">
        <v>2</v>
      </c>
      <c r="G1394">
        <v>64.039000000000001</v>
      </c>
      <c r="H1394">
        <v>1</v>
      </c>
      <c r="I1394">
        <v>16</v>
      </c>
      <c r="J1394">
        <f t="shared" si="76"/>
        <v>0.89448166694008335</v>
      </c>
      <c r="K1394" s="2" t="s">
        <v>2548</v>
      </c>
      <c r="L1394" s="17">
        <v>1E-4</v>
      </c>
      <c r="M1394" s="2" t="s">
        <v>2558</v>
      </c>
      <c r="N1394" s="2" t="s">
        <v>2558</v>
      </c>
      <c r="O1394" t="s">
        <v>2256</v>
      </c>
    </row>
    <row r="1395" spans="1:15" x14ac:dyDescent="0.25">
      <c r="A1395" s="12" t="s">
        <v>1214</v>
      </c>
      <c r="C1395">
        <v>340</v>
      </c>
      <c r="D1395">
        <v>1</v>
      </c>
      <c r="G1395">
        <v>42.493000000000002</v>
      </c>
      <c r="H1395">
        <v>1</v>
      </c>
      <c r="I1395">
        <v>16</v>
      </c>
      <c r="J1395">
        <f t="shared" si="76"/>
        <v>0.85232798591394365</v>
      </c>
      <c r="K1395" s="2" t="s">
        <v>2548</v>
      </c>
      <c r="L1395" s="17">
        <v>1E-4</v>
      </c>
      <c r="M1395" s="2" t="s">
        <v>2558</v>
      </c>
      <c r="N1395" s="2" t="s">
        <v>2558</v>
      </c>
    </row>
    <row r="1396" spans="1:15" x14ac:dyDescent="0.25">
      <c r="A1396" s="12" t="s">
        <v>1215</v>
      </c>
      <c r="B1396" s="4" t="s">
        <v>2257</v>
      </c>
      <c r="C1396">
        <v>340</v>
      </c>
      <c r="D1396">
        <v>1</v>
      </c>
      <c r="F1396">
        <v>9.4329999999999998</v>
      </c>
      <c r="H1396">
        <v>16</v>
      </c>
      <c r="J1396">
        <f t="shared" si="76"/>
        <v>0.92064769529170587</v>
      </c>
      <c r="K1396" s="2" t="s">
        <v>2156</v>
      </c>
      <c r="L1396" s="17">
        <v>0.01</v>
      </c>
      <c r="M1396" s="2" t="s">
        <v>2558</v>
      </c>
      <c r="N1396" s="2" t="s">
        <v>2558</v>
      </c>
    </row>
    <row r="1397" spans="1:15" x14ac:dyDescent="0.25">
      <c r="A1397" s="12" t="s">
        <v>1216</v>
      </c>
      <c r="C1397">
        <v>340</v>
      </c>
      <c r="D1397">
        <v>1</v>
      </c>
      <c r="F1397">
        <v>2.2040000000000002</v>
      </c>
      <c r="H1397">
        <v>16</v>
      </c>
      <c r="J1397">
        <f t="shared" si="76"/>
        <v>0.48259104226378668</v>
      </c>
      <c r="K1397" s="2" t="s">
        <v>2549</v>
      </c>
      <c r="L1397" s="17">
        <v>0.05</v>
      </c>
      <c r="M1397" s="2" t="s">
        <v>2558</v>
      </c>
      <c r="N1397" s="2" t="s">
        <v>2558</v>
      </c>
    </row>
    <row r="1398" spans="1:15" x14ac:dyDescent="0.25">
      <c r="A1398" s="12" t="s">
        <v>1217</v>
      </c>
      <c r="C1398">
        <v>340</v>
      </c>
      <c r="D1398">
        <v>1</v>
      </c>
      <c r="F1398">
        <v>3.6114999999999999</v>
      </c>
      <c r="H1398">
        <v>16</v>
      </c>
      <c r="J1398">
        <f t="shared" si="76"/>
        <v>0.67014285003270335</v>
      </c>
      <c r="K1398" s="2" t="s">
        <v>2524</v>
      </c>
      <c r="L1398" s="17">
        <v>0.01</v>
      </c>
      <c r="M1398" s="2" t="s">
        <v>2558</v>
      </c>
      <c r="N1398" s="2" t="s">
        <v>2558</v>
      </c>
    </row>
    <row r="1399" spans="1:15" x14ac:dyDescent="0.25">
      <c r="A1399" s="12" t="s">
        <v>1218</v>
      </c>
      <c r="C1399">
        <v>340</v>
      </c>
      <c r="D1399">
        <v>1</v>
      </c>
      <c r="F1399">
        <v>-3.7326999999999999</v>
      </c>
      <c r="H1399">
        <v>16</v>
      </c>
      <c r="J1399">
        <f t="shared" si="76"/>
        <v>0.68225638116874465</v>
      </c>
      <c r="K1399" s="2" t="s">
        <v>2156</v>
      </c>
      <c r="L1399" s="17">
        <v>0.01</v>
      </c>
      <c r="M1399" s="2" t="s">
        <v>2558</v>
      </c>
      <c r="N1399" s="2" t="s">
        <v>2558</v>
      </c>
    </row>
    <row r="1400" spans="1:15" x14ac:dyDescent="0.25">
      <c r="A1400" s="12" t="s">
        <v>1219</v>
      </c>
      <c r="C1400">
        <v>340</v>
      </c>
      <c r="D1400">
        <v>1</v>
      </c>
      <c r="G1400">
        <v>1.1180000000000001</v>
      </c>
      <c r="H1400">
        <v>1</v>
      </c>
      <c r="I1400">
        <v>15</v>
      </c>
      <c r="J1400">
        <f t="shared" si="76"/>
        <v>0.26336940709980677</v>
      </c>
      <c r="K1400" s="2">
        <v>0.31</v>
      </c>
      <c r="L1400" s="17">
        <v>0.31</v>
      </c>
      <c r="M1400" s="2" t="s">
        <v>2558</v>
      </c>
      <c r="N1400" s="2" t="s">
        <v>2558</v>
      </c>
    </row>
    <row r="1401" spans="1:15" x14ac:dyDescent="0.25">
      <c r="A1401" s="12" t="s">
        <v>1220</v>
      </c>
      <c r="C1401">
        <v>340</v>
      </c>
      <c r="D1401">
        <v>1</v>
      </c>
      <c r="G1401">
        <v>4.2560000000000002</v>
      </c>
      <c r="H1401">
        <v>1</v>
      </c>
      <c r="I1401">
        <v>15</v>
      </c>
      <c r="J1401">
        <f t="shared" si="76"/>
        <v>0.47012978964422841</v>
      </c>
      <c r="K1401" s="2">
        <v>0.06</v>
      </c>
      <c r="L1401" s="17">
        <v>0.06</v>
      </c>
      <c r="M1401" s="2" t="s">
        <v>2558</v>
      </c>
      <c r="N1401" s="2" t="s">
        <v>2558</v>
      </c>
    </row>
    <row r="1402" spans="1:15" x14ac:dyDescent="0.25">
      <c r="A1402" s="12" t="s">
        <v>1221</v>
      </c>
      <c r="C1402">
        <v>340</v>
      </c>
      <c r="D1402">
        <v>1</v>
      </c>
      <c r="G1402">
        <v>24.995000000000001</v>
      </c>
      <c r="H1402">
        <v>1</v>
      </c>
      <c r="I1402">
        <v>15</v>
      </c>
      <c r="J1402">
        <f t="shared" si="76"/>
        <v>0.79053976442674445</v>
      </c>
      <c r="K1402" s="2" t="s">
        <v>2139</v>
      </c>
      <c r="L1402" s="17">
        <v>1E-3</v>
      </c>
      <c r="M1402" s="2" t="s">
        <v>2558</v>
      </c>
      <c r="N1402" s="2" t="s">
        <v>2558</v>
      </c>
    </row>
    <row r="1403" spans="1:15" x14ac:dyDescent="0.25">
      <c r="A1403" s="12" t="s">
        <v>1222</v>
      </c>
      <c r="C1403">
        <v>340</v>
      </c>
      <c r="D1403">
        <v>1</v>
      </c>
      <c r="F1403">
        <v>5.0999999999999997E-2</v>
      </c>
      <c r="H1403">
        <v>15</v>
      </c>
      <c r="J1403">
        <f t="shared" si="76"/>
        <v>1.3167001847528198E-2</v>
      </c>
      <c r="K1403" s="2">
        <v>0.96</v>
      </c>
      <c r="L1403" s="17">
        <v>0.96</v>
      </c>
      <c r="M1403" s="2" t="s">
        <v>2558</v>
      </c>
      <c r="N1403" s="2" t="s">
        <v>2558</v>
      </c>
    </row>
    <row r="1404" spans="1:15" x14ac:dyDescent="0.25">
      <c r="A1404" s="12" t="s">
        <v>1223</v>
      </c>
      <c r="B1404" s="4" t="s">
        <v>2258</v>
      </c>
      <c r="C1404">
        <v>340</v>
      </c>
      <c r="D1404">
        <v>1</v>
      </c>
      <c r="F1404">
        <v>3.198</v>
      </c>
      <c r="H1404">
        <v>15</v>
      </c>
      <c r="J1404">
        <f t="shared" si="76"/>
        <v>0.63671326790987726</v>
      </c>
      <c r="K1404" s="2" t="s">
        <v>2527</v>
      </c>
      <c r="L1404" s="17">
        <v>4.9000000000000002E-2</v>
      </c>
      <c r="M1404" s="2" t="s">
        <v>2558</v>
      </c>
      <c r="N1404" s="2" t="s">
        <v>2558</v>
      </c>
    </row>
    <row r="1405" spans="1:15" x14ac:dyDescent="0.25">
      <c r="A1405" s="12" t="s">
        <v>1224</v>
      </c>
      <c r="C1405">
        <v>340</v>
      </c>
      <c r="D1405">
        <v>1</v>
      </c>
      <c r="G1405">
        <v>10.218</v>
      </c>
      <c r="H1405">
        <v>1</v>
      </c>
      <c r="I1405">
        <v>15</v>
      </c>
      <c r="J1405">
        <f t="shared" si="76"/>
        <v>0.63654282758805392</v>
      </c>
      <c r="K1405" s="2" t="s">
        <v>2524</v>
      </c>
      <c r="L1405" s="17">
        <v>0.01</v>
      </c>
      <c r="M1405" s="2" t="s">
        <v>2558</v>
      </c>
      <c r="N1405" s="2" t="s">
        <v>2558</v>
      </c>
    </row>
    <row r="1406" spans="1:15" x14ac:dyDescent="0.25">
      <c r="A1406" s="12" t="s">
        <v>1225</v>
      </c>
      <c r="C1406">
        <v>340</v>
      </c>
      <c r="D1406">
        <v>1</v>
      </c>
      <c r="G1406">
        <v>1.7000000000000001E-2</v>
      </c>
      <c r="H1406">
        <v>1</v>
      </c>
      <c r="I1406">
        <v>15</v>
      </c>
      <c r="J1406">
        <f t="shared" si="76"/>
        <v>3.3645955818562542E-2</v>
      </c>
      <c r="K1406" s="2">
        <v>0.9</v>
      </c>
      <c r="L1406" s="17">
        <v>0.9</v>
      </c>
      <c r="M1406" s="2" t="s">
        <v>2558</v>
      </c>
      <c r="N1406" s="2" t="s">
        <v>2558</v>
      </c>
    </row>
    <row r="1407" spans="1:15" x14ac:dyDescent="0.25">
      <c r="A1407" s="12" t="s">
        <v>1226</v>
      </c>
      <c r="C1407">
        <v>340</v>
      </c>
      <c r="D1407">
        <v>2</v>
      </c>
      <c r="F1407">
        <v>2.7909999999999999</v>
      </c>
      <c r="H1407">
        <v>10</v>
      </c>
      <c r="J1407">
        <f t="shared" si="76"/>
        <v>0.66172227814051343</v>
      </c>
      <c r="K1407" s="2" t="s">
        <v>2550</v>
      </c>
      <c r="L1407" s="17">
        <v>0.02</v>
      </c>
      <c r="M1407" s="2" t="s">
        <v>2558</v>
      </c>
      <c r="N1407" s="2" t="s">
        <v>2558</v>
      </c>
      <c r="O1407" t="s">
        <v>2259</v>
      </c>
    </row>
    <row r="1408" spans="1:15" x14ac:dyDescent="0.25">
      <c r="A1408" s="12" t="s">
        <v>1227</v>
      </c>
      <c r="C1408">
        <v>340</v>
      </c>
      <c r="D1408">
        <v>1</v>
      </c>
      <c r="G1408">
        <v>0.433</v>
      </c>
      <c r="H1408">
        <v>1</v>
      </c>
      <c r="I1408">
        <v>16</v>
      </c>
      <c r="J1408">
        <f t="shared" si="76"/>
        <v>0.16232504074328574</v>
      </c>
      <c r="K1408" s="2">
        <v>0.52</v>
      </c>
      <c r="L1408" s="17">
        <v>0.52</v>
      </c>
      <c r="M1408" s="2" t="s">
        <v>2558</v>
      </c>
      <c r="N1408" s="2" t="s">
        <v>2558</v>
      </c>
    </row>
    <row r="1409" spans="1:16" x14ac:dyDescent="0.25">
      <c r="A1409" s="12" t="s">
        <v>1228</v>
      </c>
      <c r="C1409">
        <v>340</v>
      </c>
      <c r="D1409">
        <v>1</v>
      </c>
      <c r="G1409">
        <v>11.07</v>
      </c>
      <c r="H1409">
        <v>1</v>
      </c>
      <c r="I1409">
        <v>15</v>
      </c>
      <c r="J1409">
        <f t="shared" si="76"/>
        <v>0.65163333777860688</v>
      </c>
      <c r="K1409" s="2" t="s">
        <v>2156</v>
      </c>
      <c r="L1409" s="17">
        <v>0.01</v>
      </c>
      <c r="M1409" s="2" t="s">
        <v>2558</v>
      </c>
      <c r="N1409" s="2" t="s">
        <v>2558</v>
      </c>
    </row>
    <row r="1410" spans="1:16" x14ac:dyDescent="0.25">
      <c r="A1410" s="12" t="s">
        <v>1229</v>
      </c>
      <c r="C1410">
        <v>340</v>
      </c>
      <c r="D1410">
        <v>1</v>
      </c>
      <c r="G1410">
        <v>1.825</v>
      </c>
      <c r="H1410">
        <v>1</v>
      </c>
      <c r="I1410">
        <v>16</v>
      </c>
      <c r="J1410">
        <f t="shared" si="76"/>
        <v>0.31997545487912848</v>
      </c>
      <c r="K1410" s="2">
        <v>0.2</v>
      </c>
      <c r="L1410" s="17">
        <v>0.2</v>
      </c>
      <c r="M1410" s="2" t="s">
        <v>2558</v>
      </c>
      <c r="N1410" s="2" t="s">
        <v>2558</v>
      </c>
    </row>
    <row r="1411" spans="1:16" x14ac:dyDescent="0.25">
      <c r="A1411" s="12" t="s">
        <v>1230</v>
      </c>
      <c r="C1411">
        <v>340</v>
      </c>
      <c r="D1411">
        <v>1</v>
      </c>
      <c r="G1411">
        <v>4.8879999999999999</v>
      </c>
      <c r="H1411">
        <v>1</v>
      </c>
      <c r="I1411">
        <v>15</v>
      </c>
      <c r="J1411">
        <f t="shared" si="76"/>
        <v>0.4957583560024571</v>
      </c>
      <c r="K1411" s="2" t="s">
        <v>2527</v>
      </c>
      <c r="L1411" s="17">
        <v>4.9000000000000002E-2</v>
      </c>
      <c r="M1411" s="2" t="s">
        <v>2558</v>
      </c>
      <c r="N1411" s="2" t="s">
        <v>2558</v>
      </c>
    </row>
    <row r="1412" spans="1:16" x14ac:dyDescent="0.25">
      <c r="A1412" s="12" t="s">
        <v>1231</v>
      </c>
      <c r="C1412">
        <v>340</v>
      </c>
      <c r="D1412">
        <v>1</v>
      </c>
      <c r="F1412">
        <v>-4.742</v>
      </c>
      <c r="H1412">
        <v>10</v>
      </c>
      <c r="J1412">
        <f t="shared" si="76"/>
        <v>0.83197381867689846</v>
      </c>
      <c r="K1412" s="2">
        <v>0.01</v>
      </c>
      <c r="L1412" s="17">
        <v>0.01</v>
      </c>
      <c r="M1412" s="2" t="s">
        <v>2558</v>
      </c>
      <c r="N1412" s="2" t="s">
        <v>2558</v>
      </c>
    </row>
    <row r="1413" spans="1:16" x14ac:dyDescent="0.25">
      <c r="A1413" s="12" t="s">
        <v>1232</v>
      </c>
      <c r="C1413">
        <v>340</v>
      </c>
      <c r="D1413">
        <v>1</v>
      </c>
      <c r="F1413">
        <v>2.7480000000000002</v>
      </c>
      <c r="H1413">
        <v>15</v>
      </c>
      <c r="J1413">
        <f t="shared" si="76"/>
        <v>0.57866734186253654</v>
      </c>
      <c r="K1413" s="2" t="s">
        <v>2528</v>
      </c>
      <c r="L1413" s="17">
        <v>4.9000000000000002E-2</v>
      </c>
      <c r="M1413" s="2" t="s">
        <v>2558</v>
      </c>
      <c r="N1413" s="2" t="s">
        <v>2558</v>
      </c>
    </row>
    <row r="1414" spans="1:16" x14ac:dyDescent="0.25">
      <c r="A1414" s="12" t="s">
        <v>1233</v>
      </c>
      <c r="C1414">
        <v>340</v>
      </c>
      <c r="D1414">
        <v>1</v>
      </c>
      <c r="G1414">
        <v>23.837</v>
      </c>
      <c r="H1414">
        <v>4</v>
      </c>
      <c r="I1414">
        <v>60</v>
      </c>
      <c r="J1414">
        <f t="shared" si="76"/>
        <v>0.55397218956044714</v>
      </c>
      <c r="K1414" s="2" t="s">
        <v>2548</v>
      </c>
      <c r="L1414" s="17">
        <v>1E-4</v>
      </c>
      <c r="M1414" s="2" t="s">
        <v>2558</v>
      </c>
      <c r="N1414" s="2" t="s">
        <v>2558</v>
      </c>
    </row>
    <row r="1415" spans="1:16" x14ac:dyDescent="0.25">
      <c r="A1415" s="12" t="s">
        <v>1234</v>
      </c>
      <c r="C1415">
        <v>340</v>
      </c>
      <c r="D1415">
        <v>2</v>
      </c>
      <c r="G1415">
        <v>0.107</v>
      </c>
      <c r="H1415">
        <v>1</v>
      </c>
      <c r="I1415">
        <v>15</v>
      </c>
      <c r="J1415">
        <f t="shared" si="76"/>
        <v>8.4159427836130785E-2</v>
      </c>
      <c r="K1415" s="2">
        <v>0.75</v>
      </c>
      <c r="L1415" s="17">
        <v>0.75</v>
      </c>
      <c r="M1415" s="2" t="s">
        <v>2558</v>
      </c>
      <c r="N1415" s="2" t="s">
        <v>2558</v>
      </c>
      <c r="O1415" t="s">
        <v>2260</v>
      </c>
    </row>
    <row r="1416" spans="1:16" x14ac:dyDescent="0.25">
      <c r="A1416" s="12" t="s">
        <v>1235</v>
      </c>
      <c r="C1416">
        <v>340</v>
      </c>
      <c r="D1416">
        <v>2</v>
      </c>
      <c r="G1416">
        <v>7.077</v>
      </c>
      <c r="H1416">
        <v>4</v>
      </c>
      <c r="I1416">
        <v>60</v>
      </c>
      <c r="J1416">
        <f t="shared" si="76"/>
        <v>0.40034975875879492</v>
      </c>
      <c r="K1416" s="2" t="s">
        <v>2548</v>
      </c>
      <c r="L1416" s="17">
        <v>1E-4</v>
      </c>
      <c r="M1416" s="2" t="s">
        <v>2558</v>
      </c>
      <c r="N1416" s="2" t="s">
        <v>2558</v>
      </c>
      <c r="O1416" t="s">
        <v>2260</v>
      </c>
    </row>
    <row r="1417" spans="1:16" x14ac:dyDescent="0.25">
      <c r="A1417" s="12" t="s">
        <v>1236</v>
      </c>
      <c r="C1417">
        <v>340</v>
      </c>
      <c r="D1417">
        <v>1</v>
      </c>
      <c r="F1417">
        <v>-2.569</v>
      </c>
      <c r="H1417">
        <v>10</v>
      </c>
      <c r="J1417">
        <f t="shared" si="76"/>
        <v>0.63054079017435638</v>
      </c>
      <c r="K1417" s="2" t="s">
        <v>2528</v>
      </c>
      <c r="L1417" s="17">
        <v>4.9000000000000002E-2</v>
      </c>
      <c r="M1417" s="2" t="s">
        <v>2558</v>
      </c>
      <c r="N1417" s="2" t="s">
        <v>2558</v>
      </c>
    </row>
    <row r="1418" spans="1:16" x14ac:dyDescent="0.25">
      <c r="A1418" s="12" t="s">
        <v>1237</v>
      </c>
      <c r="C1418">
        <v>340</v>
      </c>
      <c r="D1418">
        <v>1</v>
      </c>
      <c r="J1418">
        <v>-0.8</v>
      </c>
      <c r="K1418" s="2" t="s">
        <v>2547</v>
      </c>
      <c r="L1418" s="17">
        <v>1E-4</v>
      </c>
      <c r="P1418" s="2" t="s">
        <v>2560</v>
      </c>
    </row>
    <row r="1419" spans="1:16" x14ac:dyDescent="0.25">
      <c r="A1419" s="12" t="s">
        <v>1238</v>
      </c>
      <c r="C1419">
        <v>340</v>
      </c>
      <c r="D1419">
        <v>1</v>
      </c>
      <c r="J1419">
        <v>0.88</v>
      </c>
      <c r="K1419" s="2" t="s">
        <v>2547</v>
      </c>
      <c r="L1419" s="17">
        <v>1E-4</v>
      </c>
      <c r="P1419" s="2" t="s">
        <v>2560</v>
      </c>
    </row>
    <row r="1420" spans="1:16" x14ac:dyDescent="0.25">
      <c r="A1420" s="12" t="s">
        <v>1239</v>
      </c>
      <c r="C1420">
        <v>340</v>
      </c>
      <c r="D1420">
        <v>1</v>
      </c>
      <c r="J1420">
        <v>0.42</v>
      </c>
      <c r="K1420" s="2">
        <v>8.8999999999999996E-2</v>
      </c>
      <c r="L1420" s="17">
        <v>8.8999999999999996E-2</v>
      </c>
      <c r="P1420" s="2" t="s">
        <v>2560</v>
      </c>
    </row>
    <row r="1421" spans="1:16" x14ac:dyDescent="0.25">
      <c r="A1421" s="12" t="s">
        <v>1240</v>
      </c>
      <c r="C1421">
        <v>340</v>
      </c>
      <c r="D1421">
        <v>1</v>
      </c>
      <c r="J1421">
        <v>0.56999999999999995</v>
      </c>
      <c r="K1421" s="2">
        <v>1.6E-2</v>
      </c>
      <c r="L1421" s="17">
        <v>1.6E-2</v>
      </c>
      <c r="P1421" s="2" t="s">
        <v>2560</v>
      </c>
    </row>
    <row r="1422" spans="1:16" x14ac:dyDescent="0.25">
      <c r="A1422" s="12" t="s">
        <v>1241</v>
      </c>
      <c r="C1422">
        <v>340</v>
      </c>
      <c r="D1422">
        <v>1</v>
      </c>
      <c r="F1422">
        <v>6.4950000000000001</v>
      </c>
      <c r="H1422">
        <v>14</v>
      </c>
      <c r="J1422">
        <f t="shared" ref="J1422:J1439" si="78">IF(NOT(ISBLANK(F1422)),SQRT((F1422^2*1/H1422)/(F1422^2*1/H1422+1)),IF(NOT(ISBLANK(G1422)),SQRT((G1422*H1422/I1422)/(G1422*H1422/I1422+1)*SQRT(1/H1422))))</f>
        <v>0.86650059683660752</v>
      </c>
      <c r="K1422" s="2" t="s">
        <v>2139</v>
      </c>
      <c r="L1422" s="17">
        <v>1E-3</v>
      </c>
      <c r="M1422" s="2" t="s">
        <v>2558</v>
      </c>
      <c r="N1422" s="2" t="s">
        <v>2558</v>
      </c>
    </row>
    <row r="1423" spans="1:16" x14ac:dyDescent="0.25">
      <c r="A1423" s="12" t="s">
        <v>1242</v>
      </c>
      <c r="C1423">
        <v>340</v>
      </c>
      <c r="D1423">
        <v>1</v>
      </c>
      <c r="F1423">
        <v>5.657</v>
      </c>
      <c r="H1423">
        <v>141</v>
      </c>
      <c r="J1423">
        <f t="shared" si="78"/>
        <v>0.43009169589488366</v>
      </c>
      <c r="K1423" s="2" t="s">
        <v>2141</v>
      </c>
      <c r="L1423" s="17">
        <v>1E-3</v>
      </c>
      <c r="M1423" s="2" t="s">
        <v>2558</v>
      </c>
      <c r="N1423" s="2" t="s">
        <v>2558</v>
      </c>
    </row>
    <row r="1424" spans="1:16" x14ac:dyDescent="0.25">
      <c r="A1424" s="12" t="s">
        <v>1243</v>
      </c>
      <c r="C1424">
        <v>340</v>
      </c>
      <c r="D1424">
        <v>1</v>
      </c>
      <c r="G1424">
        <v>21.14</v>
      </c>
      <c r="H1424">
        <v>5</v>
      </c>
      <c r="I1424">
        <v>75</v>
      </c>
      <c r="J1424">
        <f t="shared" si="78"/>
        <v>0.51146499573416337</v>
      </c>
      <c r="K1424" s="2" t="s">
        <v>2547</v>
      </c>
      <c r="L1424" s="17">
        <v>1E-4</v>
      </c>
      <c r="M1424" s="2" t="s">
        <v>2558</v>
      </c>
      <c r="N1424" s="2" t="s">
        <v>2558</v>
      </c>
    </row>
    <row r="1425" spans="1:16" x14ac:dyDescent="0.25">
      <c r="A1425" s="12" t="s">
        <v>1244</v>
      </c>
      <c r="C1425">
        <v>340</v>
      </c>
      <c r="D1425">
        <v>1</v>
      </c>
      <c r="G1425">
        <v>4.0039999999999996</v>
      </c>
      <c r="H1425">
        <v>5</v>
      </c>
      <c r="I1425">
        <v>75</v>
      </c>
      <c r="J1425">
        <f t="shared" si="78"/>
        <v>0.30696016698599832</v>
      </c>
      <c r="K1425" s="2" t="s">
        <v>2156</v>
      </c>
      <c r="L1425" s="17">
        <v>0.01</v>
      </c>
      <c r="M1425" s="2" t="s">
        <v>2558</v>
      </c>
      <c r="N1425" s="2" t="s">
        <v>2558</v>
      </c>
    </row>
    <row r="1426" spans="1:16" x14ac:dyDescent="0.25">
      <c r="A1426" s="12" t="s">
        <v>1245</v>
      </c>
      <c r="C1426">
        <v>340</v>
      </c>
      <c r="D1426">
        <v>1</v>
      </c>
      <c r="G1426">
        <v>10.087</v>
      </c>
      <c r="H1426">
        <v>5</v>
      </c>
      <c r="I1426">
        <v>75</v>
      </c>
      <c r="J1426">
        <f t="shared" si="78"/>
        <v>0.42404714584032666</v>
      </c>
      <c r="K1426" s="2" t="s">
        <v>2548</v>
      </c>
      <c r="L1426" s="17">
        <v>1E-4</v>
      </c>
      <c r="M1426" s="2" t="s">
        <v>2558</v>
      </c>
      <c r="N1426" s="2" t="s">
        <v>2558</v>
      </c>
    </row>
    <row r="1427" spans="1:16" x14ac:dyDescent="0.25">
      <c r="A1427" s="12" t="s">
        <v>1246</v>
      </c>
      <c r="C1427">
        <v>340</v>
      </c>
      <c r="D1427">
        <v>1</v>
      </c>
      <c r="F1427">
        <v>3.5139999999999998</v>
      </c>
      <c r="H1427">
        <v>16</v>
      </c>
      <c r="J1427">
        <f t="shared" si="78"/>
        <v>0.65999256595400535</v>
      </c>
      <c r="K1427" s="2" t="s">
        <v>2527</v>
      </c>
      <c r="L1427" s="17">
        <v>4.9000000000000002E-2</v>
      </c>
      <c r="M1427" s="2" t="s">
        <v>2558</v>
      </c>
      <c r="N1427" s="2" t="s">
        <v>2558</v>
      </c>
    </row>
    <row r="1428" spans="1:16" x14ac:dyDescent="0.25">
      <c r="A1428" s="12" t="s">
        <v>1247</v>
      </c>
      <c r="C1428">
        <v>340</v>
      </c>
      <c r="D1428">
        <v>1</v>
      </c>
      <c r="F1428">
        <v>2.5459999999999998</v>
      </c>
      <c r="H1428">
        <v>16</v>
      </c>
      <c r="J1428">
        <f t="shared" si="78"/>
        <v>0.53695736939846961</v>
      </c>
      <c r="K1428" s="2" t="s">
        <v>2527</v>
      </c>
      <c r="L1428" s="17">
        <v>4.9000000000000002E-2</v>
      </c>
      <c r="M1428" s="2" t="s">
        <v>2558</v>
      </c>
      <c r="N1428" s="2" t="s">
        <v>2558</v>
      </c>
    </row>
    <row r="1429" spans="1:16" x14ac:dyDescent="0.25">
      <c r="A1429" s="12" t="s">
        <v>1248</v>
      </c>
      <c r="C1429">
        <v>340</v>
      </c>
      <c r="D1429">
        <v>1</v>
      </c>
      <c r="G1429">
        <v>0.39700000000000002</v>
      </c>
      <c r="H1429">
        <v>1</v>
      </c>
      <c r="I1429">
        <v>15</v>
      </c>
      <c r="J1429">
        <f t="shared" si="78"/>
        <v>0.16057472928152336</v>
      </c>
      <c r="K1429" s="2">
        <v>0.54</v>
      </c>
      <c r="L1429" s="17">
        <v>0.54</v>
      </c>
      <c r="M1429" s="2" t="s">
        <v>2558</v>
      </c>
      <c r="N1429" s="2" t="s">
        <v>2558</v>
      </c>
    </row>
    <row r="1430" spans="1:16" x14ac:dyDescent="0.25">
      <c r="A1430" s="12" t="s">
        <v>1249</v>
      </c>
      <c r="C1430">
        <v>340</v>
      </c>
      <c r="D1430">
        <v>2</v>
      </c>
      <c r="G1430">
        <v>1.4870000000000001</v>
      </c>
      <c r="H1430">
        <v>5</v>
      </c>
      <c r="I1430">
        <v>75</v>
      </c>
      <c r="J1430">
        <f t="shared" si="78"/>
        <v>0.20083627799863946</v>
      </c>
      <c r="K1430" s="2">
        <v>0.2</v>
      </c>
      <c r="L1430" s="17">
        <v>0.2</v>
      </c>
      <c r="M1430" s="2" t="s">
        <v>2558</v>
      </c>
      <c r="N1430" s="2" t="s">
        <v>2558</v>
      </c>
      <c r="O1430" t="s">
        <v>2261</v>
      </c>
    </row>
    <row r="1431" spans="1:16" x14ac:dyDescent="0.25">
      <c r="A1431" s="12" t="s">
        <v>1250</v>
      </c>
      <c r="C1431">
        <v>340</v>
      </c>
      <c r="D1431">
        <v>1</v>
      </c>
      <c r="F1431">
        <v>-4.4950000000000001</v>
      </c>
      <c r="H1431">
        <v>10</v>
      </c>
      <c r="J1431">
        <f t="shared" si="78"/>
        <v>0.81788095667227456</v>
      </c>
      <c r="K1431" s="2" t="s">
        <v>2156</v>
      </c>
      <c r="L1431" s="17">
        <v>0.01</v>
      </c>
      <c r="M1431" s="2" t="s">
        <v>2558</v>
      </c>
      <c r="N1431" s="2" t="s">
        <v>2558</v>
      </c>
    </row>
    <row r="1432" spans="1:16" x14ac:dyDescent="0.25">
      <c r="A1432" s="12" t="s">
        <v>1251</v>
      </c>
      <c r="C1432">
        <v>340</v>
      </c>
      <c r="D1432">
        <v>1</v>
      </c>
      <c r="F1432">
        <v>-1</v>
      </c>
      <c r="H1432">
        <v>5</v>
      </c>
      <c r="J1432">
        <f t="shared" si="78"/>
        <v>0.40824829046386302</v>
      </c>
      <c r="K1432" s="2" t="s">
        <v>2528</v>
      </c>
      <c r="L1432" s="17">
        <v>0.05</v>
      </c>
      <c r="M1432" s="2" t="s">
        <v>2558</v>
      </c>
      <c r="N1432" s="2" t="s">
        <v>2558</v>
      </c>
    </row>
    <row r="1433" spans="1:16" x14ac:dyDescent="0.25">
      <c r="A1433" s="12" t="s">
        <v>1252</v>
      </c>
      <c r="C1433">
        <v>340</v>
      </c>
      <c r="D1433">
        <v>1</v>
      </c>
      <c r="F1433">
        <v>7.6449999999999996</v>
      </c>
      <c r="H1433">
        <v>10</v>
      </c>
      <c r="J1433">
        <f t="shared" si="78"/>
        <v>0.92406681453624229</v>
      </c>
      <c r="K1433" s="2" t="s">
        <v>2139</v>
      </c>
      <c r="L1433" s="17">
        <v>1E-3</v>
      </c>
      <c r="M1433" s="2" t="s">
        <v>2558</v>
      </c>
      <c r="N1433" s="2" t="s">
        <v>2558</v>
      </c>
    </row>
    <row r="1434" spans="1:16" x14ac:dyDescent="0.25">
      <c r="A1434" s="12" t="s">
        <v>1253</v>
      </c>
      <c r="C1434">
        <v>340</v>
      </c>
      <c r="D1434">
        <v>1</v>
      </c>
      <c r="F1434">
        <v>2.6850000000000001</v>
      </c>
      <c r="H1434">
        <v>5</v>
      </c>
      <c r="J1434">
        <f t="shared" si="78"/>
        <v>0.76842279821005466</v>
      </c>
      <c r="K1434" s="2" t="s">
        <v>2528</v>
      </c>
      <c r="L1434" s="17">
        <v>4.9000000000000002E-2</v>
      </c>
      <c r="M1434" s="2" t="s">
        <v>2558</v>
      </c>
      <c r="N1434" s="2" t="s">
        <v>2558</v>
      </c>
    </row>
    <row r="1435" spans="1:16" x14ac:dyDescent="0.25">
      <c r="A1435" s="12" t="s">
        <v>1254</v>
      </c>
      <c r="C1435">
        <v>340</v>
      </c>
      <c r="D1435">
        <v>1</v>
      </c>
      <c r="G1435">
        <v>11.715</v>
      </c>
      <c r="H1435">
        <v>4</v>
      </c>
      <c r="I1435">
        <v>64</v>
      </c>
      <c r="J1435">
        <f t="shared" si="78"/>
        <v>0.45972561999439954</v>
      </c>
      <c r="K1435" s="2" t="s">
        <v>2547</v>
      </c>
      <c r="L1435" s="17">
        <v>1E-4</v>
      </c>
      <c r="M1435" s="2" t="s">
        <v>2558</v>
      </c>
      <c r="N1435" s="2" t="s">
        <v>2558</v>
      </c>
    </row>
    <row r="1436" spans="1:16" x14ac:dyDescent="0.25">
      <c r="A1436" s="12" t="s">
        <v>1255</v>
      </c>
      <c r="C1436">
        <v>340</v>
      </c>
      <c r="D1436">
        <v>1</v>
      </c>
      <c r="G1436">
        <v>4.5289999999999999</v>
      </c>
      <c r="H1436">
        <v>4</v>
      </c>
      <c r="I1436">
        <v>64</v>
      </c>
      <c r="J1436">
        <f t="shared" si="78"/>
        <v>0.33212553358912905</v>
      </c>
      <c r="K1436" s="2" t="s">
        <v>2524</v>
      </c>
      <c r="L1436" s="17">
        <v>0.01</v>
      </c>
      <c r="M1436" s="2" t="s">
        <v>2558</v>
      </c>
      <c r="N1436" s="2" t="s">
        <v>2558</v>
      </c>
    </row>
    <row r="1437" spans="1:16" x14ac:dyDescent="0.25">
      <c r="A1437" s="12" t="s">
        <v>1256</v>
      </c>
      <c r="C1437">
        <v>340</v>
      </c>
      <c r="D1437">
        <v>1</v>
      </c>
      <c r="F1437">
        <v>3.6859999999999999</v>
      </c>
      <c r="H1437">
        <v>15</v>
      </c>
      <c r="J1437">
        <f t="shared" si="78"/>
        <v>0.68940449202701137</v>
      </c>
      <c r="K1437" s="2" t="s">
        <v>2551</v>
      </c>
      <c r="L1437" s="17">
        <v>5.0000000000000001E-3</v>
      </c>
      <c r="M1437" s="2" t="s">
        <v>2558</v>
      </c>
      <c r="N1437" s="2" t="s">
        <v>2558</v>
      </c>
    </row>
    <row r="1438" spans="1:16" x14ac:dyDescent="0.25">
      <c r="A1438" s="12" t="s">
        <v>1257</v>
      </c>
      <c r="C1438">
        <v>340</v>
      </c>
      <c r="D1438">
        <v>1</v>
      </c>
      <c r="F1438">
        <v>2.6459999999999999</v>
      </c>
      <c r="H1438">
        <v>14</v>
      </c>
      <c r="J1438">
        <f t="shared" si="78"/>
        <v>0.57738644640587211</v>
      </c>
      <c r="K1438" s="2" t="s">
        <v>2527</v>
      </c>
      <c r="L1438" s="17">
        <v>4.9000000000000002E-2</v>
      </c>
      <c r="M1438" s="2" t="s">
        <v>2558</v>
      </c>
      <c r="N1438" s="2" t="s">
        <v>2558</v>
      </c>
    </row>
    <row r="1439" spans="1:16" x14ac:dyDescent="0.25">
      <c r="A1439" s="12" t="s">
        <v>1258</v>
      </c>
      <c r="C1439">
        <v>340</v>
      </c>
      <c r="D1439">
        <v>1</v>
      </c>
      <c r="F1439">
        <v>4.2009999999999996</v>
      </c>
      <c r="H1439">
        <v>14</v>
      </c>
      <c r="J1439">
        <f t="shared" si="78"/>
        <v>0.74675268911110781</v>
      </c>
      <c r="K1439" s="2" t="s">
        <v>2139</v>
      </c>
      <c r="L1439" s="17">
        <v>1E-3</v>
      </c>
      <c r="M1439" s="2" t="s">
        <v>2558</v>
      </c>
      <c r="N1439" s="2" t="s">
        <v>2558</v>
      </c>
    </row>
    <row r="1440" spans="1:16" x14ac:dyDescent="0.25">
      <c r="A1440" s="12" t="s">
        <v>1259</v>
      </c>
      <c r="C1440">
        <v>341</v>
      </c>
      <c r="D1440">
        <v>1</v>
      </c>
      <c r="J1440">
        <v>0.22</v>
      </c>
      <c r="K1440" s="2" t="s">
        <v>2536</v>
      </c>
      <c r="L1440" s="17">
        <v>1E-4</v>
      </c>
      <c r="P1440" s="2" t="s">
        <v>2560</v>
      </c>
    </row>
    <row r="1441" spans="1:16" x14ac:dyDescent="0.25">
      <c r="A1441" s="12" t="s">
        <v>1260</v>
      </c>
      <c r="C1441">
        <v>341</v>
      </c>
      <c r="D1441">
        <v>1</v>
      </c>
      <c r="J1441">
        <v>0.19</v>
      </c>
      <c r="K1441" s="2" t="s">
        <v>2535</v>
      </c>
      <c r="L1441" s="17">
        <v>1E-4</v>
      </c>
      <c r="P1441" s="2" t="s">
        <v>2560</v>
      </c>
    </row>
    <row r="1442" spans="1:16" x14ac:dyDescent="0.25">
      <c r="A1442" s="12" t="s">
        <v>1261</v>
      </c>
      <c r="C1442">
        <v>341</v>
      </c>
      <c r="D1442">
        <v>1</v>
      </c>
      <c r="J1442">
        <v>0.08</v>
      </c>
      <c r="K1442" s="2" t="s">
        <v>2535</v>
      </c>
      <c r="L1442" s="17">
        <v>1E-4</v>
      </c>
      <c r="P1442" s="2" t="s">
        <v>2560</v>
      </c>
    </row>
    <row r="1443" spans="1:16" x14ac:dyDescent="0.25">
      <c r="A1443" s="12" t="s">
        <v>1262</v>
      </c>
      <c r="C1443">
        <v>341</v>
      </c>
      <c r="D1443">
        <v>1</v>
      </c>
      <c r="J1443">
        <v>0.06</v>
      </c>
      <c r="K1443" s="2" t="s">
        <v>2535</v>
      </c>
      <c r="L1443" s="17">
        <v>1E-4</v>
      </c>
      <c r="P1443" s="2" t="s">
        <v>2560</v>
      </c>
    </row>
    <row r="1444" spans="1:16" x14ac:dyDescent="0.25">
      <c r="A1444" s="12" t="s">
        <v>1263</v>
      </c>
      <c r="C1444">
        <v>341</v>
      </c>
      <c r="D1444">
        <v>1</v>
      </c>
      <c r="J1444">
        <v>0.06</v>
      </c>
      <c r="K1444" s="2" t="s">
        <v>2535</v>
      </c>
      <c r="L1444" s="17">
        <v>1E-4</v>
      </c>
      <c r="P1444" s="2" t="s">
        <v>2560</v>
      </c>
    </row>
    <row r="1445" spans="1:16" x14ac:dyDescent="0.25">
      <c r="A1445" s="12" t="s">
        <v>1264</v>
      </c>
      <c r="C1445">
        <v>341</v>
      </c>
      <c r="D1445">
        <v>1</v>
      </c>
      <c r="J1445">
        <v>0.04</v>
      </c>
      <c r="K1445" s="2" t="s">
        <v>2535</v>
      </c>
      <c r="L1445" s="17">
        <v>1E-4</v>
      </c>
      <c r="P1445" s="2" t="s">
        <v>2560</v>
      </c>
    </row>
    <row r="1446" spans="1:16" x14ac:dyDescent="0.25">
      <c r="A1446" s="12" t="s">
        <v>1265</v>
      </c>
      <c r="C1446">
        <v>341</v>
      </c>
      <c r="D1446">
        <v>3</v>
      </c>
      <c r="J1446">
        <v>0.03</v>
      </c>
      <c r="K1446" s="2" t="s">
        <v>2535</v>
      </c>
      <c r="L1446" s="17">
        <v>1E-4</v>
      </c>
      <c r="P1446" s="2" t="s">
        <v>2560</v>
      </c>
    </row>
    <row r="1447" spans="1:16" x14ac:dyDescent="0.25">
      <c r="A1447" s="12" t="s">
        <v>1266</v>
      </c>
      <c r="C1447">
        <v>341</v>
      </c>
      <c r="D1447">
        <v>1</v>
      </c>
      <c r="J1447">
        <v>0.02</v>
      </c>
      <c r="K1447" s="2" t="s">
        <v>2535</v>
      </c>
      <c r="L1447" s="17">
        <v>1E-4</v>
      </c>
      <c r="P1447" s="2" t="s">
        <v>2560</v>
      </c>
    </row>
    <row r="1448" spans="1:16" x14ac:dyDescent="0.25">
      <c r="A1448" s="12" t="s">
        <v>1267</v>
      </c>
      <c r="C1448">
        <v>341</v>
      </c>
      <c r="D1448">
        <v>1</v>
      </c>
      <c r="J1448">
        <v>0.01</v>
      </c>
      <c r="K1448" s="2" t="s">
        <v>2535</v>
      </c>
      <c r="L1448" s="17">
        <v>1E-4</v>
      </c>
      <c r="P1448" s="2" t="s">
        <v>2560</v>
      </c>
    </row>
    <row r="1449" spans="1:16" x14ac:dyDescent="0.25">
      <c r="A1449" s="12" t="s">
        <v>1268</v>
      </c>
      <c r="C1449">
        <v>341</v>
      </c>
      <c r="D1449">
        <v>1</v>
      </c>
      <c r="J1449">
        <v>0</v>
      </c>
      <c r="K1449" s="6">
        <v>1</v>
      </c>
      <c r="L1449" s="17">
        <v>1</v>
      </c>
    </row>
    <row r="1450" spans="1:16" x14ac:dyDescent="0.25">
      <c r="A1450" s="12" t="s">
        <v>1269</v>
      </c>
      <c r="C1450">
        <v>341</v>
      </c>
      <c r="D1450">
        <v>1</v>
      </c>
      <c r="E1450">
        <v>0</v>
      </c>
      <c r="J1450" t="b">
        <f t="shared" ref="J1450:J1478" si="79">IF(NOT(ISBLANK(F1450)),SQRT((F1450^2*1/H1450)/(F1450^2*1/H1450+1)),IF(NOT(ISBLANK(G1450)),SQRT((G1450*H1450/I1450)/(G1450*H1450/I1450+1)*SQRT(1/H1450))))</f>
        <v>0</v>
      </c>
      <c r="K1450" s="2" t="s">
        <v>2535</v>
      </c>
      <c r="L1450" s="17">
        <v>1E-4</v>
      </c>
    </row>
    <row r="1451" spans="1:16" x14ac:dyDescent="0.25">
      <c r="A1451" s="12" t="s">
        <v>1270</v>
      </c>
      <c r="C1451">
        <v>341</v>
      </c>
      <c r="D1451">
        <v>1</v>
      </c>
      <c r="E1451">
        <v>0</v>
      </c>
      <c r="J1451" t="b">
        <f t="shared" si="79"/>
        <v>0</v>
      </c>
      <c r="K1451" s="2" t="s">
        <v>2519</v>
      </c>
      <c r="L1451" s="17">
        <v>1E-3</v>
      </c>
    </row>
    <row r="1452" spans="1:16" x14ac:dyDescent="0.25">
      <c r="A1452" s="12" t="s">
        <v>1271</v>
      </c>
      <c r="C1452">
        <v>341</v>
      </c>
      <c r="D1452">
        <v>1</v>
      </c>
      <c r="E1452">
        <v>0</v>
      </c>
      <c r="J1452" t="b">
        <f t="shared" si="79"/>
        <v>0</v>
      </c>
      <c r="K1452" s="2" t="s">
        <v>2519</v>
      </c>
      <c r="L1452" s="17">
        <v>1E-3</v>
      </c>
    </row>
    <row r="1453" spans="1:16" x14ac:dyDescent="0.25">
      <c r="A1453" s="12" t="s">
        <v>1272</v>
      </c>
      <c r="C1453">
        <v>341</v>
      </c>
      <c r="D1453">
        <v>1</v>
      </c>
      <c r="E1453">
        <v>0</v>
      </c>
      <c r="J1453" t="b">
        <f t="shared" si="79"/>
        <v>0</v>
      </c>
      <c r="K1453" s="2" t="s">
        <v>2519</v>
      </c>
      <c r="L1453" s="17">
        <v>1E-3</v>
      </c>
    </row>
    <row r="1454" spans="1:16" x14ac:dyDescent="0.25">
      <c r="A1454" s="12" t="s">
        <v>1273</v>
      </c>
      <c r="C1454">
        <v>341</v>
      </c>
      <c r="D1454">
        <v>1</v>
      </c>
      <c r="E1454">
        <v>0</v>
      </c>
      <c r="J1454" t="b">
        <f t="shared" si="79"/>
        <v>0</v>
      </c>
      <c r="K1454" s="2" t="s">
        <v>2519</v>
      </c>
      <c r="L1454" s="17">
        <v>1E-3</v>
      </c>
    </row>
    <row r="1455" spans="1:16" x14ac:dyDescent="0.25">
      <c r="A1455" s="12" t="s">
        <v>1274</v>
      </c>
      <c r="C1455">
        <v>341</v>
      </c>
      <c r="D1455">
        <v>1</v>
      </c>
      <c r="E1455">
        <v>0</v>
      </c>
      <c r="J1455" t="b">
        <f t="shared" si="79"/>
        <v>0</v>
      </c>
      <c r="K1455" s="2" t="s">
        <v>2520</v>
      </c>
      <c r="L1455" s="17">
        <v>0.01</v>
      </c>
    </row>
    <row r="1456" spans="1:16" x14ac:dyDescent="0.25">
      <c r="A1456" s="12" t="s">
        <v>1275</v>
      </c>
      <c r="C1456">
        <v>341</v>
      </c>
      <c r="D1456">
        <v>1</v>
      </c>
      <c r="E1456">
        <v>0</v>
      </c>
      <c r="J1456" t="b">
        <f t="shared" si="79"/>
        <v>0</v>
      </c>
      <c r="K1456" s="2" t="s">
        <v>2520</v>
      </c>
      <c r="L1456" s="17">
        <v>0.01</v>
      </c>
    </row>
    <row r="1457" spans="1:12" x14ac:dyDescent="0.25">
      <c r="A1457" s="12" t="s">
        <v>1276</v>
      </c>
      <c r="C1457">
        <v>341</v>
      </c>
      <c r="D1457">
        <v>1</v>
      </c>
      <c r="E1457">
        <v>0</v>
      </c>
      <c r="J1457" t="b">
        <f t="shared" si="79"/>
        <v>0</v>
      </c>
      <c r="K1457" s="2">
        <v>4.4999999999999998E-2</v>
      </c>
      <c r="L1457" s="17">
        <v>4.4999999999999998E-2</v>
      </c>
    </row>
    <row r="1458" spans="1:12" x14ac:dyDescent="0.25">
      <c r="A1458" s="12" t="s">
        <v>1277</v>
      </c>
      <c r="C1458">
        <v>341</v>
      </c>
      <c r="D1458">
        <v>1</v>
      </c>
      <c r="E1458">
        <v>0</v>
      </c>
      <c r="J1458" t="b">
        <f t="shared" si="79"/>
        <v>0</v>
      </c>
      <c r="K1458" s="2">
        <v>0.27</v>
      </c>
      <c r="L1458" s="17">
        <v>0.27</v>
      </c>
    </row>
    <row r="1459" spans="1:12" x14ac:dyDescent="0.25">
      <c r="A1459" s="12" t="s">
        <v>1278</v>
      </c>
      <c r="C1459">
        <v>341</v>
      </c>
      <c r="D1459">
        <v>1</v>
      </c>
      <c r="E1459">
        <v>0</v>
      </c>
      <c r="J1459" t="b">
        <f t="shared" si="79"/>
        <v>0</v>
      </c>
      <c r="K1459" s="2">
        <v>0.31</v>
      </c>
      <c r="L1459" s="17">
        <v>0.31</v>
      </c>
    </row>
    <row r="1460" spans="1:12" x14ac:dyDescent="0.25">
      <c r="A1460" s="12" t="s">
        <v>1279</v>
      </c>
      <c r="C1460">
        <v>341</v>
      </c>
      <c r="D1460">
        <v>1</v>
      </c>
      <c r="E1460">
        <v>0</v>
      </c>
      <c r="J1460" t="b">
        <f t="shared" si="79"/>
        <v>0</v>
      </c>
      <c r="K1460" s="2">
        <v>0.14000000000000001</v>
      </c>
      <c r="L1460" s="17">
        <v>0.14000000000000001</v>
      </c>
    </row>
    <row r="1461" spans="1:12" x14ac:dyDescent="0.25">
      <c r="A1461" s="12" t="s">
        <v>1280</v>
      </c>
      <c r="C1461">
        <v>341</v>
      </c>
      <c r="D1461">
        <v>1</v>
      </c>
      <c r="E1461">
        <v>0</v>
      </c>
      <c r="J1461" t="b">
        <f t="shared" si="79"/>
        <v>0</v>
      </c>
      <c r="K1461" s="2" t="s">
        <v>2536</v>
      </c>
      <c r="L1461" s="17">
        <v>1E-4</v>
      </c>
    </row>
    <row r="1462" spans="1:12" x14ac:dyDescent="0.25">
      <c r="A1462" s="12" t="s">
        <v>1281</v>
      </c>
      <c r="C1462">
        <v>341</v>
      </c>
      <c r="D1462">
        <v>1</v>
      </c>
      <c r="E1462">
        <v>0</v>
      </c>
      <c r="J1462" t="b">
        <f t="shared" si="79"/>
        <v>0</v>
      </c>
      <c r="K1462" s="2" t="s">
        <v>2519</v>
      </c>
      <c r="L1462" s="17">
        <v>1E-3</v>
      </c>
    </row>
    <row r="1463" spans="1:12" x14ac:dyDescent="0.25">
      <c r="A1463" s="12" t="s">
        <v>1282</v>
      </c>
      <c r="C1463">
        <v>341</v>
      </c>
      <c r="D1463">
        <v>1</v>
      </c>
      <c r="E1463">
        <v>0</v>
      </c>
      <c r="J1463" t="b">
        <f t="shared" si="79"/>
        <v>0</v>
      </c>
      <c r="K1463" s="2" t="s">
        <v>2519</v>
      </c>
      <c r="L1463" s="17">
        <v>1E-3</v>
      </c>
    </row>
    <row r="1464" spans="1:12" x14ac:dyDescent="0.25">
      <c r="A1464" s="12" t="s">
        <v>1283</v>
      </c>
      <c r="C1464">
        <v>341</v>
      </c>
      <c r="D1464">
        <v>1</v>
      </c>
      <c r="E1464">
        <v>0</v>
      </c>
      <c r="J1464" t="b">
        <f t="shared" si="79"/>
        <v>0</v>
      </c>
      <c r="K1464" s="2" t="s">
        <v>2519</v>
      </c>
      <c r="L1464" s="17">
        <v>1E-3</v>
      </c>
    </row>
    <row r="1465" spans="1:12" x14ac:dyDescent="0.25">
      <c r="A1465" s="12" t="s">
        <v>1284</v>
      </c>
      <c r="C1465">
        <v>341</v>
      </c>
      <c r="D1465">
        <v>1</v>
      </c>
      <c r="E1465">
        <v>0</v>
      </c>
      <c r="J1465" t="b">
        <f t="shared" si="79"/>
        <v>0</v>
      </c>
      <c r="K1465" s="2" t="s">
        <v>2519</v>
      </c>
      <c r="L1465" s="17">
        <v>1E-3</v>
      </c>
    </row>
    <row r="1466" spans="1:12" x14ac:dyDescent="0.25">
      <c r="A1466" s="12" t="s">
        <v>1285</v>
      </c>
      <c r="C1466">
        <v>341</v>
      </c>
      <c r="D1466">
        <v>1</v>
      </c>
      <c r="E1466">
        <v>0</v>
      </c>
      <c r="J1466" t="b">
        <f t="shared" si="79"/>
        <v>0</v>
      </c>
      <c r="K1466" s="2">
        <v>0.03</v>
      </c>
      <c r="L1466" s="17">
        <v>0.03</v>
      </c>
    </row>
    <row r="1467" spans="1:12" x14ac:dyDescent="0.25">
      <c r="A1467" s="12" t="s">
        <v>1286</v>
      </c>
      <c r="C1467">
        <v>341</v>
      </c>
      <c r="D1467">
        <v>1</v>
      </c>
      <c r="E1467">
        <v>0</v>
      </c>
      <c r="J1467" t="b">
        <f t="shared" si="79"/>
        <v>0</v>
      </c>
      <c r="K1467" s="2">
        <v>0.03</v>
      </c>
      <c r="L1467" s="17">
        <v>0.03</v>
      </c>
    </row>
    <row r="1468" spans="1:12" x14ac:dyDescent="0.25">
      <c r="A1468" s="12" t="s">
        <v>1287</v>
      </c>
      <c r="C1468">
        <v>341</v>
      </c>
      <c r="D1468">
        <v>1</v>
      </c>
      <c r="E1468">
        <v>0</v>
      </c>
      <c r="J1468" t="b">
        <f t="shared" si="79"/>
        <v>0</v>
      </c>
      <c r="K1468" s="2">
        <v>0.22</v>
      </c>
      <c r="L1468" s="17">
        <v>0.22</v>
      </c>
    </row>
    <row r="1469" spans="1:12" x14ac:dyDescent="0.25">
      <c r="A1469" s="12" t="s">
        <v>1288</v>
      </c>
      <c r="C1469">
        <v>341</v>
      </c>
      <c r="D1469">
        <v>1</v>
      </c>
      <c r="E1469">
        <v>0</v>
      </c>
      <c r="J1469" t="b">
        <f t="shared" si="79"/>
        <v>0</v>
      </c>
      <c r="K1469" s="2">
        <v>0.32</v>
      </c>
      <c r="L1469" s="17">
        <v>0.32</v>
      </c>
    </row>
    <row r="1470" spans="1:12" x14ac:dyDescent="0.25">
      <c r="A1470" s="12" t="s">
        <v>1289</v>
      </c>
      <c r="C1470">
        <v>341</v>
      </c>
      <c r="D1470">
        <v>1</v>
      </c>
      <c r="E1470">
        <v>0</v>
      </c>
      <c r="J1470" t="b">
        <f t="shared" si="79"/>
        <v>0</v>
      </c>
      <c r="K1470" s="2">
        <v>0.49</v>
      </c>
      <c r="L1470" s="17">
        <v>0.49</v>
      </c>
    </row>
    <row r="1471" spans="1:12" x14ac:dyDescent="0.25">
      <c r="A1471" s="12" t="s">
        <v>1290</v>
      </c>
      <c r="C1471">
        <v>341</v>
      </c>
      <c r="D1471">
        <v>2</v>
      </c>
      <c r="E1471">
        <v>0</v>
      </c>
      <c r="J1471" t="b">
        <f t="shared" si="79"/>
        <v>0</v>
      </c>
      <c r="K1471" s="2">
        <v>0.8</v>
      </c>
      <c r="L1471" s="17">
        <v>0.8</v>
      </c>
    </row>
    <row r="1472" spans="1:12" x14ac:dyDescent="0.25">
      <c r="A1472" s="12" t="s">
        <v>1291</v>
      </c>
      <c r="C1472">
        <v>341</v>
      </c>
      <c r="D1472">
        <v>1</v>
      </c>
      <c r="E1472">
        <v>0</v>
      </c>
      <c r="J1472" t="b">
        <f t="shared" si="79"/>
        <v>0</v>
      </c>
      <c r="K1472" s="2" t="s">
        <v>2519</v>
      </c>
      <c r="L1472" s="17">
        <v>1E-3</v>
      </c>
    </row>
    <row r="1473" spans="1:15" x14ac:dyDescent="0.25">
      <c r="A1473" s="12" t="s">
        <v>1292</v>
      </c>
      <c r="C1473">
        <v>341</v>
      </c>
      <c r="D1473">
        <v>1</v>
      </c>
      <c r="E1473">
        <v>0</v>
      </c>
      <c r="J1473" t="b">
        <f t="shared" si="79"/>
        <v>0</v>
      </c>
      <c r="K1473" s="2" t="s">
        <v>2535</v>
      </c>
      <c r="L1473" s="17">
        <v>1E-4</v>
      </c>
    </row>
    <row r="1474" spans="1:15" x14ac:dyDescent="0.25">
      <c r="A1474" s="12" t="s">
        <v>1293</v>
      </c>
      <c r="C1474">
        <v>345</v>
      </c>
      <c r="D1474">
        <v>1</v>
      </c>
      <c r="G1474">
        <v>62.31</v>
      </c>
      <c r="H1474">
        <v>1</v>
      </c>
      <c r="I1474">
        <v>233</v>
      </c>
      <c r="J1474">
        <f t="shared" si="79"/>
        <v>0.45934585186813021</v>
      </c>
      <c r="K1474" s="2">
        <v>0</v>
      </c>
      <c r="L1474" s="17">
        <v>0</v>
      </c>
      <c r="M1474" s="2">
        <v>1</v>
      </c>
      <c r="N1474" s="2">
        <v>0</v>
      </c>
    </row>
    <row r="1475" spans="1:15" x14ac:dyDescent="0.25">
      <c r="A1475" s="12" t="s">
        <v>1294</v>
      </c>
      <c r="C1475">
        <v>345</v>
      </c>
      <c r="D1475">
        <v>1</v>
      </c>
      <c r="E1475">
        <v>0</v>
      </c>
      <c r="J1475" t="b">
        <f t="shared" si="79"/>
        <v>0</v>
      </c>
    </row>
    <row r="1476" spans="1:15" x14ac:dyDescent="0.25">
      <c r="A1476" s="12" t="s">
        <v>1295</v>
      </c>
      <c r="C1476">
        <v>345</v>
      </c>
      <c r="D1476">
        <v>1</v>
      </c>
      <c r="G1476">
        <v>7.27</v>
      </c>
      <c r="H1476">
        <v>1</v>
      </c>
      <c r="I1476">
        <v>233</v>
      </c>
      <c r="J1476">
        <f t="shared" si="79"/>
        <v>0.17394719554070318</v>
      </c>
      <c r="K1476" s="2">
        <v>7.5199999999999998E-3</v>
      </c>
      <c r="L1476" s="17">
        <v>7.5199999999999998E-3</v>
      </c>
      <c r="M1476" s="2">
        <v>1</v>
      </c>
      <c r="N1476" s="2">
        <v>0</v>
      </c>
    </row>
    <row r="1477" spans="1:15" x14ac:dyDescent="0.25">
      <c r="A1477" s="12" t="s">
        <v>1296</v>
      </c>
      <c r="C1477">
        <v>345</v>
      </c>
      <c r="D1477">
        <v>1</v>
      </c>
      <c r="G1477">
        <v>5.09</v>
      </c>
      <c r="H1477">
        <v>1</v>
      </c>
      <c r="I1477">
        <v>233</v>
      </c>
      <c r="J1477">
        <f t="shared" si="79"/>
        <v>0.1462137829561467</v>
      </c>
      <c r="K1477" s="2">
        <v>2.5000000000000001E-2</v>
      </c>
      <c r="L1477" s="17">
        <v>2.5000000000000001E-2</v>
      </c>
      <c r="M1477" s="2">
        <v>0</v>
      </c>
      <c r="N1477" s="2">
        <f t="shared" ref="N1477:N1501" si="80">IF(M1477=0, 0)</f>
        <v>0</v>
      </c>
    </row>
    <row r="1478" spans="1:15" x14ac:dyDescent="0.25">
      <c r="A1478" s="12" t="s">
        <v>1297</v>
      </c>
      <c r="C1478">
        <v>345</v>
      </c>
      <c r="D1478">
        <v>1</v>
      </c>
      <c r="G1478">
        <v>70.88</v>
      </c>
      <c r="H1478">
        <v>1</v>
      </c>
      <c r="I1478">
        <v>233</v>
      </c>
      <c r="J1478">
        <f t="shared" si="79"/>
        <v>0.4829595915729113</v>
      </c>
      <c r="K1478" s="2">
        <v>0</v>
      </c>
      <c r="L1478" s="17">
        <v>0</v>
      </c>
      <c r="M1478" s="2">
        <v>1</v>
      </c>
      <c r="N1478" s="2">
        <v>0</v>
      </c>
    </row>
    <row r="1479" spans="1:15" x14ac:dyDescent="0.25">
      <c r="A1479" s="12" t="s">
        <v>1298</v>
      </c>
      <c r="C1479">
        <v>345</v>
      </c>
      <c r="D1479">
        <v>1</v>
      </c>
      <c r="G1479">
        <v>18.23</v>
      </c>
      <c r="H1479">
        <v>1</v>
      </c>
      <c r="I1479">
        <v>234</v>
      </c>
      <c r="J1479">
        <f t="shared" ref="J1479:J1510" si="81">IF(NOT(ISBLANK(F1479)),SQRT((F1479^2*1/H1479)/(F1479^2*1/H1479+1)),IF(NOT(ISBLANK(G1479)),SQRT((G1479*H1479/I1479)/(G1479*H1479/I1479+1)*SQRT(1/H1479))))</f>
        <v>0.26884066709813625</v>
      </c>
      <c r="K1479" s="2" t="s">
        <v>2174</v>
      </c>
      <c r="L1479" s="17">
        <v>1E-3</v>
      </c>
      <c r="M1479" s="2">
        <v>0</v>
      </c>
      <c r="N1479" s="2">
        <f t="shared" si="80"/>
        <v>0</v>
      </c>
    </row>
    <row r="1480" spans="1:15" x14ac:dyDescent="0.25">
      <c r="A1480" s="12" t="s">
        <v>1299</v>
      </c>
      <c r="C1480">
        <v>345</v>
      </c>
      <c r="D1480">
        <v>1</v>
      </c>
      <c r="G1480">
        <v>5.03</v>
      </c>
      <c r="H1480">
        <v>1</v>
      </c>
      <c r="I1480">
        <v>234</v>
      </c>
      <c r="J1480">
        <f t="shared" si="81"/>
        <v>0.14506337813414261</v>
      </c>
      <c r="K1480" s="2">
        <v>2.5999999999999999E-2</v>
      </c>
      <c r="L1480" s="17">
        <v>2.5999999999999999E-2</v>
      </c>
      <c r="M1480" s="2">
        <v>0</v>
      </c>
      <c r="N1480" s="2">
        <f t="shared" si="80"/>
        <v>0</v>
      </c>
    </row>
    <row r="1481" spans="1:15" x14ac:dyDescent="0.25">
      <c r="A1481" s="12" t="s">
        <v>1300</v>
      </c>
      <c r="C1481">
        <v>345</v>
      </c>
      <c r="D1481">
        <v>1</v>
      </c>
      <c r="G1481">
        <v>1.31</v>
      </c>
      <c r="H1481">
        <v>1</v>
      </c>
      <c r="I1481">
        <v>234</v>
      </c>
      <c r="J1481">
        <f t="shared" si="81"/>
        <v>7.4613163846034641E-2</v>
      </c>
      <c r="K1481" s="2">
        <v>0.253</v>
      </c>
      <c r="L1481" s="17">
        <v>0.253</v>
      </c>
      <c r="M1481" s="2">
        <v>0</v>
      </c>
      <c r="N1481" s="2">
        <f t="shared" si="80"/>
        <v>0</v>
      </c>
    </row>
    <row r="1482" spans="1:15" x14ac:dyDescent="0.25">
      <c r="A1482" s="12" t="s">
        <v>1301</v>
      </c>
      <c r="C1482">
        <v>345</v>
      </c>
      <c r="D1482">
        <v>1</v>
      </c>
      <c r="G1482">
        <v>4.4800000000000004</v>
      </c>
      <c r="H1482">
        <v>1</v>
      </c>
      <c r="I1482">
        <v>234</v>
      </c>
      <c r="J1482">
        <f t="shared" si="81"/>
        <v>0.13706072523476071</v>
      </c>
      <c r="K1482" s="2">
        <v>3.5000000000000003E-2</v>
      </c>
      <c r="L1482" s="17">
        <v>3.5000000000000003E-2</v>
      </c>
      <c r="M1482" s="2">
        <v>0</v>
      </c>
      <c r="N1482" s="2">
        <f t="shared" si="80"/>
        <v>0</v>
      </c>
    </row>
    <row r="1483" spans="1:15" x14ac:dyDescent="0.25">
      <c r="A1483" s="12" t="s">
        <v>1302</v>
      </c>
      <c r="C1483">
        <v>345</v>
      </c>
      <c r="D1483">
        <v>1</v>
      </c>
      <c r="G1483">
        <v>48.41</v>
      </c>
      <c r="H1483">
        <v>1</v>
      </c>
      <c r="I1483">
        <v>234</v>
      </c>
      <c r="J1483">
        <f t="shared" si="81"/>
        <v>0.41402589620109026</v>
      </c>
      <c r="K1483" s="2">
        <v>0</v>
      </c>
      <c r="L1483" s="17">
        <v>0</v>
      </c>
      <c r="M1483" s="2">
        <v>1</v>
      </c>
      <c r="N1483" s="2">
        <v>0</v>
      </c>
    </row>
    <row r="1484" spans="1:15" x14ac:dyDescent="0.25">
      <c r="A1484" s="12" t="s">
        <v>1303</v>
      </c>
      <c r="C1484">
        <v>345</v>
      </c>
      <c r="D1484">
        <v>1</v>
      </c>
      <c r="J1484" t="b">
        <f t="shared" si="81"/>
        <v>0</v>
      </c>
    </row>
    <row r="1485" spans="1:15" x14ac:dyDescent="0.25">
      <c r="A1485" s="12" t="s">
        <v>1304</v>
      </c>
      <c r="C1485">
        <v>345</v>
      </c>
      <c r="D1485">
        <v>1</v>
      </c>
      <c r="J1485" t="b">
        <f t="shared" si="81"/>
        <v>0</v>
      </c>
    </row>
    <row r="1486" spans="1:15" x14ac:dyDescent="0.25">
      <c r="A1486" s="12" t="s">
        <v>1305</v>
      </c>
      <c r="C1486">
        <v>347</v>
      </c>
      <c r="D1486">
        <v>1</v>
      </c>
      <c r="G1486">
        <v>4.47</v>
      </c>
      <c r="H1486">
        <v>2</v>
      </c>
      <c r="I1486">
        <v>162</v>
      </c>
      <c r="J1486">
        <f t="shared" si="81"/>
        <v>0.19230448390583557</v>
      </c>
      <c r="K1486" s="2">
        <v>0.01</v>
      </c>
      <c r="L1486" s="17">
        <v>0.01</v>
      </c>
      <c r="M1486" s="2" t="s">
        <v>2558</v>
      </c>
      <c r="N1486" s="2" t="s">
        <v>2558</v>
      </c>
      <c r="O1486" s="4" t="s">
        <v>2280</v>
      </c>
    </row>
    <row r="1487" spans="1:15" x14ac:dyDescent="0.25">
      <c r="A1487" s="12" t="s">
        <v>1306</v>
      </c>
      <c r="C1487">
        <v>347</v>
      </c>
      <c r="D1487">
        <v>1</v>
      </c>
      <c r="E1487">
        <v>0</v>
      </c>
      <c r="J1487" t="b">
        <f t="shared" si="81"/>
        <v>0</v>
      </c>
      <c r="K1487" s="2">
        <v>0.54</v>
      </c>
      <c r="L1487" s="17">
        <v>0.54</v>
      </c>
    </row>
    <row r="1488" spans="1:15" x14ac:dyDescent="0.25">
      <c r="A1488" s="12" t="s">
        <v>1307</v>
      </c>
      <c r="C1488">
        <v>347</v>
      </c>
      <c r="D1488">
        <v>1</v>
      </c>
      <c r="E1488">
        <v>0</v>
      </c>
      <c r="J1488" t="b">
        <f t="shared" si="81"/>
        <v>0</v>
      </c>
      <c r="K1488" s="2">
        <v>0.15</v>
      </c>
      <c r="L1488" s="17">
        <v>0.15</v>
      </c>
    </row>
    <row r="1489" spans="1:14" x14ac:dyDescent="0.25">
      <c r="A1489" s="12" t="s">
        <v>1308</v>
      </c>
      <c r="C1489">
        <v>350</v>
      </c>
      <c r="D1489">
        <v>1</v>
      </c>
      <c r="F1489">
        <v>0.46</v>
      </c>
      <c r="H1489">
        <v>19</v>
      </c>
      <c r="J1489">
        <f t="shared" si="81"/>
        <v>0.10494845846205163</v>
      </c>
      <c r="K1489" s="2">
        <v>0.65</v>
      </c>
      <c r="L1489" s="17">
        <v>0.65</v>
      </c>
      <c r="M1489" s="2">
        <v>0</v>
      </c>
      <c r="N1489" s="2">
        <f t="shared" si="80"/>
        <v>0</v>
      </c>
    </row>
    <row r="1490" spans="1:14" x14ac:dyDescent="0.25">
      <c r="A1490" s="12" t="s">
        <v>1309</v>
      </c>
      <c r="C1490">
        <v>350</v>
      </c>
      <c r="D1490">
        <v>1</v>
      </c>
      <c r="G1490">
        <v>9.81</v>
      </c>
      <c r="H1490">
        <v>1.69</v>
      </c>
      <c r="I1490">
        <v>32.11</v>
      </c>
      <c r="J1490">
        <f t="shared" si="81"/>
        <v>0.51178929594960165</v>
      </c>
      <c r="K1490" s="2">
        <v>8.0000000000000004E-4</v>
      </c>
      <c r="L1490" s="17">
        <v>8.0000000000000004E-4</v>
      </c>
      <c r="M1490" s="2">
        <v>0</v>
      </c>
      <c r="N1490" s="2">
        <f t="shared" si="80"/>
        <v>0</v>
      </c>
    </row>
    <row r="1491" spans="1:14" x14ac:dyDescent="0.25">
      <c r="A1491" s="12" t="s">
        <v>1310</v>
      </c>
      <c r="C1491">
        <v>350</v>
      </c>
      <c r="D1491">
        <v>1</v>
      </c>
      <c r="E1491">
        <v>0</v>
      </c>
      <c r="J1491" t="b">
        <f t="shared" si="81"/>
        <v>0</v>
      </c>
      <c r="K1491" s="2">
        <v>1E-3</v>
      </c>
      <c r="L1491" s="17">
        <v>1E-3</v>
      </c>
    </row>
    <row r="1492" spans="1:14" x14ac:dyDescent="0.25">
      <c r="A1492" s="12" t="s">
        <v>1311</v>
      </c>
      <c r="C1492">
        <v>350</v>
      </c>
      <c r="D1492">
        <v>1</v>
      </c>
      <c r="E1492">
        <v>0</v>
      </c>
      <c r="J1492" t="b">
        <f t="shared" si="81"/>
        <v>0</v>
      </c>
      <c r="K1492" s="2">
        <v>1.0000000000000001E-5</v>
      </c>
      <c r="L1492" s="17">
        <v>1.0000000000000001E-5</v>
      </c>
    </row>
    <row r="1493" spans="1:14" x14ac:dyDescent="0.25">
      <c r="A1493" s="12" t="s">
        <v>1312</v>
      </c>
      <c r="C1493">
        <v>350</v>
      </c>
      <c r="D1493">
        <v>1</v>
      </c>
      <c r="G1493">
        <v>7.17</v>
      </c>
      <c r="H1493">
        <v>4.0999999999999996</v>
      </c>
      <c r="I1493">
        <v>77.97</v>
      </c>
      <c r="J1493">
        <f t="shared" si="81"/>
        <v>0.36772243967395873</v>
      </c>
      <c r="K1493" s="2">
        <v>5.0000000000000002E-5</v>
      </c>
      <c r="L1493" s="17">
        <v>5.0000000000000002E-5</v>
      </c>
      <c r="M1493" s="2">
        <v>0</v>
      </c>
      <c r="N1493" s="2">
        <f t="shared" si="80"/>
        <v>0</v>
      </c>
    </row>
    <row r="1494" spans="1:14" x14ac:dyDescent="0.25">
      <c r="A1494" s="12" t="s">
        <v>1313</v>
      </c>
      <c r="C1494">
        <v>350</v>
      </c>
      <c r="D1494">
        <v>1</v>
      </c>
      <c r="G1494">
        <v>3.32</v>
      </c>
      <c r="H1494">
        <v>4.2300000000000004</v>
      </c>
      <c r="I1494">
        <v>80.400000000000006</v>
      </c>
      <c r="J1494">
        <f t="shared" si="81"/>
        <v>0.26888579975795129</v>
      </c>
      <c r="K1494" s="2">
        <v>0.01</v>
      </c>
      <c r="L1494" s="17">
        <v>0.01</v>
      </c>
      <c r="M1494" s="2">
        <v>0</v>
      </c>
      <c r="N1494" s="2">
        <f t="shared" si="80"/>
        <v>0</v>
      </c>
    </row>
    <row r="1495" spans="1:14" x14ac:dyDescent="0.25">
      <c r="A1495" s="12" t="s">
        <v>1314</v>
      </c>
      <c r="C1495">
        <v>350</v>
      </c>
      <c r="D1495">
        <v>1</v>
      </c>
      <c r="G1495">
        <v>5.97</v>
      </c>
      <c r="H1495">
        <v>1.35</v>
      </c>
      <c r="I1495">
        <v>25.62</v>
      </c>
      <c r="J1495">
        <f t="shared" si="81"/>
        <v>0.4538243454901395</v>
      </c>
      <c r="K1495" s="2">
        <v>1.4999999999999999E-2</v>
      </c>
      <c r="L1495" s="17">
        <v>1.4999999999999999E-2</v>
      </c>
      <c r="M1495" s="2">
        <v>0</v>
      </c>
      <c r="N1495" s="2">
        <f t="shared" si="80"/>
        <v>0</v>
      </c>
    </row>
    <row r="1496" spans="1:14" x14ac:dyDescent="0.25">
      <c r="A1496" s="12" t="s">
        <v>1315</v>
      </c>
      <c r="C1496">
        <v>350</v>
      </c>
      <c r="D1496">
        <v>1</v>
      </c>
      <c r="E1496">
        <v>0</v>
      </c>
      <c r="J1496" t="b">
        <f t="shared" si="81"/>
        <v>0</v>
      </c>
      <c r="K1496" s="2">
        <v>0.04</v>
      </c>
      <c r="L1496" s="17">
        <v>0.04</v>
      </c>
    </row>
    <row r="1497" spans="1:14" x14ac:dyDescent="0.25">
      <c r="A1497" s="12" t="s">
        <v>1316</v>
      </c>
      <c r="C1497">
        <v>350</v>
      </c>
      <c r="D1497">
        <v>1</v>
      </c>
      <c r="E1497">
        <v>0</v>
      </c>
      <c r="J1497" t="b">
        <f t="shared" si="81"/>
        <v>0</v>
      </c>
      <c r="K1497" s="2">
        <v>7.0000000000000001E-3</v>
      </c>
      <c r="L1497" s="17">
        <v>7.0000000000000001E-3</v>
      </c>
    </row>
    <row r="1498" spans="1:14" x14ac:dyDescent="0.25">
      <c r="A1498" s="12" t="s">
        <v>1317</v>
      </c>
      <c r="C1498">
        <v>350</v>
      </c>
      <c r="D1498">
        <v>1</v>
      </c>
      <c r="E1498">
        <v>0</v>
      </c>
      <c r="J1498" t="b">
        <f t="shared" si="81"/>
        <v>0</v>
      </c>
      <c r="K1498" s="2">
        <v>9.9999999999999995E-7</v>
      </c>
      <c r="L1498" s="17">
        <v>9.9999999999999995E-7</v>
      </c>
    </row>
    <row r="1499" spans="1:14" x14ac:dyDescent="0.25">
      <c r="A1499" s="12" t="s">
        <v>1318</v>
      </c>
      <c r="C1499">
        <v>350</v>
      </c>
      <c r="D1499">
        <v>1</v>
      </c>
      <c r="E1499">
        <v>0</v>
      </c>
      <c r="J1499" t="b">
        <f t="shared" si="81"/>
        <v>0</v>
      </c>
      <c r="K1499" s="2">
        <v>1.0000000000000001E-5</v>
      </c>
      <c r="L1499" s="17">
        <v>1.0000000000000001E-5</v>
      </c>
    </row>
    <row r="1500" spans="1:14" x14ac:dyDescent="0.25">
      <c r="A1500" s="12" t="s">
        <v>1319</v>
      </c>
      <c r="C1500">
        <v>350</v>
      </c>
      <c r="D1500">
        <v>1</v>
      </c>
      <c r="G1500">
        <v>5.29</v>
      </c>
      <c r="H1500">
        <v>2.04</v>
      </c>
      <c r="I1500">
        <v>38.83</v>
      </c>
      <c r="J1500">
        <f t="shared" si="81"/>
        <v>0.39021143860327379</v>
      </c>
      <c r="K1500" s="2">
        <v>8.9999999999999993E-3</v>
      </c>
      <c r="L1500" s="17">
        <v>8.9999999999999993E-3</v>
      </c>
      <c r="M1500" s="2">
        <v>0</v>
      </c>
      <c r="N1500" s="2">
        <f t="shared" si="80"/>
        <v>0</v>
      </c>
    </row>
    <row r="1501" spans="1:14" x14ac:dyDescent="0.25">
      <c r="A1501" s="12" t="s">
        <v>1320</v>
      </c>
      <c r="C1501">
        <v>350</v>
      </c>
      <c r="D1501">
        <v>1</v>
      </c>
      <c r="G1501">
        <v>14.23</v>
      </c>
      <c r="H1501">
        <v>1</v>
      </c>
      <c r="I1501">
        <v>5</v>
      </c>
      <c r="J1501">
        <f t="shared" si="81"/>
        <v>0.86022648156400261</v>
      </c>
      <c r="K1501" s="2">
        <v>0.01</v>
      </c>
      <c r="L1501" s="17">
        <v>0.01</v>
      </c>
      <c r="M1501" s="2">
        <v>0</v>
      </c>
      <c r="N1501" s="2">
        <f t="shared" si="80"/>
        <v>0</v>
      </c>
    </row>
    <row r="1502" spans="1:14" x14ac:dyDescent="0.25">
      <c r="A1502" s="12" t="s">
        <v>1321</v>
      </c>
      <c r="C1502">
        <v>350</v>
      </c>
      <c r="D1502">
        <v>1</v>
      </c>
      <c r="G1502">
        <v>2.37</v>
      </c>
      <c r="H1502">
        <v>1</v>
      </c>
      <c r="I1502">
        <v>5</v>
      </c>
      <c r="J1502">
        <f t="shared" si="81"/>
        <v>0.56707490549275774</v>
      </c>
      <c r="K1502" s="2">
        <v>0.18</v>
      </c>
      <c r="L1502" s="17">
        <v>0.18</v>
      </c>
      <c r="M1502" s="2">
        <v>0</v>
      </c>
      <c r="N1502" s="2">
        <f t="shared" ref="N1502:N1565" si="82">IF(M1502=0, 0)</f>
        <v>0</v>
      </c>
    </row>
    <row r="1503" spans="1:14" x14ac:dyDescent="0.25">
      <c r="A1503" s="12" t="s">
        <v>1322</v>
      </c>
      <c r="C1503">
        <v>350</v>
      </c>
      <c r="D1503">
        <v>1</v>
      </c>
      <c r="E1503">
        <v>0</v>
      </c>
      <c r="J1503" t="b">
        <f t="shared" si="81"/>
        <v>0</v>
      </c>
      <c r="K1503" s="2">
        <v>2.5000000000000001E-2</v>
      </c>
      <c r="L1503" s="17">
        <v>2.5000000000000001E-2</v>
      </c>
    </row>
    <row r="1504" spans="1:14" x14ac:dyDescent="0.25">
      <c r="A1504" s="12" t="s">
        <v>1323</v>
      </c>
      <c r="C1504">
        <v>350</v>
      </c>
      <c r="D1504">
        <v>1</v>
      </c>
      <c r="E1504">
        <v>0</v>
      </c>
      <c r="J1504" t="b">
        <f t="shared" si="81"/>
        <v>0</v>
      </c>
      <c r="K1504" s="2">
        <v>0.13</v>
      </c>
      <c r="L1504" s="17">
        <v>0.13</v>
      </c>
    </row>
    <row r="1505" spans="1:15" x14ac:dyDescent="0.25">
      <c r="A1505" s="12" t="s">
        <v>1324</v>
      </c>
      <c r="C1505">
        <v>350</v>
      </c>
      <c r="D1505">
        <v>1</v>
      </c>
      <c r="E1505">
        <v>0</v>
      </c>
      <c r="J1505" t="b">
        <f t="shared" si="81"/>
        <v>0</v>
      </c>
      <c r="K1505" s="2">
        <v>1E-3</v>
      </c>
      <c r="L1505" s="17">
        <v>1E-3</v>
      </c>
    </row>
    <row r="1506" spans="1:15" x14ac:dyDescent="0.25">
      <c r="A1506" s="12" t="s">
        <v>1325</v>
      </c>
      <c r="C1506">
        <v>350</v>
      </c>
      <c r="D1506">
        <v>1</v>
      </c>
      <c r="E1506">
        <v>0</v>
      </c>
      <c r="J1506" t="b">
        <f t="shared" si="81"/>
        <v>0</v>
      </c>
      <c r="K1506" s="2">
        <v>9.9999999999999995E-7</v>
      </c>
      <c r="L1506" s="17">
        <v>9.9999999999999995E-7</v>
      </c>
    </row>
    <row r="1507" spans="1:15" x14ac:dyDescent="0.25">
      <c r="A1507" s="12" t="s">
        <v>1326</v>
      </c>
      <c r="C1507">
        <v>350</v>
      </c>
      <c r="D1507">
        <v>1</v>
      </c>
      <c r="E1507">
        <v>0</v>
      </c>
      <c r="J1507" t="b">
        <f t="shared" si="81"/>
        <v>0</v>
      </c>
      <c r="K1507" s="2">
        <v>7.9999999999999996E-6</v>
      </c>
      <c r="L1507" s="17">
        <v>7.9999999999999996E-6</v>
      </c>
    </row>
    <row r="1508" spans="1:15" x14ac:dyDescent="0.25">
      <c r="A1508" s="12" t="s">
        <v>1327</v>
      </c>
      <c r="C1508">
        <v>350</v>
      </c>
      <c r="D1508">
        <v>1</v>
      </c>
      <c r="E1508">
        <v>0</v>
      </c>
      <c r="J1508" t="b">
        <f t="shared" si="81"/>
        <v>0</v>
      </c>
      <c r="K1508" s="2">
        <v>9.9999999999999995E-7</v>
      </c>
      <c r="L1508" s="17">
        <v>9.9999999999999995E-7</v>
      </c>
    </row>
    <row r="1509" spans="1:15" x14ac:dyDescent="0.25">
      <c r="A1509" s="12" t="s">
        <v>1328</v>
      </c>
      <c r="C1509">
        <v>350</v>
      </c>
      <c r="D1509">
        <v>1</v>
      </c>
      <c r="E1509">
        <v>0</v>
      </c>
      <c r="J1509" t="b">
        <f t="shared" si="81"/>
        <v>0</v>
      </c>
      <c r="K1509" s="2">
        <v>1.12E-4</v>
      </c>
      <c r="L1509" s="17">
        <v>1.12E-4</v>
      </c>
    </row>
    <row r="1510" spans="1:15" x14ac:dyDescent="0.25">
      <c r="A1510" s="12" t="s">
        <v>1329</v>
      </c>
      <c r="C1510">
        <v>350</v>
      </c>
      <c r="D1510">
        <v>1</v>
      </c>
      <c r="G1510">
        <v>35.24</v>
      </c>
      <c r="H1510">
        <v>1.23</v>
      </c>
      <c r="I1510">
        <v>23.29</v>
      </c>
      <c r="J1510">
        <f t="shared" si="81"/>
        <v>0.7658476339293897</v>
      </c>
      <c r="K1510" s="2">
        <v>1.9999999999999999E-6</v>
      </c>
      <c r="L1510" s="17">
        <v>1.9999999999999999E-6</v>
      </c>
      <c r="M1510" s="2">
        <v>0</v>
      </c>
      <c r="N1510" s="2">
        <f t="shared" si="82"/>
        <v>0</v>
      </c>
    </row>
    <row r="1511" spans="1:15" x14ac:dyDescent="0.25">
      <c r="A1511" s="12" t="s">
        <v>1330</v>
      </c>
      <c r="C1511">
        <v>350</v>
      </c>
      <c r="D1511">
        <v>1</v>
      </c>
      <c r="E1511">
        <v>0</v>
      </c>
      <c r="J1511" t="b">
        <f t="shared" ref="J1511:J1531" si="83">IF(NOT(ISBLANK(F1511)),SQRT((F1511^2*1/H1511)/(F1511^2*1/H1511+1)),IF(NOT(ISBLANK(G1511)),SQRT((G1511*H1511/I1511)/(G1511*H1511/I1511+1)*SQRT(1/H1511))))</f>
        <v>0</v>
      </c>
      <c r="K1511" s="2">
        <v>1.55E-4</v>
      </c>
      <c r="L1511" s="17">
        <v>1.55E-4</v>
      </c>
    </row>
    <row r="1512" spans="1:15" x14ac:dyDescent="0.25">
      <c r="A1512" s="12" t="s">
        <v>1331</v>
      </c>
      <c r="C1512">
        <v>350</v>
      </c>
      <c r="D1512">
        <v>1</v>
      </c>
      <c r="J1512" t="b">
        <f t="shared" si="83"/>
        <v>0</v>
      </c>
      <c r="K1512" s="2">
        <v>7.9999999999999996E-6</v>
      </c>
      <c r="L1512" s="17">
        <v>7.9999999999999996E-6</v>
      </c>
    </row>
    <row r="1513" spans="1:15" x14ac:dyDescent="0.25">
      <c r="A1513" s="12" t="s">
        <v>1332</v>
      </c>
      <c r="C1513">
        <v>350</v>
      </c>
      <c r="D1513">
        <v>1</v>
      </c>
      <c r="G1513">
        <v>32.270000000000003</v>
      </c>
      <c r="H1513">
        <v>2.11</v>
      </c>
      <c r="I1513">
        <v>40.119999999999997</v>
      </c>
      <c r="J1513">
        <f t="shared" si="83"/>
        <v>0.65816835896746251</v>
      </c>
      <c r="K1513" s="2" t="s">
        <v>2265</v>
      </c>
      <c r="L1513" s="17">
        <v>9.9999999999999995E-7</v>
      </c>
      <c r="M1513" s="2" t="s">
        <v>2558</v>
      </c>
      <c r="N1513" s="2" t="s">
        <v>2558</v>
      </c>
      <c r="O1513" t="s">
        <v>2135</v>
      </c>
    </row>
    <row r="1514" spans="1:15" x14ac:dyDescent="0.25">
      <c r="A1514" s="12" t="s">
        <v>1333</v>
      </c>
      <c r="C1514">
        <v>350</v>
      </c>
      <c r="D1514">
        <v>1</v>
      </c>
      <c r="G1514">
        <v>16.61</v>
      </c>
      <c r="H1514">
        <v>1.45</v>
      </c>
      <c r="I1514">
        <v>27.63</v>
      </c>
      <c r="J1514">
        <f t="shared" si="83"/>
        <v>0.62190013594043625</v>
      </c>
      <c r="K1514" s="2">
        <v>7.7999999999999999E-5</v>
      </c>
      <c r="L1514" s="17">
        <v>7.7999999999999999E-5</v>
      </c>
      <c r="M1514" s="2">
        <v>0</v>
      </c>
      <c r="N1514" s="2">
        <f t="shared" si="82"/>
        <v>0</v>
      </c>
    </row>
    <row r="1515" spans="1:15" x14ac:dyDescent="0.25">
      <c r="A1515" s="12" t="s">
        <v>1334</v>
      </c>
      <c r="C1515">
        <v>350</v>
      </c>
      <c r="D1515">
        <v>1</v>
      </c>
      <c r="G1515">
        <v>13.27</v>
      </c>
      <c r="H1515">
        <v>3.13</v>
      </c>
      <c r="I1515">
        <v>59.42</v>
      </c>
      <c r="J1515">
        <f t="shared" si="83"/>
        <v>0.48223354144294905</v>
      </c>
      <c r="K1515" s="2">
        <v>9.9999999999999995E-7</v>
      </c>
      <c r="L1515" s="17">
        <v>9.9999999999999995E-7</v>
      </c>
      <c r="M1515" s="2">
        <v>0</v>
      </c>
      <c r="N1515" s="2">
        <f t="shared" si="82"/>
        <v>0</v>
      </c>
    </row>
    <row r="1516" spans="1:15" x14ac:dyDescent="0.25">
      <c r="A1516" s="12" t="s">
        <v>1335</v>
      </c>
      <c r="C1516">
        <v>350</v>
      </c>
      <c r="D1516">
        <v>1</v>
      </c>
      <c r="G1516">
        <v>4.05</v>
      </c>
      <c r="H1516">
        <v>1.41</v>
      </c>
      <c r="I1516">
        <v>26.72</v>
      </c>
      <c r="J1516">
        <f t="shared" si="83"/>
        <v>0.38508399396165854</v>
      </c>
      <c r="K1516" s="2">
        <v>0.04</v>
      </c>
      <c r="L1516" s="17">
        <v>0.04</v>
      </c>
      <c r="M1516" s="2">
        <v>0</v>
      </c>
      <c r="N1516" s="2">
        <f t="shared" si="82"/>
        <v>0</v>
      </c>
    </row>
    <row r="1517" spans="1:15" x14ac:dyDescent="0.25">
      <c r="A1517" s="12" t="s">
        <v>1336</v>
      </c>
      <c r="C1517">
        <v>350</v>
      </c>
      <c r="D1517">
        <v>1</v>
      </c>
      <c r="G1517">
        <v>4.1500000000000004</v>
      </c>
      <c r="H1517">
        <v>2.5499999999999998</v>
      </c>
      <c r="I1517">
        <v>48.55</v>
      </c>
      <c r="J1517">
        <f t="shared" si="83"/>
        <v>0.334769569050687</v>
      </c>
      <c r="K1517" s="2">
        <v>0.01</v>
      </c>
      <c r="L1517" s="17">
        <v>0.01</v>
      </c>
      <c r="M1517" s="2">
        <v>0</v>
      </c>
      <c r="N1517" s="2">
        <f t="shared" si="82"/>
        <v>0</v>
      </c>
    </row>
    <row r="1518" spans="1:15" x14ac:dyDescent="0.25">
      <c r="A1518" s="12" t="s">
        <v>1337</v>
      </c>
      <c r="C1518">
        <v>350</v>
      </c>
      <c r="D1518">
        <v>1</v>
      </c>
      <c r="E1518">
        <v>0</v>
      </c>
      <c r="J1518" t="b">
        <f t="shared" si="83"/>
        <v>0</v>
      </c>
      <c r="K1518" s="2">
        <v>3.0000000000000001E-3</v>
      </c>
      <c r="L1518" s="17">
        <v>3.0000000000000001E-3</v>
      </c>
    </row>
    <row r="1519" spans="1:15" x14ac:dyDescent="0.25">
      <c r="A1519" s="12" t="s">
        <v>1338</v>
      </c>
      <c r="C1519">
        <v>350</v>
      </c>
      <c r="D1519">
        <v>1</v>
      </c>
      <c r="E1519">
        <v>0</v>
      </c>
      <c r="J1519" t="b">
        <f t="shared" si="83"/>
        <v>0</v>
      </c>
      <c r="K1519" s="2">
        <v>0.03</v>
      </c>
      <c r="L1519" s="17">
        <v>0.03</v>
      </c>
    </row>
    <row r="1520" spans="1:15" x14ac:dyDescent="0.25">
      <c r="A1520" s="12" t="s">
        <v>1339</v>
      </c>
      <c r="C1520">
        <v>350</v>
      </c>
      <c r="D1520">
        <v>1</v>
      </c>
      <c r="E1520">
        <v>0</v>
      </c>
      <c r="J1520" t="b">
        <f t="shared" si="83"/>
        <v>0</v>
      </c>
      <c r="K1520" s="2">
        <v>0.01</v>
      </c>
      <c r="L1520" s="17">
        <v>0.01</v>
      </c>
    </row>
    <row r="1521" spans="1:16" x14ac:dyDescent="0.25">
      <c r="A1521" s="12" t="s">
        <v>1340</v>
      </c>
      <c r="C1521">
        <v>350</v>
      </c>
      <c r="D1521">
        <v>1</v>
      </c>
      <c r="E1521">
        <v>0</v>
      </c>
      <c r="J1521" t="b">
        <f t="shared" si="83"/>
        <v>0</v>
      </c>
      <c r="K1521" s="2">
        <v>2E-3</v>
      </c>
      <c r="L1521" s="17">
        <v>2E-3</v>
      </c>
    </row>
    <row r="1522" spans="1:16" x14ac:dyDescent="0.25">
      <c r="A1522" s="12" t="s">
        <v>1341</v>
      </c>
      <c r="C1522">
        <v>355</v>
      </c>
      <c r="D1522">
        <v>1</v>
      </c>
      <c r="G1522">
        <v>569.84</v>
      </c>
      <c r="H1522">
        <v>1</v>
      </c>
      <c r="I1522">
        <v>45</v>
      </c>
      <c r="J1522">
        <f t="shared" si="83"/>
        <v>0.96270983533510246</v>
      </c>
      <c r="K1522" s="2" t="s">
        <v>2517</v>
      </c>
      <c r="L1522" s="17">
        <v>1E-3</v>
      </c>
      <c r="M1522" s="2">
        <v>0</v>
      </c>
      <c r="N1522" s="2">
        <f t="shared" si="82"/>
        <v>0</v>
      </c>
    </row>
    <row r="1523" spans="1:16" x14ac:dyDescent="0.25">
      <c r="A1523" s="12" t="s">
        <v>1342</v>
      </c>
      <c r="C1523">
        <v>355</v>
      </c>
      <c r="D1523">
        <v>1</v>
      </c>
      <c r="G1523">
        <v>85.33</v>
      </c>
      <c r="H1523">
        <v>1</v>
      </c>
      <c r="I1523">
        <v>45</v>
      </c>
      <c r="J1523">
        <f t="shared" si="83"/>
        <v>0.80914932316425114</v>
      </c>
      <c r="K1523" s="2" t="s">
        <v>2519</v>
      </c>
      <c r="L1523" s="17">
        <v>1E-3</v>
      </c>
      <c r="M1523" s="2">
        <v>0</v>
      </c>
      <c r="N1523" s="2">
        <f t="shared" si="82"/>
        <v>0</v>
      </c>
    </row>
    <row r="1524" spans="1:16" x14ac:dyDescent="0.25">
      <c r="A1524" s="12" t="s">
        <v>1343</v>
      </c>
      <c r="C1524">
        <v>355</v>
      </c>
      <c r="D1524">
        <v>1</v>
      </c>
      <c r="G1524">
        <v>33.549999999999997</v>
      </c>
      <c r="H1524">
        <v>1</v>
      </c>
      <c r="I1524">
        <v>45</v>
      </c>
      <c r="J1524">
        <f t="shared" si="83"/>
        <v>0.65354149548016416</v>
      </c>
      <c r="K1524" s="2" t="s">
        <v>2517</v>
      </c>
      <c r="L1524" s="17">
        <v>1E-3</v>
      </c>
      <c r="M1524" s="2">
        <v>0</v>
      </c>
      <c r="N1524" s="2">
        <f t="shared" si="82"/>
        <v>0</v>
      </c>
    </row>
    <row r="1525" spans="1:16" x14ac:dyDescent="0.25">
      <c r="A1525" s="12" t="s">
        <v>1344</v>
      </c>
      <c r="C1525">
        <v>355</v>
      </c>
      <c r="D1525">
        <v>1</v>
      </c>
      <c r="G1525">
        <v>6.41</v>
      </c>
      <c r="H1525">
        <v>10</v>
      </c>
      <c r="I1525">
        <v>450</v>
      </c>
      <c r="J1525">
        <f t="shared" si="83"/>
        <v>0.19856614884512425</v>
      </c>
      <c r="K1525" s="2" t="s">
        <v>2517</v>
      </c>
      <c r="L1525" s="17">
        <v>1E-3</v>
      </c>
      <c r="M1525" s="2">
        <v>0</v>
      </c>
      <c r="N1525" s="2">
        <f t="shared" si="82"/>
        <v>0</v>
      </c>
    </row>
    <row r="1526" spans="1:16" x14ac:dyDescent="0.25">
      <c r="A1526" s="12" t="s">
        <v>1345</v>
      </c>
      <c r="C1526">
        <v>355</v>
      </c>
      <c r="D1526">
        <v>1</v>
      </c>
      <c r="G1526">
        <v>3.28</v>
      </c>
      <c r="H1526">
        <v>1</v>
      </c>
      <c r="I1526">
        <v>45</v>
      </c>
      <c r="J1526">
        <f t="shared" si="83"/>
        <v>0.26064733639252285</v>
      </c>
      <c r="K1526" s="2">
        <v>7.6999999999999999E-2</v>
      </c>
      <c r="L1526" s="17">
        <v>7.6999999999999999E-2</v>
      </c>
      <c r="M1526" s="2">
        <v>0</v>
      </c>
      <c r="N1526" s="2">
        <f t="shared" si="82"/>
        <v>0</v>
      </c>
    </row>
    <row r="1527" spans="1:16" x14ac:dyDescent="0.25">
      <c r="A1527" s="12" t="s">
        <v>1346</v>
      </c>
      <c r="C1527">
        <v>355</v>
      </c>
      <c r="D1527">
        <v>1</v>
      </c>
      <c r="G1527">
        <v>10.28</v>
      </c>
      <c r="H1527">
        <v>10</v>
      </c>
      <c r="I1527">
        <v>450</v>
      </c>
      <c r="J1527">
        <f t="shared" si="83"/>
        <v>0.24250044514308189</v>
      </c>
      <c r="K1527" s="2" t="s">
        <v>2519</v>
      </c>
      <c r="L1527" s="17">
        <v>1E-3</v>
      </c>
      <c r="M1527" s="2">
        <v>0</v>
      </c>
      <c r="N1527" s="2">
        <f t="shared" si="82"/>
        <v>0</v>
      </c>
    </row>
    <row r="1528" spans="1:16" x14ac:dyDescent="0.25">
      <c r="A1528" s="12" t="s">
        <v>1347</v>
      </c>
      <c r="C1528">
        <v>355</v>
      </c>
      <c r="D1528">
        <v>1</v>
      </c>
      <c r="E1528">
        <v>0</v>
      </c>
      <c r="J1528" t="b">
        <f t="shared" si="83"/>
        <v>0</v>
      </c>
    </row>
    <row r="1529" spans="1:16" x14ac:dyDescent="0.25">
      <c r="A1529" s="12" t="s">
        <v>1348</v>
      </c>
      <c r="C1529">
        <v>355</v>
      </c>
      <c r="D1529">
        <v>1</v>
      </c>
      <c r="G1529">
        <v>3.88</v>
      </c>
      <c r="H1529">
        <v>10</v>
      </c>
      <c r="I1529">
        <v>450</v>
      </c>
      <c r="J1529">
        <f t="shared" si="83"/>
        <v>0.1584346848019989</v>
      </c>
      <c r="K1529" s="2">
        <v>5.0000000000000002E-5</v>
      </c>
      <c r="L1529" s="17">
        <v>5.0000000000000002E-5</v>
      </c>
      <c r="M1529" s="2">
        <v>1</v>
      </c>
      <c r="N1529" s="2">
        <v>0</v>
      </c>
    </row>
    <row r="1530" spans="1:16" x14ac:dyDescent="0.25">
      <c r="A1530" s="12" t="s">
        <v>1349</v>
      </c>
      <c r="C1530">
        <v>355</v>
      </c>
      <c r="D1530">
        <v>1</v>
      </c>
      <c r="G1530">
        <v>6.84</v>
      </c>
      <c r="H1530">
        <v>1</v>
      </c>
      <c r="I1530">
        <v>45</v>
      </c>
      <c r="J1530">
        <f t="shared" si="83"/>
        <v>0.36324157862838946</v>
      </c>
      <c r="K1530" s="2">
        <v>1.2E-2</v>
      </c>
      <c r="L1530" s="17">
        <v>1.2E-2</v>
      </c>
      <c r="M1530" s="2">
        <v>0</v>
      </c>
      <c r="N1530" s="2">
        <f t="shared" si="82"/>
        <v>0</v>
      </c>
    </row>
    <row r="1531" spans="1:16" x14ac:dyDescent="0.25">
      <c r="A1531" s="12" t="s">
        <v>1350</v>
      </c>
      <c r="C1531">
        <v>355</v>
      </c>
      <c r="D1531">
        <v>1</v>
      </c>
      <c r="G1531">
        <v>4.16</v>
      </c>
      <c r="H1531">
        <v>10</v>
      </c>
      <c r="I1531">
        <v>450</v>
      </c>
      <c r="J1531">
        <f t="shared" si="83"/>
        <v>0.1635839641172539</v>
      </c>
      <c r="K1531" s="2">
        <v>2.0000000000000002E-5</v>
      </c>
      <c r="L1531" s="17">
        <v>2.0000000000000002E-5</v>
      </c>
      <c r="M1531" s="2">
        <v>1</v>
      </c>
      <c r="N1531" s="2">
        <v>0</v>
      </c>
    </row>
    <row r="1532" spans="1:16" x14ac:dyDescent="0.25">
      <c r="A1532" s="12" t="s">
        <v>1351</v>
      </c>
      <c r="C1532">
        <v>355</v>
      </c>
      <c r="D1532">
        <v>1</v>
      </c>
      <c r="J1532">
        <v>-0.28899999999999998</v>
      </c>
      <c r="K1532" s="2">
        <v>4.9000000000000002E-2</v>
      </c>
      <c r="L1532" s="17">
        <v>4.9000000000000002E-2</v>
      </c>
      <c r="P1532" s="2" t="s">
        <v>2560</v>
      </c>
    </row>
    <row r="1533" spans="1:16" x14ac:dyDescent="0.25">
      <c r="A1533" s="12" t="s">
        <v>1352</v>
      </c>
      <c r="C1533">
        <v>355</v>
      </c>
      <c r="D1533">
        <v>1</v>
      </c>
      <c r="F1533">
        <v>-1.99</v>
      </c>
      <c r="H1533">
        <v>21</v>
      </c>
      <c r="J1533">
        <f>IF(NOT(ISBLANK(F1533)),SQRT((F1533^2*1/H1533)/(F1533^2*1/H1533+1)),IF(NOT(ISBLANK(G1533)),SQRT((G1533*H1533/I1533)/(G1533*H1533/I1533+1)*SQRT(1/H1533))))</f>
        <v>0.39831798467832386</v>
      </c>
      <c r="K1533" s="2">
        <v>5.1999999999999998E-2</v>
      </c>
      <c r="L1533" s="17">
        <v>5.1999999999999998E-2</v>
      </c>
      <c r="M1533" s="2" t="s">
        <v>2558</v>
      </c>
      <c r="N1533" s="2" t="s">
        <v>2558</v>
      </c>
      <c r="O1533" t="s">
        <v>2266</v>
      </c>
    </row>
    <row r="1534" spans="1:16" x14ac:dyDescent="0.25">
      <c r="A1534" s="12" t="s">
        <v>1353</v>
      </c>
      <c r="C1534">
        <v>355</v>
      </c>
      <c r="D1534">
        <v>1</v>
      </c>
      <c r="J1534">
        <v>0.83499999999999996</v>
      </c>
    </row>
    <row r="1535" spans="1:16" x14ac:dyDescent="0.25">
      <c r="A1535" s="12" t="s">
        <v>1354</v>
      </c>
      <c r="C1535">
        <v>355</v>
      </c>
      <c r="D1535">
        <v>2</v>
      </c>
      <c r="J1535">
        <v>0.34300000000000003</v>
      </c>
      <c r="K1535" s="2">
        <v>1.7999999999999999E-2</v>
      </c>
      <c r="L1535" s="17">
        <v>1.7999999999999999E-2</v>
      </c>
    </row>
    <row r="1536" spans="1:16" x14ac:dyDescent="0.25">
      <c r="A1536" s="12" t="s">
        <v>1355</v>
      </c>
      <c r="C1536">
        <v>357</v>
      </c>
      <c r="D1536">
        <v>1</v>
      </c>
      <c r="F1536">
        <v>15.265000000000001</v>
      </c>
      <c r="H1536">
        <v>27</v>
      </c>
      <c r="J1536">
        <f>IF(NOT(ISBLANK(F1536)),SQRT((F1536^2*1/H1536)/(F1536^2*1/H1536+1)),IF(NOT(ISBLANK(G1536)),SQRT((G1536*H1536/I1536)/(G1536*H1536/I1536+1)*SQRT(1/H1536))))</f>
        <v>0.94665829292203518</v>
      </c>
      <c r="K1536" s="2" t="s">
        <v>2517</v>
      </c>
      <c r="L1536" s="17">
        <v>1E-3</v>
      </c>
      <c r="M1536" s="2">
        <v>0</v>
      </c>
      <c r="N1536" s="2">
        <f t="shared" si="82"/>
        <v>0</v>
      </c>
    </row>
    <row r="1537" spans="1:16" x14ac:dyDescent="0.25">
      <c r="A1537" s="12" t="s">
        <v>1356</v>
      </c>
      <c r="C1537">
        <v>357</v>
      </c>
      <c r="D1537">
        <v>1</v>
      </c>
      <c r="F1537">
        <v>18.603999999999999</v>
      </c>
      <c r="H1537">
        <v>27</v>
      </c>
      <c r="J1537">
        <f>IF(NOT(ISBLANK(F1537)),SQRT((F1537^2*1/H1537)/(F1537^2*1/H1537+1)),IF(NOT(ISBLANK(G1537)),SQRT((G1537*H1537/I1537)/(G1537*H1537/I1537+1)*SQRT(1/H1537))))</f>
        <v>0.96313812726043568</v>
      </c>
      <c r="K1537" s="2" t="s">
        <v>2517</v>
      </c>
      <c r="L1537" s="17">
        <v>1E-3</v>
      </c>
      <c r="M1537" s="2">
        <v>0</v>
      </c>
      <c r="N1537" s="2">
        <f t="shared" si="82"/>
        <v>0</v>
      </c>
    </row>
    <row r="1538" spans="1:16" x14ac:dyDescent="0.25">
      <c r="A1538" s="12" t="s">
        <v>1357</v>
      </c>
      <c r="C1538">
        <v>357</v>
      </c>
      <c r="D1538">
        <v>1</v>
      </c>
      <c r="F1538">
        <v>9.9499999999999993</v>
      </c>
      <c r="H1538">
        <v>27</v>
      </c>
      <c r="J1538">
        <f>IF(NOT(ISBLANK(F1538)),SQRT((F1538^2*1/H1538)/(F1538^2*1/H1538+1)),IF(NOT(ISBLANK(G1538)),SQRT((G1538*H1538/I1538)/(G1538*H1538/I1538+1)*SQRT(1/H1538))))</f>
        <v>0.88640765865972104</v>
      </c>
      <c r="K1538" s="2" t="s">
        <v>2517</v>
      </c>
      <c r="L1538" s="17">
        <v>1E-3</v>
      </c>
      <c r="M1538" s="2">
        <v>0</v>
      </c>
      <c r="N1538" s="2">
        <f t="shared" si="82"/>
        <v>0</v>
      </c>
    </row>
    <row r="1539" spans="1:16" x14ac:dyDescent="0.25">
      <c r="A1539" s="12" t="s">
        <v>1358</v>
      </c>
      <c r="C1539">
        <v>357</v>
      </c>
      <c r="D1539">
        <v>1</v>
      </c>
      <c r="F1539">
        <v>10.445</v>
      </c>
      <c r="H1539">
        <v>27</v>
      </c>
      <c r="J1539">
        <f>IF(NOT(ISBLANK(F1539)),SQRT((F1539^2*1/H1539)/(F1539^2*1/H1539+1)),IF(NOT(ISBLANK(G1539)),SQRT((G1539*H1539/I1539)/(G1539*H1539/I1539+1)*SQRT(1/H1539))))</f>
        <v>0.89532875505255116</v>
      </c>
      <c r="K1539" s="2" t="s">
        <v>2517</v>
      </c>
      <c r="L1539" s="17">
        <v>1E-3</v>
      </c>
      <c r="M1539" s="2">
        <v>0</v>
      </c>
      <c r="N1539" s="2">
        <f t="shared" si="82"/>
        <v>0</v>
      </c>
    </row>
    <row r="1540" spans="1:16" x14ac:dyDescent="0.25">
      <c r="A1540" s="12" t="s">
        <v>1359</v>
      </c>
      <c r="C1540">
        <v>357</v>
      </c>
      <c r="D1540">
        <v>1</v>
      </c>
      <c r="J1540">
        <v>0.17</v>
      </c>
      <c r="K1540" s="2" t="s">
        <v>2145</v>
      </c>
      <c r="L1540" s="17">
        <v>0.999</v>
      </c>
      <c r="P1540" s="2" t="s">
        <v>2560</v>
      </c>
    </row>
    <row r="1541" spans="1:16" x14ac:dyDescent="0.25">
      <c r="A1541" s="12" t="s">
        <v>1360</v>
      </c>
      <c r="C1541">
        <v>357</v>
      </c>
      <c r="D1541">
        <v>1</v>
      </c>
      <c r="J1541">
        <v>-0.185</v>
      </c>
      <c r="K1541" s="2" t="s">
        <v>2145</v>
      </c>
      <c r="L1541" s="17">
        <v>0.999</v>
      </c>
      <c r="P1541" s="2" t="s">
        <v>2560</v>
      </c>
    </row>
    <row r="1542" spans="1:16" x14ac:dyDescent="0.25">
      <c r="A1542" s="12" t="s">
        <v>1361</v>
      </c>
      <c r="C1542">
        <v>357</v>
      </c>
      <c r="D1542">
        <v>1</v>
      </c>
      <c r="J1542">
        <v>-0.34399999999999997</v>
      </c>
      <c r="K1542" s="2">
        <v>7.2999999999999995E-2</v>
      </c>
      <c r="L1542" s="17">
        <v>7.2999999999999995E-2</v>
      </c>
      <c r="P1542" s="2" t="s">
        <v>2560</v>
      </c>
    </row>
    <row r="1543" spans="1:16" x14ac:dyDescent="0.25">
      <c r="A1543" s="12" t="s">
        <v>1362</v>
      </c>
      <c r="C1543">
        <v>357</v>
      </c>
      <c r="D1543">
        <v>1</v>
      </c>
      <c r="J1543">
        <v>-0.39900000000000002</v>
      </c>
      <c r="K1543" s="2">
        <v>3.5000000000000003E-2</v>
      </c>
      <c r="L1543" s="17">
        <v>3.5000000000000003E-2</v>
      </c>
      <c r="P1543" s="2" t="s">
        <v>2560</v>
      </c>
    </row>
    <row r="1544" spans="1:16" x14ac:dyDescent="0.25">
      <c r="A1544" s="12" t="s">
        <v>1363</v>
      </c>
      <c r="C1544">
        <v>357</v>
      </c>
      <c r="D1544">
        <v>1</v>
      </c>
      <c r="G1544">
        <v>80.58</v>
      </c>
      <c r="H1544">
        <v>2</v>
      </c>
      <c r="I1544">
        <v>54</v>
      </c>
      <c r="J1544">
        <f t="shared" ref="J1544:J1575" si="84">IF(NOT(ISBLANK(F1544)),SQRT((F1544^2*1/H1544)/(F1544^2*1/H1544+1)),IF(NOT(ISBLANK(G1544)),SQRT((G1544*H1544/I1544)/(G1544*H1544/I1544+1)*SQRT(1/H1544))))</f>
        <v>0.72776365466517234</v>
      </c>
      <c r="K1544" s="2" t="s">
        <v>2517</v>
      </c>
      <c r="L1544" s="17">
        <v>1E-3</v>
      </c>
      <c r="M1544" s="2">
        <v>0</v>
      </c>
      <c r="N1544" s="2">
        <f t="shared" si="82"/>
        <v>0</v>
      </c>
    </row>
    <row r="1545" spans="1:16" x14ac:dyDescent="0.25">
      <c r="A1545" s="12" t="s">
        <v>1364</v>
      </c>
      <c r="C1545">
        <v>357</v>
      </c>
      <c r="D1545">
        <v>1</v>
      </c>
      <c r="F1545">
        <v>9.0950000000000006</v>
      </c>
      <c r="H1545">
        <v>27</v>
      </c>
      <c r="J1545">
        <f t="shared" si="84"/>
        <v>0.86828387060781687</v>
      </c>
      <c r="K1545" s="2" t="s">
        <v>2517</v>
      </c>
      <c r="L1545" s="17">
        <v>1E-3</v>
      </c>
      <c r="M1545" s="2">
        <v>0</v>
      </c>
      <c r="N1545" s="2">
        <f t="shared" si="82"/>
        <v>0</v>
      </c>
    </row>
    <row r="1546" spans="1:16" x14ac:dyDescent="0.25">
      <c r="A1546" s="12" t="s">
        <v>1365</v>
      </c>
      <c r="C1546">
        <v>357</v>
      </c>
      <c r="D1546">
        <v>1</v>
      </c>
      <c r="F1546">
        <v>-2.2789999999999999</v>
      </c>
      <c r="H1546">
        <v>27</v>
      </c>
      <c r="J1546">
        <f t="shared" si="84"/>
        <v>0.40165939315464372</v>
      </c>
      <c r="K1546" s="2">
        <v>3.1E-2</v>
      </c>
      <c r="L1546" s="17">
        <v>3.1E-2</v>
      </c>
      <c r="M1546" s="2">
        <v>0</v>
      </c>
      <c r="N1546" s="2">
        <f t="shared" si="82"/>
        <v>0</v>
      </c>
    </row>
    <row r="1547" spans="1:16" x14ac:dyDescent="0.25">
      <c r="A1547" s="12" t="s">
        <v>1366</v>
      </c>
      <c r="C1547">
        <v>357</v>
      </c>
      <c r="D1547">
        <v>1</v>
      </c>
      <c r="F1547">
        <v>-11.509</v>
      </c>
      <c r="H1547">
        <v>27</v>
      </c>
      <c r="J1547">
        <f t="shared" si="84"/>
        <v>0.91141397865994145</v>
      </c>
      <c r="K1547" s="2" t="s">
        <v>2517</v>
      </c>
      <c r="L1547" s="17">
        <v>1E-3</v>
      </c>
      <c r="M1547" s="2">
        <v>0</v>
      </c>
      <c r="N1547" s="2">
        <f t="shared" si="82"/>
        <v>0</v>
      </c>
    </row>
    <row r="1548" spans="1:16" x14ac:dyDescent="0.25">
      <c r="A1548" s="12" t="s">
        <v>1367</v>
      </c>
      <c r="C1548">
        <v>357</v>
      </c>
      <c r="D1548">
        <v>1</v>
      </c>
      <c r="G1548">
        <v>5.1369999999999996</v>
      </c>
      <c r="H1548">
        <v>2</v>
      </c>
      <c r="I1548">
        <v>54</v>
      </c>
      <c r="J1548">
        <f t="shared" si="84"/>
        <v>0.33619760675167265</v>
      </c>
      <c r="K1548" s="2">
        <v>9.0699999999999999E-3</v>
      </c>
      <c r="L1548" s="17">
        <v>9.0699999999999999E-3</v>
      </c>
      <c r="M1548" s="2">
        <v>0</v>
      </c>
      <c r="N1548" s="2">
        <f t="shared" si="82"/>
        <v>0</v>
      </c>
    </row>
    <row r="1549" spans="1:16" x14ac:dyDescent="0.25">
      <c r="A1549" s="12" t="s">
        <v>1368</v>
      </c>
      <c r="C1549">
        <v>357</v>
      </c>
      <c r="D1549">
        <v>1</v>
      </c>
      <c r="F1549">
        <v>3.077</v>
      </c>
      <c r="H1549">
        <v>27</v>
      </c>
      <c r="J1549">
        <f t="shared" si="84"/>
        <v>0.50953256535363844</v>
      </c>
      <c r="K1549" s="2">
        <v>5.0000000000000001E-3</v>
      </c>
      <c r="L1549" s="17">
        <v>5.0000000000000001E-3</v>
      </c>
      <c r="M1549" s="2">
        <v>0</v>
      </c>
      <c r="N1549" s="2">
        <f t="shared" si="82"/>
        <v>0</v>
      </c>
    </row>
    <row r="1550" spans="1:16" x14ac:dyDescent="0.25">
      <c r="A1550" s="12" t="s">
        <v>1369</v>
      </c>
      <c r="C1550">
        <v>357</v>
      </c>
      <c r="D1550">
        <v>1</v>
      </c>
      <c r="F1550">
        <v>2.367</v>
      </c>
      <c r="H1550">
        <v>27</v>
      </c>
      <c r="J1550">
        <f t="shared" si="84"/>
        <v>0.4145448721041689</v>
      </c>
      <c r="K1550" s="2">
        <v>2.5000000000000001E-2</v>
      </c>
      <c r="L1550" s="17">
        <v>2.5000000000000001E-2</v>
      </c>
      <c r="M1550" s="2">
        <v>0</v>
      </c>
      <c r="N1550" s="2">
        <f t="shared" si="82"/>
        <v>0</v>
      </c>
    </row>
    <row r="1551" spans="1:16" x14ac:dyDescent="0.25">
      <c r="A1551" s="12" t="s">
        <v>1370</v>
      </c>
      <c r="C1551">
        <v>357</v>
      </c>
      <c r="D1551">
        <v>1</v>
      </c>
      <c r="F1551">
        <v>0.27400000000000002</v>
      </c>
      <c r="H1551">
        <v>27</v>
      </c>
      <c r="J1551">
        <f t="shared" si="84"/>
        <v>5.2658164955755621E-2</v>
      </c>
      <c r="K1551" s="2">
        <v>0.78600000000000003</v>
      </c>
      <c r="L1551" s="17">
        <v>0.78600000000000003</v>
      </c>
      <c r="M1551" s="2">
        <v>0</v>
      </c>
      <c r="N1551" s="2">
        <f t="shared" si="82"/>
        <v>0</v>
      </c>
    </row>
    <row r="1552" spans="1:16" x14ac:dyDescent="0.25">
      <c r="A1552" s="12" t="s">
        <v>1371</v>
      </c>
      <c r="C1552">
        <v>357</v>
      </c>
      <c r="D1552">
        <v>1</v>
      </c>
      <c r="G1552">
        <v>4.6369999999999996</v>
      </c>
      <c r="H1552">
        <v>2</v>
      </c>
      <c r="I1552">
        <v>54</v>
      </c>
      <c r="J1552">
        <f t="shared" si="84"/>
        <v>0.32193144710484034</v>
      </c>
      <c r="K1552" s="2">
        <v>9.0699999999999999E-3</v>
      </c>
      <c r="L1552" s="17">
        <v>9.0699999999999999E-3</v>
      </c>
      <c r="M1552" s="2">
        <v>1</v>
      </c>
      <c r="N1552" s="2">
        <v>0</v>
      </c>
    </row>
    <row r="1553" spans="1:15" x14ac:dyDescent="0.25">
      <c r="A1553" s="12" t="s">
        <v>1372</v>
      </c>
      <c r="C1553">
        <v>357</v>
      </c>
      <c r="D1553">
        <v>1</v>
      </c>
      <c r="F1553">
        <v>2.6619999999999999</v>
      </c>
      <c r="H1553">
        <v>27</v>
      </c>
      <c r="J1553">
        <f t="shared" si="84"/>
        <v>0.45595131952330742</v>
      </c>
      <c r="K1553" s="2">
        <v>1.2999999999999999E-2</v>
      </c>
      <c r="L1553" s="17">
        <v>1.2999999999999999E-2</v>
      </c>
      <c r="M1553" s="2" t="s">
        <v>2558</v>
      </c>
      <c r="N1553" s="2" t="s">
        <v>2558</v>
      </c>
      <c r="O1553" t="s">
        <v>2249</v>
      </c>
    </row>
    <row r="1554" spans="1:15" x14ac:dyDescent="0.25">
      <c r="A1554" s="12" t="s">
        <v>1373</v>
      </c>
      <c r="C1554">
        <v>357</v>
      </c>
      <c r="D1554">
        <v>1</v>
      </c>
      <c r="F1554">
        <v>2.5680000000000001</v>
      </c>
      <c r="H1554">
        <v>27</v>
      </c>
      <c r="J1554">
        <f t="shared" si="84"/>
        <v>0.44305753511849844</v>
      </c>
      <c r="K1554" s="2">
        <v>1.6E-2</v>
      </c>
      <c r="L1554" s="17">
        <v>1.6E-2</v>
      </c>
      <c r="M1554" s="2" t="s">
        <v>2558</v>
      </c>
      <c r="N1554" s="2" t="s">
        <v>2558</v>
      </c>
      <c r="O1554" t="s">
        <v>2249</v>
      </c>
    </row>
    <row r="1555" spans="1:15" x14ac:dyDescent="0.25">
      <c r="A1555" s="12" t="s">
        <v>1374</v>
      </c>
      <c r="C1555">
        <v>357</v>
      </c>
      <c r="D1555">
        <v>1</v>
      </c>
      <c r="F1555">
        <v>-0.36099999999999999</v>
      </c>
      <c r="H1555">
        <v>27</v>
      </c>
      <c r="J1555">
        <f t="shared" si="84"/>
        <v>6.9307420547597795E-2</v>
      </c>
      <c r="K1555" s="2">
        <v>0.72091000000000005</v>
      </c>
      <c r="L1555" s="17">
        <v>0.72091000000000005</v>
      </c>
      <c r="M1555" s="2">
        <v>1</v>
      </c>
      <c r="N1555" s="2">
        <v>0</v>
      </c>
    </row>
    <row r="1556" spans="1:15" x14ac:dyDescent="0.25">
      <c r="A1556" s="12" t="s">
        <v>1375</v>
      </c>
      <c r="C1556">
        <v>357</v>
      </c>
      <c r="D1556">
        <v>2</v>
      </c>
      <c r="G1556">
        <v>1.0680000000000001</v>
      </c>
      <c r="H1556">
        <v>2</v>
      </c>
      <c r="I1556">
        <v>54</v>
      </c>
      <c r="J1556">
        <f t="shared" si="84"/>
        <v>0.16402966332741512</v>
      </c>
      <c r="K1556" s="2">
        <v>0.35099999999999998</v>
      </c>
      <c r="L1556" s="17">
        <v>0.35099999999999998</v>
      </c>
      <c r="M1556" s="2">
        <v>0</v>
      </c>
      <c r="N1556" s="2">
        <f t="shared" si="82"/>
        <v>0</v>
      </c>
      <c r="O1556" t="s">
        <v>2267</v>
      </c>
    </row>
    <row r="1557" spans="1:15" x14ac:dyDescent="0.25">
      <c r="A1557" s="12" t="s">
        <v>1376</v>
      </c>
      <c r="C1557">
        <v>357</v>
      </c>
      <c r="D1557">
        <v>1</v>
      </c>
      <c r="F1557">
        <v>-5.7000000000000002E-2</v>
      </c>
      <c r="H1557">
        <v>27</v>
      </c>
      <c r="J1557">
        <f t="shared" si="84"/>
        <v>1.0968995166579874E-2</v>
      </c>
      <c r="K1557" s="2">
        <v>0.95499999999999996</v>
      </c>
      <c r="L1557" s="17">
        <v>0.95499999999999996</v>
      </c>
      <c r="M1557" s="2" t="s">
        <v>2558</v>
      </c>
      <c r="N1557" s="2" t="s">
        <v>2558</v>
      </c>
      <c r="O1557" t="s">
        <v>2249</v>
      </c>
    </row>
    <row r="1558" spans="1:15" x14ac:dyDescent="0.25">
      <c r="A1558" s="12" t="s">
        <v>1377</v>
      </c>
      <c r="C1558">
        <v>357</v>
      </c>
      <c r="D1558">
        <v>1</v>
      </c>
      <c r="F1558">
        <v>24.594000000000001</v>
      </c>
      <c r="H1558">
        <v>27</v>
      </c>
      <c r="J1558">
        <f t="shared" si="84"/>
        <v>0.97840142187719059</v>
      </c>
      <c r="K1558" s="2" t="s">
        <v>2517</v>
      </c>
      <c r="L1558" s="17">
        <v>1E-3</v>
      </c>
      <c r="M1558" s="2" t="s">
        <v>2558</v>
      </c>
      <c r="N1558" s="2" t="s">
        <v>2558</v>
      </c>
      <c r="O1558" t="s">
        <v>2249</v>
      </c>
    </row>
    <row r="1559" spans="1:15" x14ac:dyDescent="0.25">
      <c r="A1559" s="12" t="s">
        <v>1378</v>
      </c>
      <c r="C1559">
        <v>357</v>
      </c>
      <c r="D1559">
        <v>1</v>
      </c>
      <c r="F1559">
        <v>-8.3879999999999999</v>
      </c>
      <c r="H1559">
        <v>27</v>
      </c>
      <c r="J1559">
        <f t="shared" si="84"/>
        <v>0.85010268251027521</v>
      </c>
      <c r="K1559" s="2" t="s">
        <v>2517</v>
      </c>
      <c r="L1559" s="17">
        <v>1E-3</v>
      </c>
      <c r="M1559" s="2" t="s">
        <v>2558</v>
      </c>
      <c r="N1559" s="2" t="s">
        <v>2558</v>
      </c>
      <c r="O1559" t="s">
        <v>2249</v>
      </c>
    </row>
    <row r="1560" spans="1:15" x14ac:dyDescent="0.25">
      <c r="A1560" s="12" t="s">
        <v>1379</v>
      </c>
      <c r="C1560">
        <v>357</v>
      </c>
      <c r="D1560">
        <v>1</v>
      </c>
      <c r="G1560">
        <v>4.4550000000000001</v>
      </c>
      <c r="H1560">
        <v>5</v>
      </c>
      <c r="I1560">
        <v>22</v>
      </c>
      <c r="J1560">
        <f t="shared" si="84"/>
        <v>0.47433707408108516</v>
      </c>
      <c r="K1560" s="2">
        <v>6.0000000000000001E-3</v>
      </c>
      <c r="L1560" s="17">
        <v>6.0000000000000001E-3</v>
      </c>
      <c r="M1560" s="2">
        <v>0</v>
      </c>
      <c r="N1560" s="2">
        <f t="shared" si="82"/>
        <v>0</v>
      </c>
    </row>
    <row r="1561" spans="1:15" x14ac:dyDescent="0.25">
      <c r="A1561" s="12" t="s">
        <v>1380</v>
      </c>
      <c r="C1561">
        <v>357</v>
      </c>
      <c r="D1561">
        <v>1</v>
      </c>
      <c r="F1561">
        <v>2.3029999999999999</v>
      </c>
      <c r="H1561">
        <v>27</v>
      </c>
      <c r="J1561">
        <f t="shared" si="84"/>
        <v>0.40519779286536201</v>
      </c>
      <c r="K1561" s="2">
        <v>3.1E-2</v>
      </c>
      <c r="L1561" s="17">
        <v>3.1E-2</v>
      </c>
      <c r="M1561" s="2" t="s">
        <v>2558</v>
      </c>
      <c r="N1561" s="2" t="s">
        <v>2558</v>
      </c>
      <c r="O1561" t="s">
        <v>2249</v>
      </c>
    </row>
    <row r="1562" spans="1:15" x14ac:dyDescent="0.25">
      <c r="A1562" s="12" t="s">
        <v>1381</v>
      </c>
      <c r="C1562">
        <v>357</v>
      </c>
      <c r="D1562">
        <v>1</v>
      </c>
      <c r="F1562">
        <v>2.1640000000000001</v>
      </c>
      <c r="H1562">
        <v>27</v>
      </c>
      <c r="J1562">
        <f t="shared" si="84"/>
        <v>0.38445438661235543</v>
      </c>
      <c r="K1562" s="2">
        <v>4.2000000000000003E-2</v>
      </c>
      <c r="L1562" s="17">
        <v>4.2000000000000003E-2</v>
      </c>
      <c r="M1562" s="2" t="s">
        <v>2558</v>
      </c>
      <c r="N1562" s="2" t="s">
        <v>2558</v>
      </c>
      <c r="O1562" t="s">
        <v>2249</v>
      </c>
    </row>
    <row r="1563" spans="1:15" x14ac:dyDescent="0.25">
      <c r="A1563" s="12" t="s">
        <v>1382</v>
      </c>
      <c r="C1563">
        <v>357</v>
      </c>
      <c r="D1563">
        <v>1</v>
      </c>
      <c r="F1563">
        <v>-2.1920000000000002</v>
      </c>
      <c r="H1563">
        <v>27</v>
      </c>
      <c r="J1563">
        <f t="shared" si="84"/>
        <v>0.3886814179322835</v>
      </c>
      <c r="K1563" s="2">
        <v>3.9E-2</v>
      </c>
      <c r="L1563" s="17">
        <v>3.9E-2</v>
      </c>
      <c r="M1563" s="2" t="s">
        <v>2558</v>
      </c>
      <c r="N1563" s="2" t="s">
        <v>2558</v>
      </c>
      <c r="O1563" t="s">
        <v>2249</v>
      </c>
    </row>
    <row r="1564" spans="1:15" x14ac:dyDescent="0.25">
      <c r="A1564" s="12" t="s">
        <v>1383</v>
      </c>
      <c r="C1564">
        <v>357</v>
      </c>
      <c r="D1564">
        <v>1</v>
      </c>
      <c r="F1564">
        <v>0.28699999999999998</v>
      </c>
      <c r="H1564">
        <v>27</v>
      </c>
      <c r="J1564">
        <f t="shared" si="84"/>
        <v>5.5149118003201957E-2</v>
      </c>
      <c r="K1564" s="2">
        <v>0.77700000000000002</v>
      </c>
      <c r="L1564" s="17">
        <v>0.77700000000000002</v>
      </c>
      <c r="M1564" s="2" t="s">
        <v>2558</v>
      </c>
      <c r="N1564" s="2" t="s">
        <v>2558</v>
      </c>
      <c r="O1564" t="s">
        <v>2249</v>
      </c>
    </row>
    <row r="1565" spans="1:15" x14ac:dyDescent="0.25">
      <c r="A1565" s="12" t="s">
        <v>1384</v>
      </c>
      <c r="C1565">
        <v>357</v>
      </c>
      <c r="D1565">
        <v>1</v>
      </c>
      <c r="G1565">
        <v>5.6360000000000001</v>
      </c>
      <c r="H1565">
        <v>5</v>
      </c>
      <c r="I1565">
        <v>22</v>
      </c>
      <c r="J1565">
        <f t="shared" si="84"/>
        <v>0.50114414969367482</v>
      </c>
      <c r="K1565" s="2">
        <v>2E-3</v>
      </c>
      <c r="L1565" s="17">
        <v>2E-3</v>
      </c>
      <c r="M1565" s="2">
        <v>0</v>
      </c>
      <c r="N1565" s="2">
        <f t="shared" si="82"/>
        <v>0</v>
      </c>
    </row>
    <row r="1566" spans="1:15" x14ac:dyDescent="0.25">
      <c r="A1566" s="12" t="s">
        <v>1385</v>
      </c>
      <c r="C1566">
        <v>357</v>
      </c>
      <c r="D1566">
        <v>2</v>
      </c>
      <c r="F1566">
        <v>2.734</v>
      </c>
      <c r="H1566">
        <v>27</v>
      </c>
      <c r="J1566">
        <f t="shared" si="84"/>
        <v>0.46563745801900691</v>
      </c>
      <c r="K1566" s="2">
        <v>1.2E-2</v>
      </c>
      <c r="L1566" s="17">
        <v>1.2E-2</v>
      </c>
      <c r="M1566" s="2" t="s">
        <v>2558</v>
      </c>
      <c r="N1566" s="2" t="s">
        <v>2558</v>
      </c>
      <c r="O1566" t="s">
        <v>2249</v>
      </c>
    </row>
    <row r="1567" spans="1:15" x14ac:dyDescent="0.25">
      <c r="A1567" s="12" t="s">
        <v>1386</v>
      </c>
      <c r="C1567">
        <v>357</v>
      </c>
      <c r="D1567">
        <v>1</v>
      </c>
      <c r="F1567">
        <v>2.1219999999999999</v>
      </c>
      <c r="H1567">
        <v>27</v>
      </c>
      <c r="J1567">
        <f t="shared" si="84"/>
        <v>0.37806826349661454</v>
      </c>
      <c r="K1567" s="2">
        <v>4.4999999999999998E-2</v>
      </c>
      <c r="L1567" s="17">
        <v>4.4999999999999998E-2</v>
      </c>
      <c r="M1567" s="2" t="s">
        <v>2558</v>
      </c>
      <c r="N1567" s="2" t="s">
        <v>2558</v>
      </c>
      <c r="O1567" t="s">
        <v>2249</v>
      </c>
    </row>
    <row r="1568" spans="1:15" x14ac:dyDescent="0.25">
      <c r="A1568" s="12" t="s">
        <v>1387</v>
      </c>
      <c r="C1568">
        <v>357</v>
      </c>
      <c r="D1568">
        <v>1</v>
      </c>
      <c r="F1568">
        <v>-3.2040000000000002</v>
      </c>
      <c r="H1568">
        <v>27</v>
      </c>
      <c r="J1568">
        <f t="shared" si="84"/>
        <v>0.52485381120150509</v>
      </c>
      <c r="K1568" s="2">
        <v>4.0000000000000001E-3</v>
      </c>
      <c r="L1568" s="17">
        <v>4.0000000000000001E-3</v>
      </c>
      <c r="M1568" s="2" t="s">
        <v>2558</v>
      </c>
      <c r="N1568" s="2" t="s">
        <v>2558</v>
      </c>
      <c r="O1568" t="s">
        <v>2249</v>
      </c>
    </row>
    <row r="1569" spans="1:15" x14ac:dyDescent="0.25">
      <c r="A1569" s="12" t="s">
        <v>1388</v>
      </c>
      <c r="C1569">
        <v>357</v>
      </c>
      <c r="D1569">
        <v>1</v>
      </c>
      <c r="F1569">
        <v>0.90500000000000003</v>
      </c>
      <c r="H1569">
        <v>27</v>
      </c>
      <c r="J1569">
        <f t="shared" si="84"/>
        <v>0.1715843314165911</v>
      </c>
      <c r="K1569" s="2">
        <v>0.375</v>
      </c>
      <c r="L1569" s="17">
        <v>0.375</v>
      </c>
      <c r="M1569" s="2" t="s">
        <v>2558</v>
      </c>
      <c r="N1569" s="2" t="s">
        <v>2558</v>
      </c>
      <c r="O1569" t="s">
        <v>2249</v>
      </c>
    </row>
    <row r="1570" spans="1:15" x14ac:dyDescent="0.25">
      <c r="A1570" s="12" t="s">
        <v>1389</v>
      </c>
      <c r="C1570">
        <v>357</v>
      </c>
      <c r="D1570">
        <v>1</v>
      </c>
      <c r="G1570">
        <v>4.0599999999999996</v>
      </c>
      <c r="H1570">
        <v>5</v>
      </c>
      <c r="I1570">
        <v>22</v>
      </c>
      <c r="J1570">
        <f t="shared" si="84"/>
        <v>0.46327123387738811</v>
      </c>
      <c r="K1570" s="2">
        <v>9.2099999999999994E-3</v>
      </c>
      <c r="L1570" s="17">
        <v>9.2099999999999994E-3</v>
      </c>
      <c r="M1570" s="2">
        <v>0</v>
      </c>
      <c r="N1570" s="2">
        <f t="shared" ref="N1570:N1608" si="85">IF(M1570=0, 0)</f>
        <v>0</v>
      </c>
    </row>
    <row r="1571" spans="1:15" x14ac:dyDescent="0.25">
      <c r="A1571" s="12" t="s">
        <v>1390</v>
      </c>
      <c r="C1571">
        <v>357</v>
      </c>
      <c r="D1571">
        <v>1</v>
      </c>
      <c r="F1571">
        <v>2.6840000000000002</v>
      </c>
      <c r="H1571">
        <v>27</v>
      </c>
      <c r="J1571">
        <f t="shared" si="84"/>
        <v>0.45892844513968112</v>
      </c>
      <c r="K1571" s="2">
        <v>1.2999999999999999E-2</v>
      </c>
      <c r="L1571" s="17">
        <v>1.2999999999999999E-2</v>
      </c>
      <c r="M1571" s="2" t="s">
        <v>2558</v>
      </c>
      <c r="N1571" s="2" t="s">
        <v>2558</v>
      </c>
      <c r="O1571" t="s">
        <v>2249</v>
      </c>
    </row>
    <row r="1572" spans="1:15" x14ac:dyDescent="0.25">
      <c r="A1572" s="12" t="s">
        <v>1391</v>
      </c>
      <c r="C1572">
        <v>357</v>
      </c>
      <c r="D1572">
        <v>1</v>
      </c>
      <c r="F1572">
        <v>2.0190000000000001</v>
      </c>
      <c r="H1572">
        <v>27</v>
      </c>
      <c r="J1572">
        <f t="shared" si="84"/>
        <v>0.362177311058337</v>
      </c>
      <c r="K1572" s="2">
        <v>5.5E-2</v>
      </c>
      <c r="L1572" s="17">
        <v>5.5E-2</v>
      </c>
      <c r="M1572" s="2" t="s">
        <v>2558</v>
      </c>
      <c r="N1572" s="2" t="s">
        <v>2558</v>
      </c>
      <c r="O1572" t="s">
        <v>2249</v>
      </c>
    </row>
    <row r="1573" spans="1:15" x14ac:dyDescent="0.25">
      <c r="A1573" s="12" t="s">
        <v>1392</v>
      </c>
      <c r="C1573">
        <v>357</v>
      </c>
      <c r="D1573">
        <v>1</v>
      </c>
      <c r="F1573">
        <v>-2.5720000000000001</v>
      </c>
      <c r="H1573">
        <v>27</v>
      </c>
      <c r="J1573">
        <f t="shared" si="84"/>
        <v>0.44361193080677896</v>
      </c>
      <c r="K1573" s="2">
        <v>1.7000000000000001E-2</v>
      </c>
      <c r="L1573" s="17">
        <v>1.7000000000000001E-2</v>
      </c>
      <c r="M1573" s="2" t="s">
        <v>2558</v>
      </c>
      <c r="N1573" s="2" t="s">
        <v>2558</v>
      </c>
      <c r="O1573" t="s">
        <v>2249</v>
      </c>
    </row>
    <row r="1574" spans="1:15" x14ac:dyDescent="0.25">
      <c r="A1574" s="12" t="s">
        <v>1393</v>
      </c>
      <c r="C1574">
        <v>357</v>
      </c>
      <c r="D1574">
        <v>1</v>
      </c>
      <c r="F1574">
        <v>0.95099999999999996</v>
      </c>
      <c r="H1574">
        <v>27</v>
      </c>
      <c r="J1574">
        <f t="shared" si="84"/>
        <v>0.18002970289933445</v>
      </c>
      <c r="K1574" s="2">
        <v>0.35099999999999998</v>
      </c>
      <c r="L1574" s="17">
        <v>0.35099999999999998</v>
      </c>
      <c r="M1574" s="2" t="s">
        <v>2558</v>
      </c>
      <c r="N1574" s="2" t="s">
        <v>2558</v>
      </c>
      <c r="O1574" t="s">
        <v>2249</v>
      </c>
    </row>
    <row r="1575" spans="1:15" x14ac:dyDescent="0.25">
      <c r="A1575" s="12" t="s">
        <v>1394</v>
      </c>
      <c r="C1575">
        <v>357</v>
      </c>
      <c r="D1575">
        <v>1</v>
      </c>
      <c r="G1575">
        <v>1.399</v>
      </c>
      <c r="H1575">
        <v>5</v>
      </c>
      <c r="I1575">
        <v>22</v>
      </c>
      <c r="J1575">
        <f t="shared" si="84"/>
        <v>0.32846553110233428</v>
      </c>
      <c r="K1575" s="2">
        <v>0.26300000000000001</v>
      </c>
      <c r="L1575" s="17">
        <v>0.26300000000000001</v>
      </c>
      <c r="M1575" s="2">
        <v>0</v>
      </c>
      <c r="N1575" s="2">
        <f t="shared" si="85"/>
        <v>0</v>
      </c>
    </row>
    <row r="1576" spans="1:15" x14ac:dyDescent="0.25">
      <c r="A1576" s="12" t="s">
        <v>1395</v>
      </c>
      <c r="C1576">
        <v>357</v>
      </c>
      <c r="D1576">
        <v>1</v>
      </c>
      <c r="F1576">
        <v>4.1550000000000002</v>
      </c>
      <c r="H1576">
        <v>27</v>
      </c>
      <c r="J1576">
        <f t="shared" ref="J1576:J1598" si="86">IF(NOT(ISBLANK(F1576)),SQRT((F1576^2*1/H1576)/(F1576^2*1/H1576+1)),IF(NOT(ISBLANK(G1576)),SQRT((G1576*H1576/I1576)/(G1576*H1576/I1576+1)*SQRT(1/H1576))))</f>
        <v>0.62451888674530143</v>
      </c>
      <c r="M1576" s="2" t="s">
        <v>2558</v>
      </c>
      <c r="N1576" s="2" t="s">
        <v>2558</v>
      </c>
      <c r="O1576" t="s">
        <v>2249</v>
      </c>
    </row>
    <row r="1577" spans="1:15" x14ac:dyDescent="0.25">
      <c r="A1577" s="12" t="s">
        <v>1396</v>
      </c>
      <c r="C1577">
        <v>361</v>
      </c>
      <c r="D1577">
        <v>1</v>
      </c>
      <c r="G1577">
        <v>52.82</v>
      </c>
      <c r="H1577">
        <v>2</v>
      </c>
      <c r="I1577">
        <v>194</v>
      </c>
      <c r="J1577">
        <f t="shared" si="86"/>
        <v>0.49929452421202525</v>
      </c>
      <c r="K1577" s="2" t="s">
        <v>2141</v>
      </c>
      <c r="L1577" s="17">
        <v>1E-3</v>
      </c>
      <c r="M1577" s="2">
        <v>0</v>
      </c>
      <c r="N1577" s="2">
        <f t="shared" si="85"/>
        <v>0</v>
      </c>
    </row>
    <row r="1578" spans="1:15" x14ac:dyDescent="0.25">
      <c r="A1578" s="12" t="s">
        <v>1397</v>
      </c>
      <c r="C1578">
        <v>361</v>
      </c>
      <c r="D1578">
        <v>2</v>
      </c>
      <c r="G1578">
        <v>73.27</v>
      </c>
      <c r="H1578">
        <v>1</v>
      </c>
      <c r="I1578">
        <v>97</v>
      </c>
      <c r="J1578">
        <f t="shared" si="86"/>
        <v>0.65598517975486725</v>
      </c>
      <c r="K1578" s="2" t="s">
        <v>2139</v>
      </c>
      <c r="L1578" s="17">
        <v>1E-3</v>
      </c>
      <c r="M1578" s="2">
        <v>0</v>
      </c>
      <c r="N1578" s="2">
        <f t="shared" si="85"/>
        <v>0</v>
      </c>
      <c r="O1578" t="s">
        <v>2268</v>
      </c>
    </row>
    <row r="1579" spans="1:15" x14ac:dyDescent="0.25">
      <c r="A1579" s="12" t="s">
        <v>1398</v>
      </c>
      <c r="C1579">
        <v>361</v>
      </c>
      <c r="D1579">
        <v>1</v>
      </c>
      <c r="G1579">
        <v>18.75</v>
      </c>
      <c r="H1579">
        <v>1</v>
      </c>
      <c r="I1579">
        <v>97</v>
      </c>
      <c r="J1579">
        <f t="shared" si="86"/>
        <v>0.40247613722644116</v>
      </c>
      <c r="K1579" s="2" t="s">
        <v>2139</v>
      </c>
      <c r="L1579" s="17">
        <v>1E-3</v>
      </c>
      <c r="M1579" s="2">
        <v>0</v>
      </c>
      <c r="N1579" s="2">
        <f t="shared" si="85"/>
        <v>0</v>
      </c>
    </row>
    <row r="1580" spans="1:15" x14ac:dyDescent="0.25">
      <c r="A1580" s="12" t="s">
        <v>1399</v>
      </c>
      <c r="C1580">
        <v>361</v>
      </c>
      <c r="D1580">
        <v>1</v>
      </c>
      <c r="G1580">
        <v>59.86</v>
      </c>
      <c r="H1580">
        <v>1</v>
      </c>
      <c r="I1580">
        <v>97</v>
      </c>
      <c r="J1580">
        <f t="shared" si="86"/>
        <v>0.61774928429591835</v>
      </c>
      <c r="K1580" s="2" t="s">
        <v>2139</v>
      </c>
      <c r="L1580" s="17">
        <v>1E-3</v>
      </c>
      <c r="M1580" s="2">
        <v>0</v>
      </c>
      <c r="N1580" s="2">
        <f t="shared" si="85"/>
        <v>0</v>
      </c>
    </row>
    <row r="1581" spans="1:15" x14ac:dyDescent="0.25">
      <c r="A1581" s="12" t="s">
        <v>1400</v>
      </c>
      <c r="C1581">
        <v>361</v>
      </c>
      <c r="D1581">
        <v>1</v>
      </c>
      <c r="G1581">
        <v>3.51</v>
      </c>
      <c r="H1581">
        <v>1</v>
      </c>
      <c r="I1581">
        <v>97</v>
      </c>
      <c r="J1581">
        <f t="shared" si="86"/>
        <v>0.18687401723775102</v>
      </c>
      <c r="K1581" s="2">
        <v>6.4000000000000001E-2</v>
      </c>
      <c r="L1581" s="17">
        <v>6.4000000000000001E-2</v>
      </c>
      <c r="M1581" s="2">
        <v>0</v>
      </c>
      <c r="N1581" s="2">
        <f t="shared" si="85"/>
        <v>0</v>
      </c>
    </row>
    <row r="1582" spans="1:15" x14ac:dyDescent="0.25">
      <c r="A1582" s="12" t="s">
        <v>1401</v>
      </c>
      <c r="C1582">
        <v>361</v>
      </c>
      <c r="D1582">
        <v>1</v>
      </c>
      <c r="G1582">
        <v>75.650000000000006</v>
      </c>
      <c r="H1582">
        <v>2</v>
      </c>
      <c r="I1582">
        <v>194</v>
      </c>
      <c r="J1582">
        <f t="shared" si="86"/>
        <v>0.5566262403842348</v>
      </c>
      <c r="K1582" s="2" t="s">
        <v>2141</v>
      </c>
      <c r="L1582" s="17">
        <v>1E-3</v>
      </c>
      <c r="M1582" s="2">
        <v>0</v>
      </c>
      <c r="N1582" s="2">
        <f t="shared" si="85"/>
        <v>0</v>
      </c>
    </row>
    <row r="1583" spans="1:15" x14ac:dyDescent="0.25">
      <c r="A1583" s="12" t="s">
        <v>1402</v>
      </c>
      <c r="C1583">
        <v>361</v>
      </c>
      <c r="D1583">
        <v>1</v>
      </c>
      <c r="G1583">
        <v>43.97</v>
      </c>
      <c r="H1583">
        <v>1</v>
      </c>
      <c r="I1583">
        <v>97</v>
      </c>
      <c r="J1583">
        <f t="shared" si="86"/>
        <v>0.55848933340967466</v>
      </c>
      <c r="K1583" s="2" t="s">
        <v>2139</v>
      </c>
      <c r="L1583" s="17">
        <v>1E-3</v>
      </c>
      <c r="M1583" s="2">
        <v>0</v>
      </c>
      <c r="N1583" s="2">
        <f t="shared" si="85"/>
        <v>0</v>
      </c>
    </row>
    <row r="1584" spans="1:15" x14ac:dyDescent="0.25">
      <c r="A1584" s="12" t="s">
        <v>1403</v>
      </c>
      <c r="C1584">
        <v>361</v>
      </c>
      <c r="D1584">
        <v>1</v>
      </c>
      <c r="G1584">
        <v>104.29</v>
      </c>
      <c r="H1584">
        <v>1</v>
      </c>
      <c r="I1584">
        <v>97</v>
      </c>
      <c r="J1584">
        <f t="shared" si="86"/>
        <v>0.71979733404374158</v>
      </c>
      <c r="K1584" s="2" t="s">
        <v>2139</v>
      </c>
      <c r="L1584" s="17">
        <v>1E-3</v>
      </c>
      <c r="M1584" s="2">
        <v>0</v>
      </c>
      <c r="N1584" s="2">
        <f t="shared" si="85"/>
        <v>0</v>
      </c>
    </row>
    <row r="1585" spans="1:15" x14ac:dyDescent="0.25">
      <c r="A1585" s="12" t="s">
        <v>1404</v>
      </c>
      <c r="C1585">
        <v>361</v>
      </c>
      <c r="D1585">
        <v>1</v>
      </c>
      <c r="G1585">
        <v>133.21</v>
      </c>
      <c r="H1585">
        <v>1</v>
      </c>
      <c r="I1585">
        <v>97</v>
      </c>
      <c r="J1585">
        <f t="shared" si="86"/>
        <v>0.76068757349279525</v>
      </c>
      <c r="K1585" s="2" t="s">
        <v>2139</v>
      </c>
      <c r="L1585" s="17">
        <v>1E-3</v>
      </c>
      <c r="M1585" s="2">
        <v>0</v>
      </c>
      <c r="N1585" s="2">
        <f t="shared" si="85"/>
        <v>0</v>
      </c>
    </row>
    <row r="1586" spans="1:15" x14ac:dyDescent="0.25">
      <c r="A1586" s="12" t="s">
        <v>1405</v>
      </c>
      <c r="C1586">
        <v>361</v>
      </c>
      <c r="D1586">
        <v>1</v>
      </c>
      <c r="G1586">
        <v>37.159999999999997</v>
      </c>
      <c r="H1586">
        <v>1</v>
      </c>
      <c r="I1586">
        <v>97</v>
      </c>
      <c r="J1586">
        <f t="shared" si="86"/>
        <v>0.52629146602929577</v>
      </c>
      <c r="K1586" s="2" t="s">
        <v>2141</v>
      </c>
      <c r="L1586" s="17">
        <v>1E-3</v>
      </c>
      <c r="M1586" s="2">
        <v>0</v>
      </c>
      <c r="N1586" s="2">
        <f t="shared" si="85"/>
        <v>0</v>
      </c>
    </row>
    <row r="1587" spans="1:15" x14ac:dyDescent="0.25">
      <c r="A1587" s="12" t="s">
        <v>1406</v>
      </c>
      <c r="B1587" s="4" t="s">
        <v>2269</v>
      </c>
      <c r="C1587">
        <v>361</v>
      </c>
      <c r="D1587">
        <v>1</v>
      </c>
      <c r="F1587">
        <v>-0.74</v>
      </c>
      <c r="H1587">
        <v>98</v>
      </c>
      <c r="J1587">
        <f t="shared" si="86"/>
        <v>7.4543313529910088E-2</v>
      </c>
      <c r="K1587" s="2">
        <v>0.46200000000000002</v>
      </c>
      <c r="L1587" s="17">
        <v>0.46200000000000002</v>
      </c>
      <c r="M1587" s="2">
        <v>0</v>
      </c>
      <c r="N1587" s="2">
        <f t="shared" si="85"/>
        <v>0</v>
      </c>
    </row>
    <row r="1588" spans="1:15" x14ac:dyDescent="0.25">
      <c r="A1588" s="12" t="s">
        <v>1407</v>
      </c>
      <c r="C1588">
        <v>363</v>
      </c>
      <c r="D1588">
        <v>1</v>
      </c>
      <c r="F1588">
        <v>1.93</v>
      </c>
      <c r="H1588">
        <v>28</v>
      </c>
      <c r="J1588">
        <f t="shared" si="86"/>
        <v>0.34265508260403132</v>
      </c>
      <c r="K1588" s="2">
        <v>5.2999999999999999E-2</v>
      </c>
      <c r="L1588" s="17">
        <v>5.2999999999999999E-2</v>
      </c>
      <c r="M1588" s="2" t="s">
        <v>2558</v>
      </c>
      <c r="N1588" s="2" t="s">
        <v>2558</v>
      </c>
      <c r="O1588" t="s">
        <v>2270</v>
      </c>
    </row>
    <row r="1589" spans="1:15" x14ac:dyDescent="0.25">
      <c r="A1589" s="12" t="s">
        <v>12</v>
      </c>
      <c r="C1589">
        <v>363</v>
      </c>
      <c r="D1589">
        <v>1</v>
      </c>
      <c r="F1589">
        <v>-2.04</v>
      </c>
      <c r="H1589">
        <v>28</v>
      </c>
      <c r="J1589">
        <f t="shared" si="86"/>
        <v>0.35971731600723778</v>
      </c>
      <c r="K1589" s="2" t="s">
        <v>2533</v>
      </c>
      <c r="L1589" s="17">
        <v>4.9000000000000002E-2</v>
      </c>
      <c r="M1589" s="2" t="s">
        <v>2558</v>
      </c>
      <c r="N1589" s="2" t="s">
        <v>2558</v>
      </c>
      <c r="O1589" t="s">
        <v>2270</v>
      </c>
    </row>
    <row r="1590" spans="1:15" x14ac:dyDescent="0.25">
      <c r="A1590" s="12" t="s">
        <v>13</v>
      </c>
      <c r="C1590">
        <v>363</v>
      </c>
      <c r="D1590">
        <v>1</v>
      </c>
      <c r="F1590">
        <v>-2.5099999999999998</v>
      </c>
      <c r="H1590">
        <v>28</v>
      </c>
      <c r="J1590">
        <f t="shared" si="86"/>
        <v>0.4285742051751914</v>
      </c>
      <c r="K1590" s="2" t="s">
        <v>2533</v>
      </c>
      <c r="L1590" s="17">
        <v>4.9000000000000002E-2</v>
      </c>
      <c r="M1590" s="2" t="s">
        <v>2558</v>
      </c>
      <c r="N1590" s="2" t="s">
        <v>2558</v>
      </c>
      <c r="O1590" t="s">
        <v>2270</v>
      </c>
    </row>
    <row r="1591" spans="1:15" x14ac:dyDescent="0.25">
      <c r="A1591" s="12" t="s">
        <v>1408</v>
      </c>
      <c r="C1591">
        <v>363</v>
      </c>
      <c r="D1591">
        <v>1</v>
      </c>
      <c r="E1591">
        <v>0</v>
      </c>
      <c r="J1591" t="b">
        <f t="shared" si="86"/>
        <v>0</v>
      </c>
      <c r="K1591" s="2" t="s">
        <v>2533</v>
      </c>
      <c r="L1591" s="17">
        <v>4.9000000000000002E-2</v>
      </c>
    </row>
    <row r="1592" spans="1:15" x14ac:dyDescent="0.25">
      <c r="A1592" s="12" t="s">
        <v>1409</v>
      </c>
      <c r="C1592">
        <v>363</v>
      </c>
      <c r="D1592">
        <v>1</v>
      </c>
      <c r="E1592">
        <v>0</v>
      </c>
      <c r="J1592" t="b">
        <f t="shared" si="86"/>
        <v>0</v>
      </c>
      <c r="K1592" s="2" t="s">
        <v>2271</v>
      </c>
      <c r="L1592" s="17">
        <v>0.1</v>
      </c>
    </row>
    <row r="1593" spans="1:15" x14ac:dyDescent="0.25">
      <c r="A1593" s="12" t="s">
        <v>1410</v>
      </c>
      <c r="C1593">
        <v>363</v>
      </c>
      <c r="D1593">
        <v>2</v>
      </c>
      <c r="F1593">
        <v>1.75</v>
      </c>
      <c r="H1593">
        <v>28</v>
      </c>
      <c r="J1593">
        <f t="shared" si="86"/>
        <v>0.31399291281137964</v>
      </c>
      <c r="K1593" s="2">
        <v>0.86</v>
      </c>
      <c r="L1593" s="17">
        <v>0.86</v>
      </c>
      <c r="N1593" s="2">
        <f t="shared" si="85"/>
        <v>0</v>
      </c>
      <c r="O1593" t="s">
        <v>2270</v>
      </c>
    </row>
    <row r="1594" spans="1:15" x14ac:dyDescent="0.25">
      <c r="A1594" s="12" t="s">
        <v>14</v>
      </c>
      <c r="C1594">
        <v>363</v>
      </c>
      <c r="D1594">
        <v>1</v>
      </c>
      <c r="F1594">
        <v>-1.79</v>
      </c>
      <c r="H1594">
        <v>28</v>
      </c>
      <c r="J1594">
        <f t="shared" si="86"/>
        <v>0.32044035224987089</v>
      </c>
      <c r="K1594" s="2">
        <v>0.78</v>
      </c>
      <c r="L1594" s="17">
        <v>0.78</v>
      </c>
      <c r="N1594" s="2">
        <f t="shared" si="85"/>
        <v>0</v>
      </c>
      <c r="O1594" t="s">
        <v>2270</v>
      </c>
    </row>
    <row r="1595" spans="1:15" x14ac:dyDescent="0.25">
      <c r="A1595" s="12" t="s">
        <v>1411</v>
      </c>
      <c r="C1595">
        <v>363</v>
      </c>
      <c r="D1595">
        <v>1</v>
      </c>
      <c r="F1595">
        <v>2.3199999999999998</v>
      </c>
      <c r="H1595">
        <v>28</v>
      </c>
      <c r="J1595">
        <f t="shared" si="86"/>
        <v>0.4015403623257407</v>
      </c>
      <c r="K1595" s="2" t="s">
        <v>2533</v>
      </c>
      <c r="L1595" s="17">
        <v>4.9000000000000002E-2</v>
      </c>
      <c r="N1595" s="2">
        <f t="shared" si="85"/>
        <v>0</v>
      </c>
      <c r="O1595" t="s">
        <v>2270</v>
      </c>
    </row>
    <row r="1596" spans="1:15" x14ac:dyDescent="0.25">
      <c r="A1596" s="12" t="s">
        <v>15</v>
      </c>
      <c r="C1596">
        <v>363</v>
      </c>
      <c r="D1596">
        <v>1</v>
      </c>
      <c r="F1596">
        <v>-1.65</v>
      </c>
      <c r="H1596">
        <v>28</v>
      </c>
      <c r="J1596">
        <f t="shared" si="86"/>
        <v>0.29768411999947475</v>
      </c>
      <c r="K1596" s="2">
        <v>9.9000000000000005E-2</v>
      </c>
      <c r="L1596" s="17">
        <v>9.9000000000000005E-2</v>
      </c>
      <c r="N1596" s="2">
        <f t="shared" si="85"/>
        <v>0</v>
      </c>
      <c r="O1596" t="s">
        <v>2270</v>
      </c>
    </row>
    <row r="1597" spans="1:15" x14ac:dyDescent="0.25">
      <c r="A1597" s="12" t="s">
        <v>1412</v>
      </c>
      <c r="C1597">
        <v>363</v>
      </c>
      <c r="D1597">
        <v>1</v>
      </c>
      <c r="E1597">
        <v>0</v>
      </c>
      <c r="J1597" t="b">
        <f t="shared" si="86"/>
        <v>0</v>
      </c>
      <c r="K1597" s="2" t="s">
        <v>2533</v>
      </c>
      <c r="L1597" s="17">
        <v>4.9000000000000002E-2</v>
      </c>
    </row>
    <row r="1598" spans="1:15" x14ac:dyDescent="0.25">
      <c r="A1598" s="12" t="s">
        <v>16</v>
      </c>
      <c r="C1598">
        <v>363</v>
      </c>
      <c r="D1598">
        <v>1</v>
      </c>
      <c r="F1598">
        <v>-1.84</v>
      </c>
      <c r="H1598">
        <v>28</v>
      </c>
      <c r="J1598">
        <f t="shared" si="86"/>
        <v>0.32843739983708542</v>
      </c>
      <c r="K1598" s="2">
        <v>6.5000000000000002E-2</v>
      </c>
      <c r="L1598" s="17">
        <v>6.5000000000000002E-2</v>
      </c>
      <c r="N1598" s="2">
        <f t="shared" si="85"/>
        <v>0</v>
      </c>
      <c r="O1598" t="s">
        <v>2270</v>
      </c>
    </row>
    <row r="1599" spans="1:15" x14ac:dyDescent="0.25">
      <c r="A1599" s="12" t="s">
        <v>1413</v>
      </c>
      <c r="C1599">
        <v>363</v>
      </c>
      <c r="D1599">
        <v>1</v>
      </c>
      <c r="E1599">
        <v>0</v>
      </c>
      <c r="J1599" t="b">
        <f t="shared" ref="J1599:J1602" si="87">IF(NOT(ISBLANK(F1599)),SQRT((F1599^2*1/H1599)/(F1599^2*1/H1599+1)),IF(NOT(ISBLANK(G1599)),SQRT((G1599*H1599/I1599)/(G1599*H1599/I1599+1)*SQRT(1/H1599))))</f>
        <v>0</v>
      </c>
      <c r="K1599" s="2" t="s">
        <v>2533</v>
      </c>
      <c r="L1599" s="17">
        <v>4.9000000000000002E-2</v>
      </c>
    </row>
    <row r="1600" spans="1:15" x14ac:dyDescent="0.25">
      <c r="A1600" s="12" t="s">
        <v>1414</v>
      </c>
      <c r="C1600">
        <v>367</v>
      </c>
      <c r="D1600">
        <v>1</v>
      </c>
      <c r="G1600">
        <v>62.37</v>
      </c>
      <c r="H1600">
        <v>1</v>
      </c>
      <c r="I1600">
        <v>25</v>
      </c>
      <c r="J1600">
        <f t="shared" si="87"/>
        <v>0.84490271208042145</v>
      </c>
      <c r="K1600" s="2" t="s">
        <v>2139</v>
      </c>
      <c r="L1600" s="17">
        <v>1E-3</v>
      </c>
      <c r="M1600" s="2">
        <v>0</v>
      </c>
      <c r="N1600" s="2">
        <f t="shared" si="85"/>
        <v>0</v>
      </c>
    </row>
    <row r="1601" spans="1:16" x14ac:dyDescent="0.25">
      <c r="A1601" s="12" t="s">
        <v>1415</v>
      </c>
      <c r="C1601">
        <v>367</v>
      </c>
      <c r="D1601">
        <v>1</v>
      </c>
      <c r="G1601">
        <v>6.2469999999999999</v>
      </c>
      <c r="H1601">
        <v>2</v>
      </c>
      <c r="I1601">
        <v>24</v>
      </c>
      <c r="J1601">
        <f t="shared" si="87"/>
        <v>0.49201972965873142</v>
      </c>
      <c r="K1601" s="2" t="s">
        <v>2524</v>
      </c>
      <c r="L1601" s="17">
        <v>0.01</v>
      </c>
      <c r="M1601" s="2">
        <v>0</v>
      </c>
      <c r="N1601" s="2">
        <f t="shared" si="85"/>
        <v>0</v>
      </c>
    </row>
    <row r="1602" spans="1:16" x14ac:dyDescent="0.25">
      <c r="A1602" s="12" t="s">
        <v>1416</v>
      </c>
      <c r="C1602">
        <v>367</v>
      </c>
      <c r="D1602">
        <v>1</v>
      </c>
      <c r="G1602">
        <v>9.8109999999999999</v>
      </c>
      <c r="H1602">
        <v>2</v>
      </c>
      <c r="I1602">
        <v>24</v>
      </c>
      <c r="J1602">
        <f t="shared" si="87"/>
        <v>0.56397694420194422</v>
      </c>
      <c r="K1602" s="2" t="s">
        <v>2141</v>
      </c>
      <c r="L1602" s="17">
        <v>1E-3</v>
      </c>
      <c r="M1602" s="2">
        <v>0</v>
      </c>
      <c r="N1602" s="2">
        <f t="shared" si="85"/>
        <v>0</v>
      </c>
    </row>
    <row r="1603" spans="1:16" x14ac:dyDescent="0.25">
      <c r="A1603" s="12" t="s">
        <v>1417</v>
      </c>
      <c r="C1603">
        <v>367</v>
      </c>
      <c r="D1603">
        <v>1</v>
      </c>
      <c r="J1603">
        <v>0.49</v>
      </c>
      <c r="K1603" s="2">
        <v>0.01</v>
      </c>
      <c r="L1603" s="17">
        <v>0.01</v>
      </c>
      <c r="P1603" s="2" t="s">
        <v>2560</v>
      </c>
    </row>
    <row r="1604" spans="1:16" x14ac:dyDescent="0.25">
      <c r="A1604" s="12" t="s">
        <v>1418</v>
      </c>
      <c r="C1604">
        <v>367</v>
      </c>
      <c r="D1604">
        <v>1</v>
      </c>
      <c r="J1604">
        <v>-0.4</v>
      </c>
      <c r="K1604" s="2">
        <v>0.04</v>
      </c>
      <c r="L1604" s="17">
        <v>0.04</v>
      </c>
      <c r="P1604" s="2" t="s">
        <v>2560</v>
      </c>
    </row>
    <row r="1605" spans="1:16" x14ac:dyDescent="0.25">
      <c r="A1605" s="12" t="s">
        <v>1419</v>
      </c>
      <c r="C1605">
        <v>367</v>
      </c>
      <c r="D1605">
        <v>1</v>
      </c>
      <c r="J1605">
        <v>-0.54</v>
      </c>
      <c r="K1605" s="2">
        <v>4.0000000000000001E-3</v>
      </c>
      <c r="L1605" s="17">
        <v>4.0000000000000001E-3</v>
      </c>
      <c r="P1605" s="2" t="s">
        <v>2560</v>
      </c>
    </row>
    <row r="1606" spans="1:16" x14ac:dyDescent="0.25">
      <c r="A1606" s="12" t="s">
        <v>1420</v>
      </c>
      <c r="C1606">
        <v>369</v>
      </c>
      <c r="D1606">
        <v>1</v>
      </c>
      <c r="J1606">
        <v>0.6</v>
      </c>
      <c r="K1606" s="2">
        <v>1E-3</v>
      </c>
      <c r="L1606" s="17">
        <v>1E-3</v>
      </c>
      <c r="P1606" s="2" t="s">
        <v>2560</v>
      </c>
    </row>
    <row r="1607" spans="1:16" x14ac:dyDescent="0.25">
      <c r="A1607" s="12" t="s">
        <v>1421</v>
      </c>
      <c r="C1607">
        <v>369</v>
      </c>
      <c r="D1607">
        <v>1</v>
      </c>
      <c r="G1607">
        <v>144.76</v>
      </c>
      <c r="H1607">
        <v>1</v>
      </c>
      <c r="I1607">
        <v>137</v>
      </c>
      <c r="J1607">
        <f>IF(NOT(ISBLANK(F1607)),SQRT((F1607^2*1/H1607)/(F1607^2*1/H1607+1)),IF(NOT(ISBLANK(G1607)),SQRT((G1607*H1607/I1607)/(G1607*H1607/I1607+1)*SQRT(1/H1607))))</f>
        <v>0.71677791881094244</v>
      </c>
      <c r="K1607" s="2" t="s">
        <v>2141</v>
      </c>
      <c r="L1607" s="17">
        <v>1E-3</v>
      </c>
      <c r="M1607" s="2">
        <v>0</v>
      </c>
      <c r="N1607" s="2">
        <f t="shared" si="85"/>
        <v>0</v>
      </c>
    </row>
    <row r="1608" spans="1:16" x14ac:dyDescent="0.25">
      <c r="A1608" s="12" t="s">
        <v>1422</v>
      </c>
      <c r="C1608">
        <v>369</v>
      </c>
      <c r="D1608">
        <v>1</v>
      </c>
      <c r="G1608">
        <v>13.18</v>
      </c>
      <c r="H1608">
        <v>1</v>
      </c>
      <c r="I1608">
        <v>137</v>
      </c>
      <c r="J1608">
        <f>IF(NOT(ISBLANK(F1608)),SQRT((F1608^2*1/H1608)/(F1608^2*1/H1608+1)),IF(NOT(ISBLANK(G1608)),SQRT((G1608*H1608/I1608)/(G1608*H1608/I1608+1)*SQRT(1/H1608))))</f>
        <v>0.29624542704152423</v>
      </c>
      <c r="K1608" s="2" t="s">
        <v>2139</v>
      </c>
      <c r="L1608" s="17">
        <v>1E-3</v>
      </c>
      <c r="M1608" s="2">
        <v>0</v>
      </c>
      <c r="N1608" s="2">
        <f t="shared" si="85"/>
        <v>0</v>
      </c>
    </row>
    <row r="1609" spans="1:16" x14ac:dyDescent="0.25">
      <c r="A1609" s="12" t="s">
        <v>1423</v>
      </c>
      <c r="C1609">
        <v>369</v>
      </c>
      <c r="D1609">
        <v>1</v>
      </c>
      <c r="J1609">
        <v>0.28000000000000003</v>
      </c>
      <c r="K1609" s="2" t="s">
        <v>2524</v>
      </c>
      <c r="L1609" s="17">
        <v>0.01</v>
      </c>
      <c r="P1609" s="2" t="s">
        <v>2560</v>
      </c>
    </row>
    <row r="1610" spans="1:16" x14ac:dyDescent="0.25">
      <c r="A1610" s="12" t="s">
        <v>1424</v>
      </c>
      <c r="C1610">
        <v>369</v>
      </c>
      <c r="D1610">
        <v>1</v>
      </c>
      <c r="J1610">
        <v>0.04</v>
      </c>
      <c r="K1610" s="2">
        <v>0.67</v>
      </c>
      <c r="L1610" s="17">
        <v>0.67</v>
      </c>
      <c r="P1610" s="2" t="s">
        <v>2560</v>
      </c>
    </row>
    <row r="1611" spans="1:16" x14ac:dyDescent="0.25">
      <c r="A1611" s="12" t="s">
        <v>1425</v>
      </c>
      <c r="C1611">
        <v>369</v>
      </c>
      <c r="D1611">
        <v>1</v>
      </c>
      <c r="J1611">
        <v>0.01</v>
      </c>
      <c r="K1611" s="2">
        <v>0.45</v>
      </c>
      <c r="L1611" s="17">
        <v>0.45</v>
      </c>
      <c r="P1611" s="2" t="s">
        <v>2560</v>
      </c>
    </row>
    <row r="1612" spans="1:16" x14ac:dyDescent="0.25">
      <c r="A1612" s="12" t="s">
        <v>1426</v>
      </c>
      <c r="C1612">
        <v>369</v>
      </c>
      <c r="D1612">
        <v>1</v>
      </c>
      <c r="F1612">
        <v>0.48</v>
      </c>
      <c r="H1612">
        <v>135</v>
      </c>
      <c r="J1612">
        <f t="shared" ref="J1612:J1628" si="88">IF(NOT(ISBLANK(F1612)),SQRT((F1612^2*1/H1612)/(F1612^2*1/H1612+1)),IF(NOT(ISBLANK(G1612)),SQRT((G1612*H1612/I1612)/(G1612*H1612/I1612+1)*SQRT(1/H1612))))</f>
        <v>4.1276614663912144E-2</v>
      </c>
      <c r="K1612" s="2">
        <v>0.63200000000000001</v>
      </c>
      <c r="L1612" s="17">
        <v>0.63200000000000001</v>
      </c>
      <c r="M1612" s="2">
        <v>0</v>
      </c>
      <c r="N1612" s="2">
        <v>0</v>
      </c>
    </row>
    <row r="1613" spans="1:16" x14ac:dyDescent="0.25">
      <c r="A1613" s="12" t="s">
        <v>1427</v>
      </c>
      <c r="C1613">
        <v>369</v>
      </c>
      <c r="D1613">
        <v>1</v>
      </c>
      <c r="E1613">
        <v>0</v>
      </c>
      <c r="J1613" t="b">
        <f t="shared" si="88"/>
        <v>0</v>
      </c>
    </row>
    <row r="1614" spans="1:16" x14ac:dyDescent="0.25">
      <c r="A1614" s="12" t="s">
        <v>1428</v>
      </c>
      <c r="C1614">
        <v>369</v>
      </c>
      <c r="D1614">
        <v>1</v>
      </c>
      <c r="E1614">
        <v>0</v>
      </c>
      <c r="J1614" t="b">
        <f t="shared" si="88"/>
        <v>0</v>
      </c>
    </row>
    <row r="1615" spans="1:16" x14ac:dyDescent="0.25">
      <c r="A1615" s="12" t="s">
        <v>1429</v>
      </c>
      <c r="C1615">
        <v>369</v>
      </c>
      <c r="D1615">
        <v>1</v>
      </c>
      <c r="G1615">
        <v>253.74</v>
      </c>
      <c r="H1615">
        <v>1</v>
      </c>
      <c r="I1615">
        <v>136</v>
      </c>
      <c r="J1615">
        <f t="shared" si="88"/>
        <v>0.80687633349877408</v>
      </c>
      <c r="K1615" s="2" t="s">
        <v>2139</v>
      </c>
      <c r="L1615" s="17">
        <v>1E-3</v>
      </c>
      <c r="M1615" s="2" t="s">
        <v>2558</v>
      </c>
      <c r="N1615" s="2" t="s">
        <v>2558</v>
      </c>
      <c r="O1615" t="s">
        <v>2135</v>
      </c>
    </row>
    <row r="1616" spans="1:16" x14ac:dyDescent="0.25">
      <c r="A1616" s="12" t="s">
        <v>1430</v>
      </c>
      <c r="C1616">
        <v>369</v>
      </c>
      <c r="D1616">
        <v>1</v>
      </c>
      <c r="G1616">
        <v>0.2</v>
      </c>
      <c r="H1616">
        <v>1</v>
      </c>
      <c r="I1616">
        <v>135</v>
      </c>
      <c r="J1616">
        <f t="shared" si="88"/>
        <v>3.8461538461538464E-2</v>
      </c>
      <c r="K1616" s="2">
        <v>0.65</v>
      </c>
      <c r="L1616" s="17">
        <v>0.65</v>
      </c>
      <c r="M1616" s="2" t="s">
        <v>2558</v>
      </c>
      <c r="N1616" s="2" t="s">
        <v>2558</v>
      </c>
      <c r="O1616" t="s">
        <v>2135</v>
      </c>
    </row>
    <row r="1617" spans="1:16" x14ac:dyDescent="0.25">
      <c r="A1617" s="12" t="s">
        <v>1431</v>
      </c>
      <c r="C1617">
        <v>369</v>
      </c>
      <c r="D1617">
        <v>1</v>
      </c>
      <c r="G1617">
        <v>485.02</v>
      </c>
      <c r="H1617">
        <v>1</v>
      </c>
      <c r="I1617">
        <v>136</v>
      </c>
      <c r="J1617">
        <f t="shared" si="88"/>
        <v>0.88374512313158005</v>
      </c>
      <c r="K1617" s="2" t="s">
        <v>2139</v>
      </c>
      <c r="L1617" s="17">
        <v>1E-3</v>
      </c>
      <c r="M1617" s="2" t="s">
        <v>2558</v>
      </c>
      <c r="N1617" s="2" t="s">
        <v>2558</v>
      </c>
      <c r="O1617" t="s">
        <v>2135</v>
      </c>
    </row>
    <row r="1618" spans="1:16" x14ac:dyDescent="0.25">
      <c r="A1618" s="12" t="s">
        <v>1432</v>
      </c>
      <c r="C1618">
        <v>369</v>
      </c>
      <c r="D1618">
        <v>1</v>
      </c>
      <c r="G1618">
        <v>1.88</v>
      </c>
      <c r="H1618">
        <v>1</v>
      </c>
      <c r="I1618">
        <v>135</v>
      </c>
      <c r="J1618">
        <f t="shared" si="88"/>
        <v>0.11719495763334475</v>
      </c>
      <c r="K1618" s="2">
        <v>0.17</v>
      </c>
      <c r="L1618" s="17">
        <v>0.17</v>
      </c>
      <c r="M1618" s="2" t="s">
        <v>2558</v>
      </c>
      <c r="N1618" s="2" t="s">
        <v>2558</v>
      </c>
      <c r="O1618" t="s">
        <v>2135</v>
      </c>
    </row>
    <row r="1619" spans="1:16" x14ac:dyDescent="0.25">
      <c r="A1619" s="12" t="s">
        <v>1433</v>
      </c>
      <c r="C1619">
        <v>370</v>
      </c>
      <c r="D1619">
        <v>1</v>
      </c>
      <c r="E1619">
        <v>0</v>
      </c>
      <c r="J1619" t="b">
        <f t="shared" si="88"/>
        <v>0</v>
      </c>
      <c r="K1619" s="2" t="s">
        <v>2139</v>
      </c>
      <c r="L1619" s="17">
        <v>1E-3</v>
      </c>
      <c r="M1619" s="2">
        <v>0</v>
      </c>
      <c r="N1619" s="2">
        <f t="shared" ref="N1619:N1681" si="89">IF(M1619=0, 0)</f>
        <v>0</v>
      </c>
    </row>
    <row r="1620" spans="1:16" x14ac:dyDescent="0.25">
      <c r="A1620" s="12" t="s">
        <v>1434</v>
      </c>
      <c r="C1620">
        <v>370</v>
      </c>
      <c r="D1620">
        <v>1</v>
      </c>
      <c r="E1620">
        <v>0</v>
      </c>
      <c r="J1620" t="b">
        <f t="shared" si="88"/>
        <v>0</v>
      </c>
      <c r="K1620" s="2" t="s">
        <v>2139</v>
      </c>
      <c r="L1620" s="17">
        <v>1E-3</v>
      </c>
      <c r="M1620" s="2">
        <v>0</v>
      </c>
      <c r="N1620" s="2">
        <f t="shared" si="89"/>
        <v>0</v>
      </c>
    </row>
    <row r="1621" spans="1:16" x14ac:dyDescent="0.25">
      <c r="A1621" s="12" t="s">
        <v>1435</v>
      </c>
      <c r="C1621">
        <v>370</v>
      </c>
      <c r="D1621">
        <v>1</v>
      </c>
      <c r="E1621">
        <v>0</v>
      </c>
      <c r="J1621" t="b">
        <f t="shared" si="88"/>
        <v>0</v>
      </c>
      <c r="K1621" s="2">
        <v>0.2</v>
      </c>
      <c r="L1621" s="17">
        <v>0.2</v>
      </c>
      <c r="M1621" s="2">
        <v>0</v>
      </c>
      <c r="N1621" s="2">
        <f t="shared" si="89"/>
        <v>0</v>
      </c>
    </row>
    <row r="1622" spans="1:16" x14ac:dyDescent="0.25">
      <c r="A1622" s="12" t="s">
        <v>1436</v>
      </c>
      <c r="C1622">
        <v>370</v>
      </c>
      <c r="D1622">
        <v>2</v>
      </c>
      <c r="E1622">
        <v>0</v>
      </c>
      <c r="J1622" t="b">
        <f t="shared" si="88"/>
        <v>0</v>
      </c>
      <c r="K1622" s="2" t="s">
        <v>2528</v>
      </c>
      <c r="L1622" s="17">
        <v>4.9000000000000002E-2</v>
      </c>
      <c r="O1622" t="s">
        <v>2272</v>
      </c>
    </row>
    <row r="1623" spans="1:16" x14ac:dyDescent="0.25">
      <c r="A1623" s="12" t="s">
        <v>1437</v>
      </c>
      <c r="C1623">
        <v>370</v>
      </c>
      <c r="D1623">
        <v>1</v>
      </c>
      <c r="E1623">
        <v>0</v>
      </c>
      <c r="J1623" t="b">
        <f t="shared" si="88"/>
        <v>0</v>
      </c>
      <c r="K1623" s="2" t="s">
        <v>2528</v>
      </c>
      <c r="L1623" s="17">
        <v>4.9000000000000002E-2</v>
      </c>
    </row>
    <row r="1624" spans="1:16" x14ac:dyDescent="0.25">
      <c r="A1624" s="12" t="s">
        <v>1438</v>
      </c>
      <c r="C1624">
        <v>370</v>
      </c>
      <c r="D1624">
        <v>1</v>
      </c>
      <c r="E1624">
        <v>0</v>
      </c>
      <c r="J1624" t="b">
        <f t="shared" si="88"/>
        <v>0</v>
      </c>
      <c r="K1624" s="2" t="s">
        <v>2141</v>
      </c>
      <c r="L1624" s="17">
        <v>1E-3</v>
      </c>
    </row>
    <row r="1625" spans="1:16" x14ac:dyDescent="0.25">
      <c r="A1625" s="12" t="s">
        <v>1439</v>
      </c>
      <c r="C1625">
        <v>370</v>
      </c>
      <c r="D1625">
        <v>1</v>
      </c>
      <c r="E1625">
        <v>0</v>
      </c>
      <c r="J1625" t="b">
        <f t="shared" si="88"/>
        <v>0</v>
      </c>
      <c r="K1625" s="2">
        <v>1.0789999999999999E-2</v>
      </c>
      <c r="L1625" s="17">
        <v>1.0789999999999999E-2</v>
      </c>
      <c r="M1625" s="2">
        <v>1</v>
      </c>
      <c r="N1625" s="2">
        <v>0</v>
      </c>
    </row>
    <row r="1626" spans="1:16" x14ac:dyDescent="0.25">
      <c r="A1626" s="12" t="s">
        <v>1440</v>
      </c>
      <c r="C1626">
        <v>370</v>
      </c>
      <c r="D1626">
        <v>1</v>
      </c>
      <c r="E1626">
        <v>0</v>
      </c>
      <c r="J1626" t="b">
        <f t="shared" si="88"/>
        <v>0</v>
      </c>
      <c r="K1626" s="2">
        <v>1.584E-2</v>
      </c>
      <c r="L1626" s="17">
        <v>1.584E-2</v>
      </c>
      <c r="M1626" s="2">
        <v>1</v>
      </c>
      <c r="N1626" s="2">
        <v>0</v>
      </c>
    </row>
    <row r="1627" spans="1:16" x14ac:dyDescent="0.25">
      <c r="A1627" s="12" t="s">
        <v>1441</v>
      </c>
      <c r="C1627">
        <v>370</v>
      </c>
      <c r="D1627">
        <v>1</v>
      </c>
      <c r="E1627">
        <v>0</v>
      </c>
      <c r="J1627" t="b">
        <f t="shared" si="88"/>
        <v>0</v>
      </c>
      <c r="K1627" s="2">
        <v>3.0000000000000001E-3</v>
      </c>
      <c r="L1627" s="17">
        <v>3.0000000000000001E-3</v>
      </c>
      <c r="M1627" s="2" t="s">
        <v>2558</v>
      </c>
      <c r="N1627" s="2" t="s">
        <v>2558</v>
      </c>
      <c r="O1627" t="s">
        <v>2135</v>
      </c>
    </row>
    <row r="1628" spans="1:16" x14ac:dyDescent="0.25">
      <c r="A1628" s="12" t="s">
        <v>1442</v>
      </c>
      <c r="C1628">
        <v>370</v>
      </c>
      <c r="D1628">
        <v>1</v>
      </c>
      <c r="E1628">
        <v>0</v>
      </c>
      <c r="J1628" t="b">
        <f t="shared" si="88"/>
        <v>0</v>
      </c>
      <c r="K1628" s="2">
        <v>7.0000000000000007E-2</v>
      </c>
      <c r="L1628" s="17">
        <v>7.0000000000000007E-2</v>
      </c>
    </row>
    <row r="1629" spans="1:16" x14ac:dyDescent="0.25">
      <c r="A1629" s="12" t="s">
        <v>1443</v>
      </c>
      <c r="C1629">
        <v>373</v>
      </c>
      <c r="D1629">
        <v>1</v>
      </c>
      <c r="J1629">
        <v>0.63</v>
      </c>
      <c r="K1629" s="2" t="s">
        <v>2519</v>
      </c>
      <c r="L1629" s="17">
        <v>1E-3</v>
      </c>
      <c r="P1629" s="2" t="s">
        <v>2560</v>
      </c>
    </row>
    <row r="1630" spans="1:16" x14ac:dyDescent="0.25">
      <c r="A1630" s="12" t="s">
        <v>1444</v>
      </c>
      <c r="C1630">
        <v>373</v>
      </c>
      <c r="D1630">
        <v>1</v>
      </c>
      <c r="J1630">
        <v>0.36</v>
      </c>
      <c r="K1630" s="2">
        <v>1.6999999999999999E-3</v>
      </c>
      <c r="L1630" s="17">
        <v>1.6999999999999999E-3</v>
      </c>
      <c r="O1630" t="s">
        <v>2264</v>
      </c>
      <c r="P1630" s="2" t="s">
        <v>2560</v>
      </c>
    </row>
    <row r="1631" spans="1:16" x14ac:dyDescent="0.25">
      <c r="A1631" s="12" t="s">
        <v>1445</v>
      </c>
      <c r="C1631">
        <v>373</v>
      </c>
      <c r="D1631">
        <v>1</v>
      </c>
      <c r="J1631">
        <v>0.67</v>
      </c>
      <c r="K1631" s="2" t="s">
        <v>2519</v>
      </c>
      <c r="L1631" s="17">
        <v>1E-3</v>
      </c>
      <c r="P1631" s="2" t="s">
        <v>2560</v>
      </c>
    </row>
    <row r="1632" spans="1:16" x14ac:dyDescent="0.25">
      <c r="A1632" s="12" t="s">
        <v>1446</v>
      </c>
      <c r="C1632">
        <v>373</v>
      </c>
      <c r="D1632">
        <v>1</v>
      </c>
      <c r="J1632">
        <v>0.38</v>
      </c>
      <c r="K1632" s="2" t="s">
        <v>2535</v>
      </c>
      <c r="L1632" s="17">
        <v>1E-4</v>
      </c>
      <c r="P1632" s="2" t="s">
        <v>2560</v>
      </c>
    </row>
    <row r="1633" spans="1:16" x14ac:dyDescent="0.25">
      <c r="A1633" s="12" t="s">
        <v>1447</v>
      </c>
      <c r="C1633">
        <v>373</v>
      </c>
      <c r="D1633">
        <v>1</v>
      </c>
      <c r="J1633">
        <v>0.46</v>
      </c>
      <c r="K1633" s="2" t="s">
        <v>2535</v>
      </c>
      <c r="L1633" s="17">
        <v>1E-4</v>
      </c>
      <c r="O1633" t="s">
        <v>2273</v>
      </c>
      <c r="P1633" s="2" t="s">
        <v>2560</v>
      </c>
    </row>
    <row r="1634" spans="1:16" x14ac:dyDescent="0.25">
      <c r="A1634" s="12" t="s">
        <v>1448</v>
      </c>
      <c r="C1634">
        <v>373</v>
      </c>
      <c r="D1634">
        <v>1</v>
      </c>
      <c r="J1634">
        <v>0.19</v>
      </c>
      <c r="K1634" s="2">
        <v>0.11</v>
      </c>
      <c r="L1634" s="17">
        <v>0.11</v>
      </c>
      <c r="P1634" s="2" t="s">
        <v>2560</v>
      </c>
    </row>
    <row r="1635" spans="1:16" x14ac:dyDescent="0.25">
      <c r="A1635" s="12" t="s">
        <v>1449</v>
      </c>
      <c r="C1635">
        <v>373</v>
      </c>
      <c r="D1635">
        <v>1</v>
      </c>
      <c r="J1635">
        <v>-0.19</v>
      </c>
      <c r="K1635" s="2">
        <v>9.8000000000000004E-2</v>
      </c>
      <c r="L1635" s="17">
        <v>9.8000000000000004E-2</v>
      </c>
      <c r="P1635" s="2" t="s">
        <v>2560</v>
      </c>
    </row>
    <row r="1636" spans="1:16" x14ac:dyDescent="0.25">
      <c r="A1636" s="12" t="s">
        <v>1450</v>
      </c>
      <c r="C1636">
        <v>373</v>
      </c>
      <c r="D1636">
        <v>1</v>
      </c>
      <c r="J1636">
        <v>0.46</v>
      </c>
      <c r="K1636" s="2" t="s">
        <v>2517</v>
      </c>
      <c r="L1636" s="17">
        <v>1E-3</v>
      </c>
      <c r="O1636" t="s">
        <v>2274</v>
      </c>
      <c r="P1636" s="2" t="s">
        <v>2560</v>
      </c>
    </row>
    <row r="1637" spans="1:16" x14ac:dyDescent="0.25">
      <c r="A1637" s="12" t="s">
        <v>1451</v>
      </c>
      <c r="C1637">
        <v>373</v>
      </c>
      <c r="D1637">
        <v>1</v>
      </c>
      <c r="J1637">
        <v>0.3</v>
      </c>
      <c r="K1637" s="2">
        <v>4.0000000000000001E-3</v>
      </c>
      <c r="L1637" s="17">
        <v>4.0000000000000001E-3</v>
      </c>
      <c r="O1637" t="s">
        <v>2274</v>
      </c>
      <c r="P1637" s="2" t="s">
        <v>2560</v>
      </c>
    </row>
    <row r="1638" spans="1:16" x14ac:dyDescent="0.25">
      <c r="A1638" s="12" t="s">
        <v>1452</v>
      </c>
      <c r="C1638">
        <v>373</v>
      </c>
      <c r="D1638">
        <v>1</v>
      </c>
      <c r="G1638">
        <v>6</v>
      </c>
      <c r="H1638">
        <v>4</v>
      </c>
      <c r="I1638">
        <v>292</v>
      </c>
      <c r="J1638">
        <f>IF(NOT(ISBLANK(F1638)),SQRT((F1638^2*1/H1638)/(F1638^2*1/H1638+1)),IF(NOT(ISBLANK(G1638)),SQRT((G1638*H1638/I1638)/(G1638*H1638/I1638+1)*SQRT(1/H1638))))</f>
        <v>0.19487094073848926</v>
      </c>
      <c r="K1638" s="2">
        <v>1.8000000000000001E-4</v>
      </c>
      <c r="L1638" s="17">
        <v>1.8000000000000001E-4</v>
      </c>
      <c r="M1638" s="2" t="s">
        <v>2558</v>
      </c>
      <c r="N1638" s="2" t="s">
        <v>2558</v>
      </c>
    </row>
    <row r="1639" spans="1:16" x14ac:dyDescent="0.25">
      <c r="A1639" s="12" t="s">
        <v>1453</v>
      </c>
      <c r="C1639">
        <v>373</v>
      </c>
      <c r="D1639">
        <v>1</v>
      </c>
      <c r="J1639">
        <v>0.24</v>
      </c>
      <c r="K1639" s="2">
        <v>4.1000000000000002E-2</v>
      </c>
      <c r="L1639" s="17">
        <v>4.1000000000000002E-2</v>
      </c>
      <c r="N1639" s="2">
        <f t="shared" si="89"/>
        <v>0</v>
      </c>
      <c r="P1639" s="2" t="s">
        <v>2560</v>
      </c>
    </row>
    <row r="1640" spans="1:16" x14ac:dyDescent="0.25">
      <c r="A1640" s="12" t="s">
        <v>1454</v>
      </c>
      <c r="C1640">
        <v>373</v>
      </c>
      <c r="D1640">
        <v>1</v>
      </c>
      <c r="F1640">
        <v>-3.41</v>
      </c>
      <c r="H1640">
        <v>73</v>
      </c>
      <c r="J1640">
        <f>IF(NOT(ISBLANK(F1640)),SQRT((F1640^2*1/H1640)/(F1640^2*1/H1640+1)),IF(NOT(ISBLANK(G1640)),SQRT((G1640*H1640/I1640)/(G1640*H1640/I1640+1)*SQRT(1/H1640))))</f>
        <v>0.37067823266790995</v>
      </c>
      <c r="K1640" s="2">
        <v>1.1E-4</v>
      </c>
      <c r="L1640" s="17">
        <v>1.1E-4</v>
      </c>
      <c r="M1640" s="2" t="s">
        <v>2558</v>
      </c>
      <c r="N1640" s="2" t="s">
        <v>2558</v>
      </c>
    </row>
    <row r="1641" spans="1:16" x14ac:dyDescent="0.25">
      <c r="A1641" s="12" t="s">
        <v>1455</v>
      </c>
      <c r="B1641" t="s">
        <v>2275</v>
      </c>
      <c r="C1641">
        <v>373</v>
      </c>
      <c r="D1641">
        <v>1</v>
      </c>
      <c r="F1641">
        <v>-2.77</v>
      </c>
      <c r="H1641">
        <v>73</v>
      </c>
      <c r="J1641">
        <f>IF(NOT(ISBLANK(F1641)),SQRT((F1641^2*1/H1641)/(F1641^2*1/H1641+1)),IF(NOT(ISBLANK(G1641)),SQRT((G1641*H1641/I1641)/(G1641*H1641/I1641+1)*SQRT(1/H1641))))</f>
        <v>0.30840111143766236</v>
      </c>
      <c r="K1641" s="2">
        <v>7.0000000000000001E-3</v>
      </c>
      <c r="L1641" s="17">
        <v>7.0000000000000001E-3</v>
      </c>
      <c r="M1641" s="2" t="s">
        <v>2558</v>
      </c>
      <c r="N1641" s="2" t="s">
        <v>2558</v>
      </c>
    </row>
    <row r="1642" spans="1:16" x14ac:dyDescent="0.25">
      <c r="A1642" s="12" t="s">
        <v>1456</v>
      </c>
      <c r="C1642">
        <v>373</v>
      </c>
      <c r="D1642">
        <v>1</v>
      </c>
      <c r="F1642">
        <v>3.0379999999999998</v>
      </c>
      <c r="H1642">
        <v>73</v>
      </c>
      <c r="J1642">
        <f>IF(NOT(ISBLANK(F1642)),SQRT((F1642^2*1/H1642)/(F1642^2*1/H1642+1)),IF(NOT(ISBLANK(G1642)),SQRT((G1642*H1642/I1642)/(G1642*H1642/I1642+1)*SQRT(1/H1642))))</f>
        <v>0.33502259068667206</v>
      </c>
      <c r="K1642" s="2">
        <v>3.3E-3</v>
      </c>
      <c r="L1642" s="17">
        <v>3.3E-3</v>
      </c>
      <c r="M1642" s="2" t="s">
        <v>2558</v>
      </c>
      <c r="N1642" s="2" t="s">
        <v>2558</v>
      </c>
    </row>
    <row r="1643" spans="1:16" x14ac:dyDescent="0.25">
      <c r="A1643" s="12" t="s">
        <v>1457</v>
      </c>
      <c r="C1643">
        <v>373</v>
      </c>
      <c r="D1643">
        <v>1</v>
      </c>
      <c r="J1643">
        <v>-0.3</v>
      </c>
      <c r="K1643" s="2">
        <v>9.9000000000000008E-3</v>
      </c>
      <c r="L1643" s="17">
        <v>9.9000000000000008E-3</v>
      </c>
      <c r="N1643" s="2">
        <f t="shared" si="89"/>
        <v>0</v>
      </c>
      <c r="P1643" s="2" t="s">
        <v>2560</v>
      </c>
    </row>
    <row r="1644" spans="1:16" x14ac:dyDescent="0.25">
      <c r="A1644" s="12" t="s">
        <v>1458</v>
      </c>
      <c r="C1644">
        <v>373</v>
      </c>
      <c r="D1644">
        <v>1</v>
      </c>
      <c r="J1644">
        <v>-0.31</v>
      </c>
      <c r="K1644" s="2">
        <v>6.4999999999999997E-3</v>
      </c>
      <c r="L1644" s="17">
        <v>6.4999999999999997E-3</v>
      </c>
      <c r="N1644" s="2">
        <f t="shared" si="89"/>
        <v>0</v>
      </c>
      <c r="P1644" s="2" t="s">
        <v>2560</v>
      </c>
    </row>
    <row r="1645" spans="1:16" x14ac:dyDescent="0.25">
      <c r="A1645" s="12" t="s">
        <v>1459</v>
      </c>
      <c r="C1645">
        <v>373</v>
      </c>
      <c r="D1645">
        <v>1</v>
      </c>
      <c r="J1645">
        <v>0.26</v>
      </c>
      <c r="K1645" s="2">
        <v>2.5999999999999999E-2</v>
      </c>
      <c r="L1645" s="17">
        <v>2.5999999999999999E-2</v>
      </c>
      <c r="N1645" s="2">
        <f t="shared" si="89"/>
        <v>0</v>
      </c>
      <c r="P1645" s="2" t="s">
        <v>2560</v>
      </c>
    </row>
    <row r="1646" spans="1:16" x14ac:dyDescent="0.25">
      <c r="A1646" s="12" t="s">
        <v>1460</v>
      </c>
      <c r="C1646">
        <v>373</v>
      </c>
      <c r="D1646">
        <v>1</v>
      </c>
      <c r="J1646">
        <v>-0.33</v>
      </c>
      <c r="K1646" s="2">
        <v>4.5999999999999999E-3</v>
      </c>
      <c r="L1646" s="17">
        <v>4.5999999999999999E-3</v>
      </c>
      <c r="N1646" s="2">
        <f t="shared" si="89"/>
        <v>0</v>
      </c>
      <c r="P1646" s="2" t="s">
        <v>2560</v>
      </c>
    </row>
    <row r="1647" spans="1:16" x14ac:dyDescent="0.25">
      <c r="A1647" s="12" t="s">
        <v>1461</v>
      </c>
      <c r="C1647">
        <v>373</v>
      </c>
      <c r="D1647">
        <v>1</v>
      </c>
      <c r="J1647">
        <v>-0.32</v>
      </c>
      <c r="K1647" s="2">
        <v>4.8999999999999998E-3</v>
      </c>
      <c r="L1647" s="17">
        <v>4.8999999999999998E-3</v>
      </c>
      <c r="N1647" s="2">
        <f t="shared" si="89"/>
        <v>0</v>
      </c>
      <c r="P1647" s="2" t="s">
        <v>2560</v>
      </c>
    </row>
    <row r="1648" spans="1:16" x14ac:dyDescent="0.25">
      <c r="A1648" s="12" t="s">
        <v>1462</v>
      </c>
      <c r="C1648">
        <v>373</v>
      </c>
      <c r="D1648">
        <v>1</v>
      </c>
      <c r="J1648">
        <v>-0.25</v>
      </c>
      <c r="K1648" s="2">
        <v>2.9000000000000001E-2</v>
      </c>
      <c r="L1648" s="17">
        <v>2.9000000000000001E-2</v>
      </c>
      <c r="N1648" s="2">
        <f t="shared" si="89"/>
        <v>0</v>
      </c>
      <c r="P1648" s="2" t="s">
        <v>2560</v>
      </c>
    </row>
    <row r="1649" spans="1:16" x14ac:dyDescent="0.25">
      <c r="A1649" s="12" t="s">
        <v>1463</v>
      </c>
      <c r="C1649">
        <v>373</v>
      </c>
      <c r="D1649">
        <v>1</v>
      </c>
      <c r="J1649">
        <v>-0.23</v>
      </c>
      <c r="K1649" s="2">
        <v>4.7E-2</v>
      </c>
      <c r="L1649" s="17">
        <v>4.7E-2</v>
      </c>
      <c r="N1649" s="2">
        <f t="shared" si="89"/>
        <v>0</v>
      </c>
      <c r="P1649" s="2" t="s">
        <v>2560</v>
      </c>
    </row>
    <row r="1650" spans="1:16" x14ac:dyDescent="0.25">
      <c r="A1650" s="12" t="s">
        <v>1464</v>
      </c>
      <c r="C1650">
        <v>373</v>
      </c>
      <c r="D1650">
        <v>1</v>
      </c>
      <c r="J1650">
        <v>-0.24</v>
      </c>
      <c r="K1650" s="2">
        <v>3.9E-2</v>
      </c>
      <c r="L1650" s="17">
        <v>3.9E-2</v>
      </c>
      <c r="N1650" s="2">
        <f t="shared" si="89"/>
        <v>0</v>
      </c>
      <c r="P1650" s="2" t="s">
        <v>2560</v>
      </c>
    </row>
    <row r="1651" spans="1:16" x14ac:dyDescent="0.25">
      <c r="A1651" s="12" t="s">
        <v>1465</v>
      </c>
      <c r="C1651">
        <v>373</v>
      </c>
      <c r="D1651">
        <v>1</v>
      </c>
      <c r="J1651">
        <v>-0.34</v>
      </c>
      <c r="K1651" s="2">
        <v>3.0999999999999999E-3</v>
      </c>
      <c r="L1651" s="17">
        <v>3.0999999999999999E-3</v>
      </c>
      <c r="N1651" s="2">
        <f t="shared" si="89"/>
        <v>0</v>
      </c>
      <c r="P1651" s="2" t="s">
        <v>2560</v>
      </c>
    </row>
    <row r="1652" spans="1:16" x14ac:dyDescent="0.25">
      <c r="A1652" s="12" t="s">
        <v>1466</v>
      </c>
      <c r="C1652">
        <v>373</v>
      </c>
      <c r="D1652">
        <v>1</v>
      </c>
      <c r="J1652">
        <v>-0.24</v>
      </c>
      <c r="K1652" s="2">
        <v>4.1000000000000002E-2</v>
      </c>
      <c r="L1652" s="17">
        <v>4.1000000000000002E-2</v>
      </c>
      <c r="N1652" s="2">
        <f t="shared" si="89"/>
        <v>0</v>
      </c>
      <c r="P1652" s="2" t="s">
        <v>2560</v>
      </c>
    </row>
    <row r="1653" spans="1:16" x14ac:dyDescent="0.25">
      <c r="A1653" s="12" t="s">
        <v>1467</v>
      </c>
      <c r="C1653">
        <v>373</v>
      </c>
      <c r="D1653">
        <v>1</v>
      </c>
      <c r="J1653">
        <v>0.24</v>
      </c>
      <c r="K1653" s="2">
        <v>4.2000000000000003E-2</v>
      </c>
      <c r="L1653" s="17">
        <v>4.2000000000000003E-2</v>
      </c>
      <c r="N1653" s="2">
        <f t="shared" si="89"/>
        <v>0</v>
      </c>
      <c r="P1653" s="2" t="s">
        <v>2560</v>
      </c>
    </row>
    <row r="1654" spans="1:16" x14ac:dyDescent="0.25">
      <c r="A1654" s="12" t="s">
        <v>1468</v>
      </c>
      <c r="C1654">
        <v>373</v>
      </c>
      <c r="D1654">
        <v>1</v>
      </c>
      <c r="J1654">
        <v>-0.23</v>
      </c>
      <c r="K1654" s="2">
        <v>4.5999999999999999E-2</v>
      </c>
      <c r="L1654" s="17">
        <v>4.5999999999999999E-2</v>
      </c>
      <c r="N1654" s="2">
        <f t="shared" si="89"/>
        <v>0</v>
      </c>
      <c r="P1654" s="2" t="s">
        <v>2560</v>
      </c>
    </row>
    <row r="1655" spans="1:16" x14ac:dyDescent="0.25">
      <c r="A1655" s="12" t="s">
        <v>1469</v>
      </c>
      <c r="C1655">
        <v>373</v>
      </c>
      <c r="D1655">
        <v>1</v>
      </c>
      <c r="J1655">
        <v>0.27</v>
      </c>
      <c r="K1655" s="2">
        <v>2.1000000000000001E-2</v>
      </c>
      <c r="L1655" s="17">
        <v>2.1000000000000001E-2</v>
      </c>
      <c r="N1655" s="2">
        <f t="shared" si="89"/>
        <v>0</v>
      </c>
      <c r="P1655" s="2" t="s">
        <v>2560</v>
      </c>
    </row>
    <row r="1656" spans="1:16" x14ac:dyDescent="0.25">
      <c r="A1656" s="12" t="s">
        <v>1470</v>
      </c>
      <c r="C1656">
        <v>373</v>
      </c>
      <c r="D1656">
        <v>1</v>
      </c>
      <c r="J1656">
        <v>0.28000000000000003</v>
      </c>
      <c r="K1656" s="2">
        <v>1.6E-2</v>
      </c>
      <c r="L1656" s="17">
        <v>1.6E-2</v>
      </c>
      <c r="N1656" s="2">
        <f t="shared" si="89"/>
        <v>0</v>
      </c>
      <c r="P1656" s="2" t="s">
        <v>2560</v>
      </c>
    </row>
    <row r="1657" spans="1:16" x14ac:dyDescent="0.25">
      <c r="A1657" s="12" t="s">
        <v>1471</v>
      </c>
      <c r="C1657">
        <v>373</v>
      </c>
      <c r="D1657">
        <v>1</v>
      </c>
      <c r="J1657">
        <v>0.26</v>
      </c>
      <c r="K1657" s="2">
        <v>2.7E-2</v>
      </c>
      <c r="L1657" s="17">
        <v>2.7E-2</v>
      </c>
      <c r="N1657" s="2">
        <f t="shared" si="89"/>
        <v>0</v>
      </c>
      <c r="P1657" s="2" t="s">
        <v>2560</v>
      </c>
    </row>
    <row r="1658" spans="1:16" x14ac:dyDescent="0.25">
      <c r="A1658" s="12" t="s">
        <v>1472</v>
      </c>
      <c r="C1658">
        <v>373</v>
      </c>
      <c r="D1658">
        <v>1</v>
      </c>
      <c r="J1658">
        <v>-0.28999999999999998</v>
      </c>
      <c r="K1658" s="2">
        <v>1.2999999999999999E-2</v>
      </c>
      <c r="L1658" s="17">
        <v>1.2999999999999999E-2</v>
      </c>
      <c r="N1658" s="2">
        <f t="shared" si="89"/>
        <v>0</v>
      </c>
      <c r="P1658" s="2" t="s">
        <v>2560</v>
      </c>
    </row>
    <row r="1659" spans="1:16" x14ac:dyDescent="0.25">
      <c r="A1659" s="12" t="s">
        <v>2481</v>
      </c>
      <c r="C1659">
        <v>375</v>
      </c>
      <c r="D1659">
        <v>1</v>
      </c>
      <c r="F1659">
        <v>11.14</v>
      </c>
      <c r="H1659">
        <v>182</v>
      </c>
      <c r="J1659">
        <f>IF(NOT(ISBLANK(F1659)),SQRT((F1659^2*1/H1659)/(F1659^2*1/H1659+1)),IF(NOT(ISBLANK(G1659)),SQRT((G1659*H1659/I1659)/(G1659*H1659/I1659+1)*SQRT(1/H1659))))</f>
        <v>0.63672779693225046</v>
      </c>
      <c r="K1659" s="2" t="s">
        <v>2174</v>
      </c>
      <c r="L1659" s="17">
        <v>1E-3</v>
      </c>
      <c r="M1659" s="2" t="s">
        <v>2558</v>
      </c>
      <c r="N1659" s="2" t="s">
        <v>2558</v>
      </c>
    </row>
    <row r="1660" spans="1:16" x14ac:dyDescent="0.25">
      <c r="A1660" s="12" t="s">
        <v>2482</v>
      </c>
      <c r="C1660">
        <v>375</v>
      </c>
      <c r="D1660">
        <v>1</v>
      </c>
      <c r="J1660">
        <v>-0.379</v>
      </c>
      <c r="K1660" s="2" t="s">
        <v>2174</v>
      </c>
      <c r="L1660" s="17">
        <v>1E-3</v>
      </c>
      <c r="P1660" s="2" t="s">
        <v>2560</v>
      </c>
    </row>
    <row r="1661" spans="1:16" x14ac:dyDescent="0.25">
      <c r="A1661" s="11" t="s">
        <v>2483</v>
      </c>
      <c r="C1661">
        <v>375</v>
      </c>
      <c r="D1661">
        <v>1</v>
      </c>
      <c r="G1661">
        <v>56.24</v>
      </c>
      <c r="H1661">
        <v>3</v>
      </c>
      <c r="I1661">
        <v>179</v>
      </c>
      <c r="J1661">
        <f>IF(NOT(ISBLANK(F1661)),SQRT((F1661^2*1/H1661)/(F1661^2*1/H1661+1)),IF(NOT(ISBLANK(G1661)),SQRT((G1661*H1661/I1661)/(G1661*H1661/I1661+1)*SQRT(1/H1661))))</f>
        <v>0.52928323041723324</v>
      </c>
      <c r="K1661" s="2" t="s">
        <v>2174</v>
      </c>
      <c r="L1661" s="17">
        <v>1E-3</v>
      </c>
      <c r="M1661" s="2" t="s">
        <v>2558</v>
      </c>
      <c r="N1661" s="2" t="s">
        <v>2558</v>
      </c>
    </row>
    <row r="1662" spans="1:16" x14ac:dyDescent="0.25">
      <c r="A1662" s="11" t="s">
        <v>2484</v>
      </c>
      <c r="C1662">
        <v>375</v>
      </c>
      <c r="D1662">
        <v>1</v>
      </c>
      <c r="F1662">
        <v>3.21</v>
      </c>
      <c r="H1662">
        <v>29</v>
      </c>
      <c r="J1662">
        <f>IF(NOT(ISBLANK(F1662)),SQRT((F1662^2*1/H1662)/(F1662^2*1/H1662+1)),IF(NOT(ISBLANK(G1662)),SQRT((G1662*H1662/I1662)/(G1662*H1662/I1662+1)*SQRT(1/H1662))))</f>
        <v>0.51201903217086275</v>
      </c>
      <c r="K1662" s="2">
        <v>3.0000000000000001E-3</v>
      </c>
      <c r="L1662" s="17">
        <v>3.0000000000000001E-3</v>
      </c>
      <c r="M1662" s="2">
        <v>0</v>
      </c>
      <c r="N1662" s="2">
        <f t="shared" si="89"/>
        <v>0</v>
      </c>
    </row>
    <row r="1663" spans="1:16" x14ac:dyDescent="0.25">
      <c r="A1663" s="11" t="s">
        <v>2485</v>
      </c>
      <c r="C1663">
        <v>375</v>
      </c>
      <c r="D1663">
        <v>1</v>
      </c>
      <c r="F1663">
        <v>2.98</v>
      </c>
      <c r="H1663">
        <v>21</v>
      </c>
      <c r="J1663">
        <f>IF(NOT(ISBLANK(F1663)),SQRT((F1663^2*1/H1663)/(F1663^2*1/H1663+1)),IF(NOT(ISBLANK(G1663)),SQRT((G1663*H1663/I1663)/(G1663*H1663/I1663+1)*SQRT(1/H1663))))</f>
        <v>0.54515884230610578</v>
      </c>
      <c r="K1663" s="2">
        <v>7.0000000000000001E-3</v>
      </c>
      <c r="L1663" s="17">
        <v>7.0000000000000001E-3</v>
      </c>
      <c r="M1663" s="2">
        <v>0</v>
      </c>
      <c r="N1663" s="2">
        <f t="shared" si="89"/>
        <v>0</v>
      </c>
    </row>
    <row r="1664" spans="1:16" x14ac:dyDescent="0.25">
      <c r="A1664" s="11" t="s">
        <v>2486</v>
      </c>
      <c r="C1664">
        <v>375</v>
      </c>
      <c r="D1664">
        <v>1</v>
      </c>
      <c r="F1664">
        <v>4.3499999999999996</v>
      </c>
      <c r="H1664">
        <v>37</v>
      </c>
      <c r="J1664">
        <f>IF(NOT(ISBLANK(F1664)),SQRT((F1664^2*1/H1664)/(F1664^2*1/H1664+1)),IF(NOT(ISBLANK(G1664)),SQRT((G1664*H1664/I1664)/(G1664*H1664/I1664+1)*SQRT(1/H1664))))</f>
        <v>0.58169585327381024</v>
      </c>
      <c r="K1664" s="2" t="s">
        <v>2174</v>
      </c>
      <c r="L1664" s="17">
        <v>1E-3</v>
      </c>
      <c r="M1664" s="2">
        <v>0</v>
      </c>
      <c r="N1664" s="2">
        <f t="shared" si="89"/>
        <v>0</v>
      </c>
    </row>
    <row r="1665" spans="1:16" x14ac:dyDescent="0.25">
      <c r="A1665" s="11" t="s">
        <v>2487</v>
      </c>
      <c r="C1665">
        <v>375</v>
      </c>
      <c r="D1665">
        <v>1</v>
      </c>
      <c r="J1665">
        <v>0.307</v>
      </c>
      <c r="K1665" s="2" t="s">
        <v>2174</v>
      </c>
      <c r="L1665" s="17">
        <v>1E-3</v>
      </c>
      <c r="P1665" s="2" t="s">
        <v>2560</v>
      </c>
    </row>
    <row r="1666" spans="1:16" x14ac:dyDescent="0.25">
      <c r="A1666" s="11" t="s">
        <v>2488</v>
      </c>
      <c r="C1666">
        <v>375</v>
      </c>
      <c r="D1666">
        <v>1</v>
      </c>
      <c r="J1666">
        <v>0.246</v>
      </c>
      <c r="K1666" s="2">
        <v>1E-3</v>
      </c>
      <c r="L1666" s="17">
        <v>1E-3</v>
      </c>
      <c r="P1666" s="2" t="s">
        <v>2560</v>
      </c>
    </row>
    <row r="1667" spans="1:16" x14ac:dyDescent="0.25">
      <c r="A1667" s="11" t="s">
        <v>2489</v>
      </c>
      <c r="C1667">
        <v>375</v>
      </c>
      <c r="D1667">
        <v>1</v>
      </c>
      <c r="J1667">
        <v>0.35199999999999998</v>
      </c>
      <c r="K1667" s="2" t="s">
        <v>2174</v>
      </c>
      <c r="L1667" s="17">
        <v>1E-3</v>
      </c>
      <c r="P1667" s="2" t="s">
        <v>2560</v>
      </c>
    </row>
    <row r="1668" spans="1:16" x14ac:dyDescent="0.25">
      <c r="A1668" s="11" t="s">
        <v>2490</v>
      </c>
      <c r="C1668">
        <v>375</v>
      </c>
      <c r="D1668">
        <v>1</v>
      </c>
      <c r="J1668">
        <v>0.24199999999999999</v>
      </c>
      <c r="K1668" s="2">
        <v>1E-3</v>
      </c>
      <c r="L1668" s="17">
        <v>1E-3</v>
      </c>
      <c r="P1668" s="2" t="s">
        <v>2560</v>
      </c>
    </row>
    <row r="1669" spans="1:16" x14ac:dyDescent="0.25">
      <c r="A1669" s="11" t="s">
        <v>2491</v>
      </c>
      <c r="C1669">
        <v>375</v>
      </c>
      <c r="D1669">
        <v>1</v>
      </c>
      <c r="F1669">
        <v>1.42</v>
      </c>
      <c r="H1669">
        <v>180</v>
      </c>
      <c r="J1669">
        <f>IF(NOT(ISBLANK(F1669)),SQRT((F1669^2*1/H1669)/(F1669^2*1/H1669+1)),IF(NOT(ISBLANK(G1669)),SQRT((G1669*H1669/I1669)/(G1669*H1669/I1669+1)*SQRT(1/H1669))))</f>
        <v>0.10525266091984566</v>
      </c>
      <c r="K1669" s="2">
        <v>0.159</v>
      </c>
      <c r="L1669" s="17">
        <v>0.159</v>
      </c>
      <c r="M1669" s="2">
        <v>0</v>
      </c>
      <c r="N1669" s="2">
        <f t="shared" si="89"/>
        <v>0</v>
      </c>
    </row>
    <row r="1670" spans="1:16" x14ac:dyDescent="0.25">
      <c r="A1670" s="11" t="s">
        <v>2492</v>
      </c>
      <c r="C1670">
        <v>375</v>
      </c>
      <c r="D1670">
        <v>1</v>
      </c>
      <c r="J1670">
        <v>0.22900000000000001</v>
      </c>
      <c r="K1670" s="2">
        <v>2E-3</v>
      </c>
      <c r="L1670" s="17">
        <v>2E-3</v>
      </c>
      <c r="P1670" s="2" t="s">
        <v>2560</v>
      </c>
    </row>
    <row r="1671" spans="1:16" x14ac:dyDescent="0.25">
      <c r="A1671" s="11" t="s">
        <v>2493</v>
      </c>
      <c r="C1671">
        <v>375</v>
      </c>
      <c r="D1671">
        <v>1</v>
      </c>
      <c r="J1671">
        <v>0.216</v>
      </c>
      <c r="K1671" s="2">
        <v>3.0000000000000001E-3</v>
      </c>
      <c r="L1671" s="17">
        <v>3.0000000000000001E-3</v>
      </c>
      <c r="P1671" s="2" t="s">
        <v>2560</v>
      </c>
    </row>
    <row r="1672" spans="1:16" x14ac:dyDescent="0.25">
      <c r="A1672" s="11" t="s">
        <v>2494</v>
      </c>
      <c r="C1672">
        <v>375</v>
      </c>
      <c r="D1672">
        <v>1</v>
      </c>
      <c r="J1672">
        <v>-1.2E-2</v>
      </c>
      <c r="K1672" s="2">
        <v>0.871</v>
      </c>
      <c r="L1672" s="17">
        <v>0.871</v>
      </c>
      <c r="P1672" s="2" t="s">
        <v>2560</v>
      </c>
    </row>
    <row r="1673" spans="1:16" x14ac:dyDescent="0.25">
      <c r="A1673" s="11" t="s">
        <v>2495</v>
      </c>
      <c r="C1673">
        <v>375</v>
      </c>
      <c r="D1673">
        <v>1</v>
      </c>
      <c r="J1673">
        <v>5.0999999999999997E-2</v>
      </c>
      <c r="K1673" s="2">
        <v>0.49099999999999999</v>
      </c>
      <c r="L1673" s="17">
        <v>0.49099999999999999</v>
      </c>
      <c r="P1673" s="2" t="s">
        <v>2560</v>
      </c>
    </row>
    <row r="1674" spans="1:16" x14ac:dyDescent="0.25">
      <c r="A1674" s="12" t="s">
        <v>1473</v>
      </c>
      <c r="C1674">
        <v>376</v>
      </c>
      <c r="D1674">
        <v>1</v>
      </c>
      <c r="F1674">
        <v>1.5860000000000001</v>
      </c>
      <c r="H1674">
        <v>22</v>
      </c>
      <c r="J1674">
        <f>IF(NOT(ISBLANK(F1674)),SQRT((F1674^2*1/H1674)/(F1674^2*1/H1674+1)),IF(NOT(ISBLANK(G1674)),SQRT((G1674*H1674/I1674)/(G1674*H1674/I1674+1)*SQRT(1/H1674))))</f>
        <v>0.32031975716352346</v>
      </c>
      <c r="K1674" s="2">
        <v>0.127</v>
      </c>
      <c r="L1674" s="17">
        <v>0.127</v>
      </c>
      <c r="M1674" s="2">
        <v>0</v>
      </c>
      <c r="N1674" s="2">
        <f t="shared" si="89"/>
        <v>0</v>
      </c>
    </row>
    <row r="1675" spans="1:16" x14ac:dyDescent="0.25">
      <c r="A1675" s="12" t="s">
        <v>1474</v>
      </c>
      <c r="C1675">
        <v>376</v>
      </c>
      <c r="D1675">
        <v>1</v>
      </c>
      <c r="J1675">
        <v>0.158</v>
      </c>
      <c r="K1675" s="2">
        <v>0.45066000000000001</v>
      </c>
      <c r="L1675" s="17">
        <v>0.45066000000000001</v>
      </c>
      <c r="P1675" s="2" t="s">
        <v>2560</v>
      </c>
    </row>
    <row r="1676" spans="1:16" x14ac:dyDescent="0.25">
      <c r="A1676" s="12" t="s">
        <v>1475</v>
      </c>
      <c r="C1676">
        <v>376</v>
      </c>
      <c r="D1676">
        <v>1</v>
      </c>
      <c r="J1676">
        <v>-5.7000000000000002E-2</v>
      </c>
      <c r="K1676" s="2">
        <v>0.78668000000000005</v>
      </c>
      <c r="L1676" s="17">
        <v>0.78668000000000005</v>
      </c>
      <c r="P1676" s="2" t="s">
        <v>2560</v>
      </c>
    </row>
    <row r="1677" spans="1:16" x14ac:dyDescent="0.25">
      <c r="A1677" s="12" t="s">
        <v>1476</v>
      </c>
      <c r="C1677">
        <v>376</v>
      </c>
      <c r="D1677">
        <v>1</v>
      </c>
      <c r="J1677">
        <v>0.16300000000000001</v>
      </c>
      <c r="K1677" s="2">
        <v>0.43626999999999999</v>
      </c>
      <c r="L1677" s="17">
        <v>0.43626999999999999</v>
      </c>
      <c r="P1677" s="2" t="s">
        <v>2560</v>
      </c>
    </row>
    <row r="1678" spans="1:16" x14ac:dyDescent="0.25">
      <c r="A1678" s="12" t="s">
        <v>1477</v>
      </c>
      <c r="C1678">
        <v>376</v>
      </c>
      <c r="D1678">
        <v>2</v>
      </c>
      <c r="J1678">
        <v>-8.7999999999999995E-2</v>
      </c>
      <c r="K1678" s="2">
        <v>0.67574000000000001</v>
      </c>
      <c r="L1678" s="17">
        <v>0.67574000000000001</v>
      </c>
      <c r="O1678" t="s">
        <v>2273</v>
      </c>
      <c r="P1678" s="2" t="s">
        <v>2560</v>
      </c>
    </row>
    <row r="1679" spans="1:16" x14ac:dyDescent="0.25">
      <c r="A1679" s="12" t="s">
        <v>1478</v>
      </c>
      <c r="C1679">
        <v>376</v>
      </c>
      <c r="D1679">
        <v>1</v>
      </c>
      <c r="J1679">
        <v>0.436</v>
      </c>
      <c r="K1679" s="2">
        <v>3.3189999999999997E-2</v>
      </c>
      <c r="L1679" s="17">
        <v>3.3189999999999997E-2</v>
      </c>
      <c r="P1679" s="2" t="s">
        <v>2560</v>
      </c>
    </row>
    <row r="1680" spans="1:16" x14ac:dyDescent="0.25">
      <c r="A1680" s="12" t="s">
        <v>1479</v>
      </c>
      <c r="C1680">
        <v>376</v>
      </c>
      <c r="D1680">
        <v>1</v>
      </c>
      <c r="J1680">
        <v>6.2E-2</v>
      </c>
      <c r="K1680" s="2">
        <v>0.78400999999999998</v>
      </c>
      <c r="L1680" s="17">
        <v>0.78400999999999998</v>
      </c>
      <c r="P1680" s="2" t="s">
        <v>2560</v>
      </c>
    </row>
    <row r="1681" spans="1:16" x14ac:dyDescent="0.25">
      <c r="A1681" s="12" t="s">
        <v>1480</v>
      </c>
      <c r="C1681">
        <v>376</v>
      </c>
      <c r="D1681">
        <v>1</v>
      </c>
      <c r="E1681">
        <v>0</v>
      </c>
      <c r="J1681" t="b">
        <f>IF(NOT(ISBLANK(F1681)),SQRT((F1681^2*1/H1681)/(F1681^2*1/H1681+1)),IF(NOT(ISBLANK(G1681)),SQRT((G1681*H1681/I1681)/(G1681*H1681/I1681+1)*SQRT(1/H1681))))</f>
        <v>0</v>
      </c>
      <c r="K1681" s="2">
        <v>0.09</v>
      </c>
      <c r="L1681" s="17">
        <v>0.09</v>
      </c>
      <c r="M1681" s="2">
        <v>0</v>
      </c>
      <c r="N1681" s="2">
        <f t="shared" si="89"/>
        <v>0</v>
      </c>
    </row>
    <row r="1682" spans="1:16" x14ac:dyDescent="0.25">
      <c r="A1682" s="12" t="s">
        <v>1481</v>
      </c>
      <c r="C1682">
        <v>376</v>
      </c>
      <c r="D1682">
        <v>1</v>
      </c>
      <c r="J1682">
        <v>-0.44800000000000001</v>
      </c>
      <c r="K1682" s="2">
        <v>2.8129999999999999E-2</v>
      </c>
      <c r="L1682" s="17">
        <v>2.8129999999999999E-2</v>
      </c>
      <c r="P1682" s="2" t="s">
        <v>2560</v>
      </c>
    </row>
    <row r="1683" spans="1:16" x14ac:dyDescent="0.25">
      <c r="A1683" s="12" t="s">
        <v>1482</v>
      </c>
      <c r="C1683">
        <v>376</v>
      </c>
      <c r="D1683">
        <v>1</v>
      </c>
      <c r="J1683">
        <v>-1.2E-2</v>
      </c>
      <c r="K1683" s="2">
        <v>0.95772999999999997</v>
      </c>
      <c r="L1683" s="17">
        <v>0.95772999999999997</v>
      </c>
      <c r="P1683" s="2" t="s">
        <v>2560</v>
      </c>
    </row>
    <row r="1684" spans="1:16" x14ac:dyDescent="0.25">
      <c r="A1684" s="12" t="s">
        <v>1483</v>
      </c>
      <c r="C1684">
        <v>376</v>
      </c>
      <c r="D1684">
        <v>1</v>
      </c>
      <c r="E1684">
        <v>0</v>
      </c>
      <c r="J1684" t="b">
        <f t="shared" ref="J1684:J1714" si="90">IF(NOT(ISBLANK(F1684)),SQRT((F1684^2*1/H1684)/(F1684^2*1/H1684+1)),IF(NOT(ISBLANK(G1684)),SQRT((G1684*H1684/I1684)/(G1684*H1684/I1684+1)*SQRT(1/H1684))))</f>
        <v>0</v>
      </c>
      <c r="K1684" s="2">
        <v>0.06</v>
      </c>
      <c r="L1684" s="17">
        <v>0.06</v>
      </c>
      <c r="M1684" s="2">
        <v>0</v>
      </c>
      <c r="N1684" s="2">
        <f t="shared" ref="N1684:N1739" si="91">IF(M1684=0, 0)</f>
        <v>0</v>
      </c>
    </row>
    <row r="1685" spans="1:16" x14ac:dyDescent="0.25">
      <c r="A1685" s="12" t="s">
        <v>1484</v>
      </c>
      <c r="C1685">
        <v>379</v>
      </c>
      <c r="D1685">
        <v>1</v>
      </c>
      <c r="G1685">
        <v>2.2719999999999998</v>
      </c>
      <c r="H1685">
        <v>1</v>
      </c>
      <c r="I1685">
        <v>171</v>
      </c>
      <c r="J1685">
        <f t="shared" si="90"/>
        <v>0.11450909158646863</v>
      </c>
      <c r="K1685" s="2">
        <v>1.8800000000000001E-2</v>
      </c>
      <c r="L1685" s="17">
        <v>1.8800000000000001E-2</v>
      </c>
      <c r="M1685" s="2" t="s">
        <v>2558</v>
      </c>
      <c r="N1685" s="2" t="s">
        <v>2558</v>
      </c>
      <c r="O1685" s="14" t="s">
        <v>2264</v>
      </c>
    </row>
    <row r="1686" spans="1:16" x14ac:dyDescent="0.25">
      <c r="A1686" s="12" t="s">
        <v>1485</v>
      </c>
      <c r="C1686">
        <v>379</v>
      </c>
      <c r="D1686">
        <v>1</v>
      </c>
      <c r="G1686">
        <v>1.728</v>
      </c>
      <c r="H1686">
        <v>1</v>
      </c>
      <c r="I1686">
        <v>171</v>
      </c>
      <c r="J1686">
        <f t="shared" si="90"/>
        <v>0.10002083984601139</v>
      </c>
      <c r="K1686" s="2" t="s">
        <v>2276</v>
      </c>
      <c r="L1686" s="17">
        <v>0.72399999999999998</v>
      </c>
      <c r="M1686" s="2" t="s">
        <v>2558</v>
      </c>
      <c r="N1686" s="2" t="s">
        <v>2558</v>
      </c>
    </row>
    <row r="1687" spans="1:16" x14ac:dyDescent="0.25">
      <c r="A1687" s="12" t="s">
        <v>1486</v>
      </c>
      <c r="C1687">
        <v>379</v>
      </c>
      <c r="D1687">
        <v>1</v>
      </c>
      <c r="G1687">
        <v>1.4610000000000001</v>
      </c>
      <c r="H1687">
        <v>1</v>
      </c>
      <c r="I1687">
        <v>171</v>
      </c>
      <c r="J1687">
        <f t="shared" si="90"/>
        <v>9.2040645959471271E-2</v>
      </c>
      <c r="K1687" s="2">
        <v>0.13150000000000001</v>
      </c>
      <c r="L1687" s="17">
        <v>0.13150000000000001</v>
      </c>
      <c r="M1687" s="2" t="s">
        <v>2558</v>
      </c>
      <c r="N1687" s="2" t="s">
        <v>2558</v>
      </c>
    </row>
    <row r="1688" spans="1:16" x14ac:dyDescent="0.25">
      <c r="A1688" s="12" t="s">
        <v>1487</v>
      </c>
      <c r="C1688">
        <v>379</v>
      </c>
      <c r="D1688">
        <v>1</v>
      </c>
      <c r="G1688">
        <v>2.2570000000000001</v>
      </c>
      <c r="H1688">
        <v>1</v>
      </c>
      <c r="I1688">
        <v>173</v>
      </c>
      <c r="J1688">
        <f t="shared" si="90"/>
        <v>0.11348229049564575</v>
      </c>
      <c r="K1688" s="2">
        <v>2.1399999999999999E-2</v>
      </c>
      <c r="L1688" s="17">
        <v>2.1399999999999999E-2</v>
      </c>
      <c r="M1688" s="2" t="s">
        <v>2558</v>
      </c>
      <c r="N1688" s="2" t="s">
        <v>2558</v>
      </c>
    </row>
    <row r="1689" spans="1:16" x14ac:dyDescent="0.25">
      <c r="A1689" s="12" t="s">
        <v>1488</v>
      </c>
      <c r="C1689">
        <v>379</v>
      </c>
      <c r="D1689">
        <v>1</v>
      </c>
      <c r="G1689">
        <v>10.715</v>
      </c>
      <c r="H1689">
        <v>1</v>
      </c>
      <c r="I1689">
        <v>163</v>
      </c>
      <c r="J1689">
        <f t="shared" si="90"/>
        <v>0.2483575845358981</v>
      </c>
      <c r="K1689" s="2">
        <v>1E-4</v>
      </c>
      <c r="L1689" s="17">
        <v>1E-4</v>
      </c>
      <c r="M1689" s="2" t="s">
        <v>2558</v>
      </c>
      <c r="N1689" s="2" t="s">
        <v>2558</v>
      </c>
    </row>
    <row r="1690" spans="1:16" x14ac:dyDescent="0.25">
      <c r="A1690" s="12" t="s">
        <v>1489</v>
      </c>
      <c r="C1690">
        <v>379</v>
      </c>
      <c r="D1690">
        <v>1</v>
      </c>
      <c r="G1690">
        <v>1.2665</v>
      </c>
      <c r="H1690">
        <v>1</v>
      </c>
      <c r="I1690">
        <v>163</v>
      </c>
      <c r="J1690">
        <f t="shared" si="90"/>
        <v>8.7806788879494377E-2</v>
      </c>
      <c r="K1690" s="2">
        <v>0.20910000000000001</v>
      </c>
      <c r="L1690" s="17">
        <v>0.20910000000000001</v>
      </c>
      <c r="M1690" s="2" t="s">
        <v>2558</v>
      </c>
      <c r="N1690" s="2" t="s">
        <v>2558</v>
      </c>
    </row>
    <row r="1691" spans="1:16" x14ac:dyDescent="0.25">
      <c r="A1691" s="12" t="s">
        <v>1490</v>
      </c>
      <c r="C1691">
        <v>379</v>
      </c>
      <c r="D1691">
        <v>1</v>
      </c>
      <c r="G1691">
        <v>1.3744000000000001</v>
      </c>
      <c r="H1691">
        <v>1</v>
      </c>
      <c r="I1691">
        <v>163</v>
      </c>
      <c r="J1691">
        <f t="shared" si="90"/>
        <v>9.1440687562977102E-2</v>
      </c>
      <c r="K1691" s="2">
        <v>0.15529999999999999</v>
      </c>
      <c r="L1691" s="17">
        <v>0.15529999999999999</v>
      </c>
      <c r="M1691" s="2" t="s">
        <v>2558</v>
      </c>
      <c r="N1691" s="2" t="s">
        <v>2558</v>
      </c>
    </row>
    <row r="1692" spans="1:16" x14ac:dyDescent="0.25">
      <c r="A1692" s="12" t="s">
        <v>1491</v>
      </c>
      <c r="C1692">
        <v>379</v>
      </c>
      <c r="D1692">
        <v>1</v>
      </c>
      <c r="G1692">
        <v>10.673</v>
      </c>
      <c r="H1692">
        <v>1</v>
      </c>
      <c r="I1692">
        <v>165</v>
      </c>
      <c r="J1692">
        <f t="shared" si="90"/>
        <v>0.24648514223832549</v>
      </c>
      <c r="K1692" s="2" t="s">
        <v>2547</v>
      </c>
      <c r="L1692" s="17">
        <v>1E-4</v>
      </c>
      <c r="M1692" s="2" t="s">
        <v>2558</v>
      </c>
      <c r="N1692" s="2" t="s">
        <v>2558</v>
      </c>
    </row>
    <row r="1693" spans="1:16" x14ac:dyDescent="0.25">
      <c r="A1693" s="12" t="s">
        <v>1492</v>
      </c>
      <c r="C1693">
        <v>379</v>
      </c>
      <c r="D1693">
        <v>1</v>
      </c>
      <c r="G1693">
        <v>12.095000000000001</v>
      </c>
      <c r="H1693">
        <v>1</v>
      </c>
      <c r="I1693">
        <v>39</v>
      </c>
      <c r="J1693">
        <f t="shared" si="90"/>
        <v>0.48653460444558899</v>
      </c>
      <c r="K1693" s="2" t="s">
        <v>2547</v>
      </c>
      <c r="L1693" s="17">
        <v>1E-4</v>
      </c>
      <c r="M1693" s="2" t="s">
        <v>2558</v>
      </c>
      <c r="N1693" s="2" t="s">
        <v>2558</v>
      </c>
    </row>
    <row r="1694" spans="1:16" x14ac:dyDescent="0.25">
      <c r="A1694" s="12" t="s">
        <v>1493</v>
      </c>
      <c r="C1694">
        <v>379</v>
      </c>
      <c r="D1694">
        <v>1</v>
      </c>
      <c r="G1694">
        <v>4.7779999999999996</v>
      </c>
      <c r="H1694">
        <v>1</v>
      </c>
      <c r="I1694">
        <v>39</v>
      </c>
      <c r="J1694">
        <f t="shared" si="90"/>
        <v>0.33036582444546708</v>
      </c>
      <c r="K1694" s="2">
        <v>2.8999999999999998E-3</v>
      </c>
      <c r="L1694" s="17">
        <v>2.8999999999999998E-3</v>
      </c>
      <c r="M1694" s="2" t="s">
        <v>2558</v>
      </c>
      <c r="N1694" s="2" t="s">
        <v>2558</v>
      </c>
    </row>
    <row r="1695" spans="1:16" x14ac:dyDescent="0.25">
      <c r="A1695" s="12" t="s">
        <v>1494</v>
      </c>
      <c r="C1695">
        <v>379</v>
      </c>
      <c r="D1695">
        <v>1</v>
      </c>
      <c r="G1695">
        <v>3.952</v>
      </c>
      <c r="H1695">
        <v>1</v>
      </c>
      <c r="I1695">
        <v>39</v>
      </c>
      <c r="J1695">
        <f t="shared" si="90"/>
        <v>0.30333098297078759</v>
      </c>
      <c r="K1695" s="2">
        <v>7.0000000000000001E-3</v>
      </c>
      <c r="L1695" s="17">
        <v>7.0000000000000001E-3</v>
      </c>
      <c r="M1695" s="2" t="s">
        <v>2558</v>
      </c>
      <c r="N1695" s="2" t="s">
        <v>2558</v>
      </c>
    </row>
    <row r="1696" spans="1:16" x14ac:dyDescent="0.25">
      <c r="A1696" s="12" t="s">
        <v>1495</v>
      </c>
      <c r="C1696">
        <v>379</v>
      </c>
      <c r="D1696">
        <v>1</v>
      </c>
      <c r="G1696">
        <v>4.0960000000000001</v>
      </c>
      <c r="H1696">
        <v>1</v>
      </c>
      <c r="I1696">
        <v>39</v>
      </c>
      <c r="J1696">
        <f t="shared" si="90"/>
        <v>0.30829145874990993</v>
      </c>
      <c r="K1696" s="2">
        <v>3.8E-3</v>
      </c>
      <c r="L1696" s="17">
        <v>3.8E-3</v>
      </c>
      <c r="M1696" s="2" t="s">
        <v>2558</v>
      </c>
      <c r="N1696" s="2" t="s">
        <v>2558</v>
      </c>
    </row>
    <row r="1697" spans="1:14" x14ac:dyDescent="0.25">
      <c r="A1697" s="12" t="s">
        <v>1496</v>
      </c>
      <c r="C1697">
        <v>379</v>
      </c>
      <c r="D1697">
        <v>1</v>
      </c>
      <c r="G1697">
        <v>2.6150000000000002</v>
      </c>
      <c r="H1697">
        <v>1</v>
      </c>
      <c r="I1697">
        <v>39</v>
      </c>
      <c r="J1697">
        <f t="shared" si="90"/>
        <v>0.2506749269862949</v>
      </c>
      <c r="K1697" s="2">
        <v>3.0599999999999999E-2</v>
      </c>
      <c r="L1697" s="17">
        <v>3.0599999999999999E-2</v>
      </c>
      <c r="M1697" s="2" t="s">
        <v>2558</v>
      </c>
      <c r="N1697" s="2" t="s">
        <v>2558</v>
      </c>
    </row>
    <row r="1698" spans="1:14" x14ac:dyDescent="0.25">
      <c r="A1698" s="12" t="s">
        <v>1497</v>
      </c>
      <c r="C1698">
        <v>379</v>
      </c>
      <c r="D1698">
        <v>1</v>
      </c>
      <c r="G1698">
        <v>6.8710000000000004</v>
      </c>
      <c r="H1698">
        <v>1</v>
      </c>
      <c r="I1698">
        <v>38</v>
      </c>
      <c r="J1698">
        <f t="shared" si="90"/>
        <v>0.39131554455161166</v>
      </c>
      <c r="K1698" s="2">
        <v>2.0000000000000001E-4</v>
      </c>
      <c r="L1698" s="17">
        <v>2.0000000000000001E-4</v>
      </c>
      <c r="M1698" s="2" t="s">
        <v>2558</v>
      </c>
      <c r="N1698" s="2" t="s">
        <v>2558</v>
      </c>
    </row>
    <row r="1699" spans="1:14" x14ac:dyDescent="0.25">
      <c r="A1699" s="12" t="s">
        <v>1498</v>
      </c>
      <c r="C1699">
        <v>379</v>
      </c>
      <c r="D1699">
        <v>1</v>
      </c>
      <c r="G1699">
        <v>6.3529999999999998</v>
      </c>
      <c r="H1699">
        <v>1</v>
      </c>
      <c r="I1699">
        <v>38</v>
      </c>
      <c r="J1699">
        <f t="shared" si="90"/>
        <v>0.37846692135605287</v>
      </c>
      <c r="K1699" s="2">
        <v>2.0000000000000001E-4</v>
      </c>
      <c r="L1699" s="17">
        <v>2.0000000000000001E-4</v>
      </c>
      <c r="M1699" s="2" t="s">
        <v>2558</v>
      </c>
      <c r="N1699" s="2" t="s">
        <v>2558</v>
      </c>
    </row>
    <row r="1700" spans="1:14" x14ac:dyDescent="0.25">
      <c r="A1700" s="12" t="s">
        <v>1499</v>
      </c>
      <c r="C1700">
        <v>379</v>
      </c>
      <c r="D1700">
        <v>1</v>
      </c>
      <c r="G1700">
        <v>5.3159999999999998</v>
      </c>
      <c r="H1700">
        <v>1</v>
      </c>
      <c r="I1700">
        <v>38</v>
      </c>
      <c r="J1700">
        <f t="shared" si="90"/>
        <v>0.35032272761314814</v>
      </c>
      <c r="K1700" s="2">
        <v>8.9999999999999998E-4</v>
      </c>
      <c r="L1700" s="17">
        <v>8.9999999999999998E-4</v>
      </c>
      <c r="M1700" s="2" t="s">
        <v>2558</v>
      </c>
      <c r="N1700" s="2" t="s">
        <v>2558</v>
      </c>
    </row>
    <row r="1701" spans="1:14" x14ac:dyDescent="0.25">
      <c r="A1701" s="12" t="s">
        <v>1500</v>
      </c>
      <c r="C1701">
        <v>379</v>
      </c>
      <c r="D1701">
        <v>1</v>
      </c>
      <c r="G1701">
        <v>4.57</v>
      </c>
      <c r="H1701">
        <v>1</v>
      </c>
      <c r="I1701">
        <v>38</v>
      </c>
      <c r="J1701">
        <f t="shared" si="90"/>
        <v>0.32764705969181035</v>
      </c>
      <c r="K1701" s="2">
        <v>1.5E-3</v>
      </c>
      <c r="L1701" s="17">
        <v>1.5E-3</v>
      </c>
      <c r="M1701" s="2" t="s">
        <v>2558</v>
      </c>
      <c r="N1701" s="2" t="s">
        <v>2558</v>
      </c>
    </row>
    <row r="1702" spans="1:14" x14ac:dyDescent="0.25">
      <c r="A1702" s="12" t="s">
        <v>1501</v>
      </c>
      <c r="C1702">
        <v>379</v>
      </c>
      <c r="D1702">
        <v>1</v>
      </c>
      <c r="G1702">
        <v>4.5490000000000004</v>
      </c>
      <c r="H1702">
        <v>1</v>
      </c>
      <c r="I1702">
        <v>38</v>
      </c>
      <c r="J1702">
        <f t="shared" si="90"/>
        <v>0.3269740522350929</v>
      </c>
      <c r="K1702" s="2">
        <v>1.9E-3</v>
      </c>
      <c r="L1702" s="17">
        <v>1.9E-3</v>
      </c>
      <c r="M1702" s="2" t="s">
        <v>2558</v>
      </c>
      <c r="N1702" s="2" t="s">
        <v>2558</v>
      </c>
    </row>
    <row r="1703" spans="1:14" x14ac:dyDescent="0.25">
      <c r="A1703" s="12" t="s">
        <v>1502</v>
      </c>
      <c r="C1703">
        <v>379</v>
      </c>
      <c r="D1703">
        <v>1</v>
      </c>
      <c r="G1703">
        <v>3.1480000000000001</v>
      </c>
      <c r="H1703">
        <v>1</v>
      </c>
      <c r="I1703">
        <v>38</v>
      </c>
      <c r="J1703">
        <f t="shared" si="90"/>
        <v>0.2765941536767505</v>
      </c>
      <c r="K1703" s="2">
        <v>1.4999999999999999E-2</v>
      </c>
      <c r="L1703" s="17">
        <v>1.4999999999999999E-2</v>
      </c>
      <c r="M1703" s="2" t="s">
        <v>2558</v>
      </c>
      <c r="N1703" s="2" t="s">
        <v>2558</v>
      </c>
    </row>
    <row r="1704" spans="1:14" x14ac:dyDescent="0.25">
      <c r="A1704" s="12" t="s">
        <v>1503</v>
      </c>
      <c r="C1704">
        <v>383</v>
      </c>
      <c r="D1704">
        <v>1</v>
      </c>
      <c r="G1704">
        <v>8.5500000000000007</v>
      </c>
      <c r="H1704">
        <v>1</v>
      </c>
      <c r="I1704">
        <v>117</v>
      </c>
      <c r="J1704">
        <f t="shared" si="90"/>
        <v>0.26096045375293758</v>
      </c>
      <c r="K1704" s="2">
        <v>4.0000000000000001E-3</v>
      </c>
      <c r="L1704" s="17">
        <v>4.0000000000000001E-3</v>
      </c>
      <c r="M1704" s="2">
        <v>0</v>
      </c>
      <c r="N1704" s="2">
        <f t="shared" si="91"/>
        <v>0</v>
      </c>
    </row>
    <row r="1705" spans="1:14" x14ac:dyDescent="0.25">
      <c r="A1705" s="12" t="s">
        <v>1504</v>
      </c>
      <c r="C1705">
        <v>383</v>
      </c>
      <c r="D1705">
        <v>1</v>
      </c>
      <c r="G1705">
        <v>591.96</v>
      </c>
      <c r="H1705">
        <v>1</v>
      </c>
      <c r="I1705">
        <v>117</v>
      </c>
      <c r="J1705">
        <f t="shared" si="90"/>
        <v>0.91376667308281245</v>
      </c>
      <c r="K1705" s="2" t="s">
        <v>2517</v>
      </c>
      <c r="L1705" s="17">
        <v>1E-3</v>
      </c>
      <c r="M1705" s="2">
        <v>0</v>
      </c>
      <c r="N1705" s="2">
        <f t="shared" si="91"/>
        <v>0</v>
      </c>
    </row>
    <row r="1706" spans="1:14" x14ac:dyDescent="0.25">
      <c r="A1706" s="12" t="s">
        <v>1505</v>
      </c>
      <c r="C1706">
        <v>383</v>
      </c>
      <c r="D1706">
        <v>1</v>
      </c>
      <c r="G1706">
        <v>4.47</v>
      </c>
      <c r="H1706">
        <v>4</v>
      </c>
      <c r="I1706">
        <v>112</v>
      </c>
      <c r="J1706">
        <f t="shared" si="90"/>
        <v>0.26235999830305318</v>
      </c>
      <c r="K1706" s="2">
        <v>2E-3</v>
      </c>
      <c r="L1706" s="17">
        <v>2E-3</v>
      </c>
      <c r="M1706" s="2">
        <v>0</v>
      </c>
      <c r="N1706" s="2">
        <f t="shared" si="91"/>
        <v>0</v>
      </c>
    </row>
    <row r="1707" spans="1:14" x14ac:dyDescent="0.25">
      <c r="A1707" s="12" t="s">
        <v>1506</v>
      </c>
      <c r="C1707">
        <v>383</v>
      </c>
      <c r="D1707">
        <v>1</v>
      </c>
      <c r="G1707">
        <v>10.91</v>
      </c>
      <c r="H1707">
        <v>4</v>
      </c>
      <c r="I1707">
        <v>112</v>
      </c>
      <c r="J1707">
        <f t="shared" si="90"/>
        <v>0.37442665842484163</v>
      </c>
      <c r="K1707" s="2" t="s">
        <v>2519</v>
      </c>
      <c r="L1707" s="17">
        <v>1E-3</v>
      </c>
      <c r="M1707" s="2">
        <v>0</v>
      </c>
      <c r="N1707" s="2">
        <f t="shared" si="91"/>
        <v>0</v>
      </c>
    </row>
    <row r="1708" spans="1:14" x14ac:dyDescent="0.25">
      <c r="A1708" s="12" t="s">
        <v>1507</v>
      </c>
      <c r="C1708">
        <v>383</v>
      </c>
      <c r="D1708">
        <v>1</v>
      </c>
      <c r="G1708">
        <v>2.2799999999999998</v>
      </c>
      <c r="H1708">
        <v>4</v>
      </c>
      <c r="I1708">
        <v>112</v>
      </c>
      <c r="J1708">
        <f t="shared" si="90"/>
        <v>0.19403250486925852</v>
      </c>
      <c r="K1708" s="2">
        <v>6.5000000000000002E-2</v>
      </c>
      <c r="L1708" s="17">
        <v>6.5000000000000002E-2</v>
      </c>
      <c r="M1708" s="2">
        <v>0</v>
      </c>
      <c r="N1708" s="2">
        <f t="shared" si="91"/>
        <v>0</v>
      </c>
    </row>
    <row r="1709" spans="1:14" x14ac:dyDescent="0.25">
      <c r="A1709" s="12" t="s">
        <v>1508</v>
      </c>
      <c r="C1709">
        <v>383</v>
      </c>
      <c r="D1709">
        <v>1</v>
      </c>
      <c r="G1709">
        <v>4.82</v>
      </c>
      <c r="H1709">
        <v>1</v>
      </c>
      <c r="I1709">
        <v>115</v>
      </c>
      <c r="J1709">
        <f t="shared" si="90"/>
        <v>0.20056671502877246</v>
      </c>
      <c r="K1709" s="2">
        <v>0.03</v>
      </c>
      <c r="L1709" s="17">
        <v>0.03</v>
      </c>
      <c r="M1709" s="2">
        <v>0</v>
      </c>
      <c r="N1709" s="2">
        <f t="shared" si="91"/>
        <v>0</v>
      </c>
    </row>
    <row r="1710" spans="1:14" x14ac:dyDescent="0.25">
      <c r="A1710" s="12" t="s">
        <v>1509</v>
      </c>
      <c r="C1710">
        <v>383</v>
      </c>
      <c r="D1710">
        <v>1</v>
      </c>
      <c r="G1710">
        <v>2.61</v>
      </c>
      <c r="H1710">
        <v>1</v>
      </c>
      <c r="I1710">
        <v>115</v>
      </c>
      <c r="J1710">
        <f t="shared" si="90"/>
        <v>0.14896976363343084</v>
      </c>
      <c r="K1710" s="2">
        <v>0.109</v>
      </c>
      <c r="L1710" s="17">
        <v>0.109</v>
      </c>
      <c r="M1710" s="2">
        <v>0</v>
      </c>
      <c r="N1710" s="2">
        <f t="shared" si="91"/>
        <v>0</v>
      </c>
    </row>
    <row r="1711" spans="1:14" x14ac:dyDescent="0.25">
      <c r="A1711" s="12" t="s">
        <v>1510</v>
      </c>
      <c r="C1711">
        <v>383</v>
      </c>
      <c r="D1711">
        <v>1</v>
      </c>
      <c r="G1711">
        <v>1.18</v>
      </c>
      <c r="H1711">
        <v>1</v>
      </c>
      <c r="I1711">
        <v>115</v>
      </c>
      <c r="J1711">
        <f t="shared" si="90"/>
        <v>0.1007802235994512</v>
      </c>
      <c r="K1711" s="2">
        <v>0.28000000000000003</v>
      </c>
      <c r="L1711" s="17">
        <v>0.28000000000000003</v>
      </c>
      <c r="M1711" s="2">
        <v>0</v>
      </c>
      <c r="N1711" s="2">
        <f t="shared" si="91"/>
        <v>0</v>
      </c>
    </row>
    <row r="1712" spans="1:14" x14ac:dyDescent="0.25">
      <c r="A1712" s="12" t="s">
        <v>1511</v>
      </c>
      <c r="C1712">
        <v>383</v>
      </c>
      <c r="D1712">
        <v>1</v>
      </c>
      <c r="G1712">
        <v>0.12</v>
      </c>
      <c r="H1712">
        <v>1</v>
      </c>
      <c r="I1712">
        <v>115</v>
      </c>
      <c r="J1712">
        <f t="shared" si="90"/>
        <v>3.2286073607553395E-2</v>
      </c>
      <c r="K1712" s="2">
        <v>0.73499999999999999</v>
      </c>
      <c r="L1712" s="17">
        <v>0.73499999999999999</v>
      </c>
      <c r="M1712" s="2">
        <v>0</v>
      </c>
      <c r="N1712" s="2">
        <f t="shared" si="91"/>
        <v>0</v>
      </c>
    </row>
    <row r="1713" spans="1:15" x14ac:dyDescent="0.25">
      <c r="A1713" s="12" t="s">
        <v>1512</v>
      </c>
      <c r="C1713">
        <v>383</v>
      </c>
      <c r="D1713">
        <v>1</v>
      </c>
      <c r="G1713">
        <v>0.54</v>
      </c>
      <c r="H1713">
        <v>1</v>
      </c>
      <c r="I1713">
        <v>115</v>
      </c>
      <c r="J1713">
        <f t="shared" si="90"/>
        <v>6.8364508890343817E-2</v>
      </c>
      <c r="K1713" s="2">
        <v>0.46600000000000003</v>
      </c>
      <c r="L1713" s="17">
        <v>0.46600000000000003</v>
      </c>
      <c r="M1713" s="2">
        <v>0</v>
      </c>
      <c r="N1713" s="2">
        <f t="shared" si="91"/>
        <v>0</v>
      </c>
    </row>
    <row r="1714" spans="1:15" x14ac:dyDescent="0.25">
      <c r="A1714" s="12" t="s">
        <v>1513</v>
      </c>
      <c r="C1714">
        <v>383</v>
      </c>
      <c r="D1714">
        <v>1</v>
      </c>
      <c r="G1714">
        <v>1.1599999999999999</v>
      </c>
      <c r="H1714">
        <v>1</v>
      </c>
      <c r="I1714">
        <v>115</v>
      </c>
      <c r="J1714">
        <f t="shared" si="90"/>
        <v>9.9931105744491808E-2</v>
      </c>
      <c r="K1714" s="2">
        <v>0.28399999999999997</v>
      </c>
      <c r="L1714" s="17">
        <v>0.28399999999999997</v>
      </c>
      <c r="M1714" s="2">
        <v>0</v>
      </c>
      <c r="N1714" s="2">
        <f t="shared" si="91"/>
        <v>0</v>
      </c>
    </row>
    <row r="1715" spans="1:15" x14ac:dyDescent="0.25">
      <c r="A1715" s="12" t="s">
        <v>1514</v>
      </c>
      <c r="C1715">
        <v>384</v>
      </c>
      <c r="D1715">
        <v>1</v>
      </c>
      <c r="G1715">
        <v>2.4</v>
      </c>
      <c r="H1715">
        <v>6</v>
      </c>
      <c r="I1715">
        <v>63</v>
      </c>
      <c r="J1715">
        <f t="shared" ref="J1715:J1746" si="92">IF(NOT(ISBLANK(F1715)),SQRT((F1715^2*1/H1715)/(F1715^2*1/H1715+1)),IF(NOT(ISBLANK(G1715)),SQRT((G1715*H1715/I1715)/(G1715*H1715/I1715+1)*SQRT(1/H1715))))</f>
        <v>0.27559602740035682</v>
      </c>
      <c r="K1715" s="2">
        <v>3.6999999999999998E-2</v>
      </c>
      <c r="L1715" s="17">
        <v>3.6999999999999998E-2</v>
      </c>
      <c r="M1715" s="2">
        <v>0</v>
      </c>
      <c r="N1715" s="2">
        <f t="shared" si="91"/>
        <v>0</v>
      </c>
    </row>
    <row r="1716" spans="1:15" x14ac:dyDescent="0.25">
      <c r="A1716" s="12" t="s">
        <v>1515</v>
      </c>
      <c r="C1716">
        <v>384</v>
      </c>
      <c r="D1716">
        <v>1</v>
      </c>
      <c r="G1716">
        <v>4.75</v>
      </c>
      <c r="H1716">
        <v>1</v>
      </c>
      <c r="I1716">
        <v>68</v>
      </c>
      <c r="J1716">
        <f t="shared" si="92"/>
        <v>0.2555231813748633</v>
      </c>
      <c r="K1716" s="2">
        <v>3.3000000000000002E-2</v>
      </c>
      <c r="L1716" s="17">
        <v>3.3000000000000002E-2</v>
      </c>
      <c r="M1716" s="2">
        <v>0</v>
      </c>
      <c r="N1716" s="2">
        <f t="shared" si="91"/>
        <v>0</v>
      </c>
    </row>
    <row r="1717" spans="1:15" x14ac:dyDescent="0.25">
      <c r="A1717" s="12" t="s">
        <v>1516</v>
      </c>
      <c r="C1717">
        <v>384</v>
      </c>
      <c r="D1717">
        <v>1</v>
      </c>
      <c r="G1717">
        <v>2.5099999999999998</v>
      </c>
      <c r="H1717">
        <v>1</v>
      </c>
      <c r="I1717">
        <v>68</v>
      </c>
      <c r="J1717">
        <f t="shared" si="92"/>
        <v>0.18867375956360638</v>
      </c>
      <c r="K1717" s="2">
        <v>0.11799999999999999</v>
      </c>
      <c r="L1717" s="17">
        <v>0.11799999999999999</v>
      </c>
      <c r="M1717" s="2">
        <v>0</v>
      </c>
      <c r="N1717" s="2">
        <f t="shared" si="91"/>
        <v>0</v>
      </c>
    </row>
    <row r="1718" spans="1:15" x14ac:dyDescent="0.25">
      <c r="A1718" s="12" t="s">
        <v>1517</v>
      </c>
      <c r="C1718">
        <v>384</v>
      </c>
      <c r="D1718">
        <v>1</v>
      </c>
      <c r="G1718">
        <v>1.39</v>
      </c>
      <c r="H1718">
        <v>1</v>
      </c>
      <c r="I1718">
        <v>68</v>
      </c>
      <c r="J1718">
        <f t="shared" si="92"/>
        <v>0.14153340544411266</v>
      </c>
      <c r="K1718" s="2">
        <v>0.24199999999999999</v>
      </c>
      <c r="L1718" s="17">
        <v>0.24199999999999999</v>
      </c>
      <c r="M1718" s="2">
        <v>0</v>
      </c>
      <c r="N1718" s="2">
        <f t="shared" si="91"/>
        <v>0</v>
      </c>
    </row>
    <row r="1719" spans="1:15" x14ac:dyDescent="0.25">
      <c r="A1719" s="12" t="s">
        <v>1518</v>
      </c>
      <c r="C1719">
        <v>384</v>
      </c>
      <c r="D1719">
        <v>1</v>
      </c>
      <c r="G1719">
        <v>3.24</v>
      </c>
      <c r="H1719">
        <v>1</v>
      </c>
      <c r="I1719">
        <v>68</v>
      </c>
      <c r="J1719">
        <f t="shared" si="92"/>
        <v>0.2132605621719065</v>
      </c>
      <c r="K1719" s="2">
        <v>7.5999999999999998E-2</v>
      </c>
      <c r="L1719" s="17">
        <v>7.5999999999999998E-2</v>
      </c>
      <c r="M1719" s="2">
        <v>0</v>
      </c>
      <c r="N1719" s="2">
        <f t="shared" si="91"/>
        <v>0</v>
      </c>
    </row>
    <row r="1720" spans="1:15" x14ac:dyDescent="0.25">
      <c r="A1720" s="12" t="s">
        <v>1519</v>
      </c>
      <c r="C1720">
        <v>384</v>
      </c>
      <c r="D1720">
        <v>1</v>
      </c>
      <c r="E1720">
        <v>0</v>
      </c>
      <c r="J1720" t="b">
        <f t="shared" si="92"/>
        <v>0</v>
      </c>
    </row>
    <row r="1721" spans="1:15" x14ac:dyDescent="0.25">
      <c r="A1721" s="12" t="s">
        <v>1520</v>
      </c>
      <c r="C1721">
        <v>385</v>
      </c>
      <c r="D1721">
        <v>1</v>
      </c>
      <c r="G1721">
        <v>1.31</v>
      </c>
      <c r="H1721">
        <v>2.99</v>
      </c>
      <c r="I1721">
        <v>138.85</v>
      </c>
      <c r="J1721">
        <f t="shared" si="92"/>
        <v>0.1259620384330104</v>
      </c>
      <c r="K1721" s="2">
        <v>0.34</v>
      </c>
      <c r="L1721" s="17">
        <v>0.34</v>
      </c>
      <c r="M1721" s="2" t="s">
        <v>2558</v>
      </c>
      <c r="N1721" s="2" t="s">
        <v>2558</v>
      </c>
      <c r="O1721" t="s">
        <v>2135</v>
      </c>
    </row>
    <row r="1722" spans="1:15" x14ac:dyDescent="0.25">
      <c r="A1722" s="12" t="s">
        <v>1521</v>
      </c>
      <c r="C1722">
        <v>385</v>
      </c>
      <c r="D1722">
        <v>1</v>
      </c>
      <c r="G1722">
        <v>105.88</v>
      </c>
      <c r="H1722">
        <v>1.49</v>
      </c>
      <c r="I1722">
        <v>138.85</v>
      </c>
      <c r="J1722">
        <f t="shared" si="92"/>
        <v>0.66010004212324103</v>
      </c>
      <c r="K1722" s="2" t="s">
        <v>2517</v>
      </c>
      <c r="L1722" s="17">
        <v>1E-3</v>
      </c>
      <c r="M1722" s="2">
        <v>0</v>
      </c>
      <c r="N1722" s="2">
        <f t="shared" si="91"/>
        <v>0</v>
      </c>
    </row>
    <row r="1723" spans="1:15" x14ac:dyDescent="0.25">
      <c r="A1723" s="12" t="s">
        <v>1522</v>
      </c>
      <c r="C1723">
        <v>385</v>
      </c>
      <c r="D1723">
        <v>1</v>
      </c>
      <c r="G1723">
        <v>131.59</v>
      </c>
      <c r="H1723">
        <v>1</v>
      </c>
      <c r="I1723">
        <v>93</v>
      </c>
      <c r="J1723">
        <f t="shared" si="92"/>
        <v>0.76544895747867292</v>
      </c>
      <c r="K1723" s="2" t="s">
        <v>2519</v>
      </c>
      <c r="L1723" s="17">
        <v>1E-3</v>
      </c>
      <c r="M1723" s="2" t="s">
        <v>2558</v>
      </c>
      <c r="N1723" s="2" t="s">
        <v>2558</v>
      </c>
      <c r="O1723" t="s">
        <v>2135</v>
      </c>
    </row>
    <row r="1724" spans="1:15" x14ac:dyDescent="0.25">
      <c r="A1724" s="12" t="s">
        <v>1523</v>
      </c>
      <c r="C1724">
        <v>385</v>
      </c>
      <c r="D1724">
        <v>1</v>
      </c>
      <c r="F1724">
        <v>2.3199999999999998</v>
      </c>
      <c r="H1724">
        <v>42.02</v>
      </c>
      <c r="J1724">
        <f t="shared" si="92"/>
        <v>0.33696734767804726</v>
      </c>
      <c r="K1724" s="2">
        <v>2.5000000000000001E-2</v>
      </c>
      <c r="L1724" s="17">
        <v>2.5000000000000001E-2</v>
      </c>
      <c r="M1724" s="2">
        <v>0</v>
      </c>
      <c r="N1724" s="2">
        <f t="shared" si="91"/>
        <v>0</v>
      </c>
    </row>
    <row r="1725" spans="1:15" x14ac:dyDescent="0.25">
      <c r="A1725" s="12" t="s">
        <v>1524</v>
      </c>
      <c r="C1725">
        <v>385</v>
      </c>
      <c r="D1725">
        <v>1</v>
      </c>
      <c r="G1725">
        <v>2.4700000000000002</v>
      </c>
      <c r="H1725">
        <v>4.54</v>
      </c>
      <c r="I1725">
        <v>210.98</v>
      </c>
      <c r="J1725">
        <f t="shared" si="92"/>
        <v>0.15390278245367417</v>
      </c>
      <c r="K1725" s="2">
        <v>3.9E-2</v>
      </c>
      <c r="L1725" s="17">
        <v>3.9E-2</v>
      </c>
      <c r="M1725" s="2">
        <v>0</v>
      </c>
      <c r="N1725" s="2">
        <f t="shared" si="91"/>
        <v>0</v>
      </c>
    </row>
    <row r="1726" spans="1:15" x14ac:dyDescent="0.25">
      <c r="A1726" s="12" t="s">
        <v>1525</v>
      </c>
      <c r="C1726">
        <v>388</v>
      </c>
      <c r="D1726">
        <v>1</v>
      </c>
      <c r="G1726">
        <v>17.95</v>
      </c>
      <c r="H1726">
        <v>1</v>
      </c>
      <c r="I1726">
        <v>110</v>
      </c>
      <c r="J1726">
        <f t="shared" si="92"/>
        <v>0.37455196629995652</v>
      </c>
      <c r="K1726" s="2">
        <v>1E-3</v>
      </c>
      <c r="L1726" s="17">
        <v>1E-3</v>
      </c>
      <c r="M1726" s="2" t="s">
        <v>2558</v>
      </c>
      <c r="N1726" s="2" t="s">
        <v>2558</v>
      </c>
      <c r="O1726" t="s">
        <v>2264</v>
      </c>
    </row>
    <row r="1727" spans="1:15" x14ac:dyDescent="0.25">
      <c r="A1727" s="12" t="s">
        <v>1526</v>
      </c>
      <c r="C1727">
        <v>388</v>
      </c>
      <c r="D1727">
        <v>1</v>
      </c>
      <c r="G1727">
        <v>3.43</v>
      </c>
      <c r="H1727">
        <v>1</v>
      </c>
      <c r="I1727">
        <v>110</v>
      </c>
      <c r="J1727">
        <f t="shared" si="92"/>
        <v>0.17389339799884163</v>
      </c>
      <c r="K1727" s="2">
        <v>7.0000000000000007E-2</v>
      </c>
      <c r="L1727" s="17">
        <v>7.0000000000000007E-2</v>
      </c>
      <c r="M1727" s="2" t="s">
        <v>2558</v>
      </c>
      <c r="N1727" s="2" t="s">
        <v>2558</v>
      </c>
    </row>
    <row r="1728" spans="1:15" x14ac:dyDescent="0.25">
      <c r="A1728" s="12" t="s">
        <v>1527</v>
      </c>
      <c r="C1728">
        <v>388</v>
      </c>
      <c r="D1728">
        <v>1</v>
      </c>
      <c r="G1728">
        <v>0.28000000000000003</v>
      </c>
      <c r="H1728">
        <v>1</v>
      </c>
      <c r="I1728">
        <v>110</v>
      </c>
      <c r="J1728">
        <f t="shared" si="92"/>
        <v>5.0388407968488536E-2</v>
      </c>
      <c r="K1728" s="2">
        <v>0.6</v>
      </c>
      <c r="L1728" s="17">
        <v>0.6</v>
      </c>
      <c r="M1728" s="2" t="s">
        <v>2558</v>
      </c>
      <c r="N1728" s="2" t="s">
        <v>2558</v>
      </c>
    </row>
    <row r="1729" spans="1:15" x14ac:dyDescent="0.25">
      <c r="A1729" s="12" t="s">
        <v>1528</v>
      </c>
      <c r="C1729">
        <v>388</v>
      </c>
      <c r="D1729">
        <v>1</v>
      </c>
      <c r="G1729">
        <v>4.7</v>
      </c>
      <c r="H1729">
        <v>1</v>
      </c>
      <c r="I1729">
        <v>110</v>
      </c>
      <c r="J1729">
        <f t="shared" si="92"/>
        <v>0.20242643189884824</v>
      </c>
      <c r="K1729" s="2">
        <v>0.03</v>
      </c>
      <c r="L1729" s="17">
        <v>0.03</v>
      </c>
      <c r="M1729" s="2" t="s">
        <v>2558</v>
      </c>
      <c r="N1729" s="2" t="s">
        <v>2558</v>
      </c>
    </row>
    <row r="1730" spans="1:15" x14ac:dyDescent="0.25">
      <c r="A1730" s="12" t="s">
        <v>1529</v>
      </c>
      <c r="C1730">
        <v>388</v>
      </c>
      <c r="D1730">
        <v>1</v>
      </c>
      <c r="G1730">
        <v>26.43</v>
      </c>
      <c r="H1730">
        <v>1</v>
      </c>
      <c r="I1730">
        <v>110</v>
      </c>
      <c r="J1730">
        <f t="shared" si="92"/>
        <v>0.44014284062055042</v>
      </c>
      <c r="K1730" s="2">
        <v>1E-3</v>
      </c>
      <c r="L1730" s="17">
        <v>1E-3</v>
      </c>
      <c r="M1730" s="2" t="s">
        <v>2558</v>
      </c>
      <c r="N1730" s="2" t="s">
        <v>2558</v>
      </c>
    </row>
    <row r="1731" spans="1:15" x14ac:dyDescent="0.25">
      <c r="A1731" s="12" t="s">
        <v>1530</v>
      </c>
      <c r="C1731">
        <v>388</v>
      </c>
      <c r="D1731">
        <v>1</v>
      </c>
      <c r="G1731">
        <v>5.84</v>
      </c>
      <c r="H1731">
        <v>1</v>
      </c>
      <c r="I1731">
        <v>110</v>
      </c>
      <c r="J1731">
        <f t="shared" si="92"/>
        <v>0.22453143352520596</v>
      </c>
      <c r="K1731" s="2">
        <v>0.02</v>
      </c>
      <c r="L1731" s="17">
        <v>0.02</v>
      </c>
      <c r="M1731" s="2" t="s">
        <v>2558</v>
      </c>
      <c r="N1731" s="2" t="s">
        <v>2558</v>
      </c>
    </row>
    <row r="1732" spans="1:15" x14ac:dyDescent="0.25">
      <c r="A1732" s="12" t="s">
        <v>1531</v>
      </c>
      <c r="C1732">
        <v>388</v>
      </c>
      <c r="D1732">
        <v>2</v>
      </c>
      <c r="G1732">
        <v>22.89</v>
      </c>
      <c r="H1732">
        <v>1</v>
      </c>
      <c r="I1732">
        <v>110</v>
      </c>
      <c r="J1732">
        <f t="shared" si="92"/>
        <v>0.41502737702619108</v>
      </c>
      <c r="K1732" s="2">
        <v>0.01</v>
      </c>
      <c r="L1732" s="17">
        <v>0.01</v>
      </c>
      <c r="M1732" s="2" t="s">
        <v>2558</v>
      </c>
      <c r="N1732" s="2" t="s">
        <v>2558</v>
      </c>
      <c r="O1732" t="s">
        <v>2268</v>
      </c>
    </row>
    <row r="1733" spans="1:15" x14ac:dyDescent="0.25">
      <c r="A1733" s="12" t="s">
        <v>1532</v>
      </c>
      <c r="C1733">
        <v>388</v>
      </c>
      <c r="D1733">
        <v>1</v>
      </c>
      <c r="F1733">
        <v>5.89</v>
      </c>
      <c r="H1733">
        <v>110</v>
      </c>
      <c r="J1733">
        <f t="shared" si="92"/>
        <v>0.48965803437186661</v>
      </c>
      <c r="K1733" s="2">
        <v>1E-3</v>
      </c>
      <c r="L1733" s="17">
        <v>1E-3</v>
      </c>
      <c r="M1733" s="2" t="s">
        <v>2558</v>
      </c>
      <c r="N1733" s="2" t="s">
        <v>2558</v>
      </c>
    </row>
    <row r="1734" spans="1:15" x14ac:dyDescent="0.25">
      <c r="A1734" s="12" t="s">
        <v>1533</v>
      </c>
      <c r="C1734">
        <v>388</v>
      </c>
      <c r="D1734">
        <v>1</v>
      </c>
      <c r="F1734">
        <v>1.01</v>
      </c>
      <c r="H1734">
        <v>110</v>
      </c>
      <c r="J1734">
        <f t="shared" si="92"/>
        <v>9.5856279084539531E-2</v>
      </c>
      <c r="K1734" s="2">
        <v>0.32</v>
      </c>
      <c r="L1734" s="17">
        <v>0.32</v>
      </c>
      <c r="M1734" s="2" t="s">
        <v>2558</v>
      </c>
      <c r="N1734" s="2" t="s">
        <v>2558</v>
      </c>
    </row>
    <row r="1735" spans="1:15" x14ac:dyDescent="0.25">
      <c r="A1735" s="12" t="s">
        <v>1534</v>
      </c>
      <c r="C1735">
        <v>388</v>
      </c>
      <c r="D1735">
        <v>1</v>
      </c>
      <c r="F1735">
        <v>0.21</v>
      </c>
      <c r="H1735">
        <v>110</v>
      </c>
      <c r="J1735">
        <f t="shared" si="92"/>
        <v>2.0018701936475557E-2</v>
      </c>
      <c r="K1735" s="2">
        <v>0.84</v>
      </c>
      <c r="L1735" s="17">
        <v>0.84</v>
      </c>
      <c r="M1735" s="2" t="s">
        <v>2558</v>
      </c>
      <c r="N1735" s="2" t="s">
        <v>2558</v>
      </c>
    </row>
    <row r="1736" spans="1:15" x14ac:dyDescent="0.25">
      <c r="A1736" s="12" t="s">
        <v>1535</v>
      </c>
      <c r="C1736">
        <v>388</v>
      </c>
      <c r="D1736">
        <v>1</v>
      </c>
      <c r="F1736">
        <v>1.66</v>
      </c>
      <c r="H1736">
        <v>110</v>
      </c>
      <c r="J1736">
        <f t="shared" si="92"/>
        <v>0.15632881212847111</v>
      </c>
      <c r="K1736" s="2">
        <v>0.1</v>
      </c>
      <c r="L1736" s="17">
        <v>0.1</v>
      </c>
      <c r="M1736" s="2" t="s">
        <v>2558</v>
      </c>
      <c r="N1736" s="2" t="s">
        <v>2558</v>
      </c>
    </row>
    <row r="1737" spans="1:15" x14ac:dyDescent="0.25">
      <c r="A1737" s="12" t="s">
        <v>1536</v>
      </c>
      <c r="C1737">
        <v>390</v>
      </c>
      <c r="D1737">
        <v>1</v>
      </c>
      <c r="G1737">
        <v>22</v>
      </c>
      <c r="H1737">
        <v>1</v>
      </c>
      <c r="I1737">
        <v>80</v>
      </c>
      <c r="J1737">
        <f t="shared" si="92"/>
        <v>0.46442036401282399</v>
      </c>
      <c r="K1737" s="2" t="s">
        <v>2517</v>
      </c>
      <c r="L1737" s="17">
        <v>1E-3</v>
      </c>
      <c r="M1737" s="2">
        <v>0</v>
      </c>
      <c r="N1737" s="2">
        <f t="shared" si="91"/>
        <v>0</v>
      </c>
    </row>
    <row r="1738" spans="1:15" x14ac:dyDescent="0.25">
      <c r="A1738" s="12" t="s">
        <v>1537</v>
      </c>
      <c r="C1738">
        <v>390</v>
      </c>
      <c r="D1738">
        <v>1</v>
      </c>
      <c r="F1738">
        <v>6.35</v>
      </c>
      <c r="H1738">
        <v>44</v>
      </c>
      <c r="J1738">
        <f t="shared" si="92"/>
        <v>0.69151561018499963</v>
      </c>
      <c r="K1738" s="2" t="s">
        <v>2517</v>
      </c>
      <c r="L1738" s="17">
        <v>1E-3</v>
      </c>
      <c r="M1738" s="2" t="s">
        <v>2558</v>
      </c>
      <c r="N1738" s="2" t="s">
        <v>2558</v>
      </c>
      <c r="O1738" t="s">
        <v>2135</v>
      </c>
    </row>
    <row r="1739" spans="1:15" x14ac:dyDescent="0.25">
      <c r="A1739" s="12" t="s">
        <v>1538</v>
      </c>
      <c r="C1739">
        <v>390</v>
      </c>
      <c r="D1739">
        <v>1</v>
      </c>
      <c r="E1739">
        <v>0</v>
      </c>
      <c r="J1739" t="b">
        <f t="shared" si="92"/>
        <v>0</v>
      </c>
      <c r="K1739" s="2" t="s">
        <v>2517</v>
      </c>
      <c r="L1739" s="17">
        <v>1E-3</v>
      </c>
      <c r="M1739" s="2">
        <v>0</v>
      </c>
      <c r="N1739" s="2">
        <f t="shared" si="91"/>
        <v>0</v>
      </c>
    </row>
    <row r="1740" spans="1:15" x14ac:dyDescent="0.25">
      <c r="A1740" s="12" t="s">
        <v>1539</v>
      </c>
      <c r="C1740">
        <v>396</v>
      </c>
      <c r="D1740">
        <v>1</v>
      </c>
      <c r="E1740">
        <v>0</v>
      </c>
      <c r="J1740" t="b">
        <f t="shared" si="92"/>
        <v>0</v>
      </c>
      <c r="K1740" s="2" t="s">
        <v>2517</v>
      </c>
      <c r="L1740" s="17">
        <v>1E-3</v>
      </c>
    </row>
    <row r="1741" spans="1:15" x14ac:dyDescent="0.25">
      <c r="A1741" s="12" t="s">
        <v>1540</v>
      </c>
      <c r="C1741">
        <v>396</v>
      </c>
      <c r="D1741">
        <v>1</v>
      </c>
      <c r="E1741">
        <v>0</v>
      </c>
      <c r="J1741" t="b">
        <f t="shared" si="92"/>
        <v>0</v>
      </c>
      <c r="K1741" s="2" t="s">
        <v>2517</v>
      </c>
      <c r="L1741" s="17">
        <v>1E-3</v>
      </c>
    </row>
    <row r="1742" spans="1:15" x14ac:dyDescent="0.25">
      <c r="A1742" s="12" t="s">
        <v>1541</v>
      </c>
      <c r="C1742">
        <v>396</v>
      </c>
      <c r="D1742">
        <v>1</v>
      </c>
      <c r="E1742">
        <v>0</v>
      </c>
      <c r="J1742" t="b">
        <f t="shared" si="92"/>
        <v>0</v>
      </c>
      <c r="K1742" s="2">
        <v>0.01</v>
      </c>
      <c r="L1742" s="17">
        <v>0.01</v>
      </c>
    </row>
    <row r="1743" spans="1:15" x14ac:dyDescent="0.25">
      <c r="A1743" s="12" t="s">
        <v>1542</v>
      </c>
      <c r="C1743">
        <v>396</v>
      </c>
      <c r="D1743">
        <v>1</v>
      </c>
      <c r="E1743">
        <v>0</v>
      </c>
      <c r="J1743" t="b">
        <f t="shared" si="92"/>
        <v>0</v>
      </c>
      <c r="K1743" s="2">
        <v>0.01</v>
      </c>
      <c r="L1743" s="17">
        <v>0.01</v>
      </c>
    </row>
    <row r="1744" spans="1:15" x14ac:dyDescent="0.25">
      <c r="A1744" s="12" t="s">
        <v>1543</v>
      </c>
      <c r="C1744">
        <v>396</v>
      </c>
      <c r="D1744">
        <v>1</v>
      </c>
      <c r="E1744">
        <v>0</v>
      </c>
      <c r="J1744" t="b">
        <f t="shared" si="92"/>
        <v>0</v>
      </c>
      <c r="K1744" s="2" t="s">
        <v>2517</v>
      </c>
      <c r="L1744" s="17">
        <v>1E-3</v>
      </c>
    </row>
    <row r="1745" spans="1:14" x14ac:dyDescent="0.25">
      <c r="A1745" s="12" t="s">
        <v>1544</v>
      </c>
      <c r="C1745">
        <v>396</v>
      </c>
      <c r="D1745">
        <v>1</v>
      </c>
      <c r="E1745">
        <v>0</v>
      </c>
      <c r="J1745" t="b">
        <f t="shared" si="92"/>
        <v>0</v>
      </c>
      <c r="K1745" s="2" t="s">
        <v>2517</v>
      </c>
      <c r="L1745" s="17">
        <v>1E-3</v>
      </c>
    </row>
    <row r="1746" spans="1:14" x14ac:dyDescent="0.25">
      <c r="A1746" s="12" t="s">
        <v>1545</v>
      </c>
      <c r="C1746">
        <v>396</v>
      </c>
      <c r="D1746">
        <v>1</v>
      </c>
      <c r="E1746">
        <v>0</v>
      </c>
      <c r="J1746" t="b">
        <f t="shared" si="92"/>
        <v>0</v>
      </c>
      <c r="K1746" s="2" t="s">
        <v>2517</v>
      </c>
      <c r="L1746" s="17">
        <v>1E-3</v>
      </c>
    </row>
    <row r="1747" spans="1:14" x14ac:dyDescent="0.25">
      <c r="A1747" s="12" t="s">
        <v>1546</v>
      </c>
      <c r="C1747">
        <v>396</v>
      </c>
      <c r="D1747">
        <v>1</v>
      </c>
      <c r="E1747">
        <v>0</v>
      </c>
      <c r="J1747" t="b">
        <f t="shared" ref="J1747:J1777" si="93">IF(NOT(ISBLANK(F1747)),SQRT((F1747^2*1/H1747)/(F1747^2*1/H1747+1)),IF(NOT(ISBLANK(G1747)),SQRT((G1747*H1747/I1747)/(G1747*H1747/I1747+1)*SQRT(1/H1747))))</f>
        <v>0</v>
      </c>
      <c r="K1747" s="2" t="s">
        <v>2517</v>
      </c>
      <c r="L1747" s="17">
        <v>1E-3</v>
      </c>
    </row>
    <row r="1748" spans="1:14" x14ac:dyDescent="0.25">
      <c r="A1748" s="12" t="s">
        <v>1547</v>
      </c>
      <c r="C1748">
        <v>396</v>
      </c>
      <c r="D1748">
        <v>1</v>
      </c>
      <c r="E1748">
        <v>0</v>
      </c>
      <c r="J1748" t="b">
        <f t="shared" si="93"/>
        <v>0</v>
      </c>
      <c r="K1748" s="2">
        <v>0.01</v>
      </c>
      <c r="L1748" s="17">
        <v>0.01</v>
      </c>
    </row>
    <row r="1749" spans="1:14" x14ac:dyDescent="0.25">
      <c r="A1749" s="12" t="s">
        <v>1548</v>
      </c>
      <c r="C1749">
        <v>396</v>
      </c>
      <c r="D1749">
        <v>1</v>
      </c>
      <c r="E1749">
        <v>0</v>
      </c>
      <c r="J1749" t="b">
        <f t="shared" si="93"/>
        <v>0</v>
      </c>
      <c r="K1749" s="2">
        <v>0.48</v>
      </c>
      <c r="L1749" s="17">
        <v>0.48</v>
      </c>
      <c r="M1749" s="2">
        <v>0</v>
      </c>
      <c r="N1749" s="2">
        <f t="shared" ref="N1749:N1808" si="94">IF(M1749=0, 0)</f>
        <v>0</v>
      </c>
    </row>
    <row r="1750" spans="1:14" x14ac:dyDescent="0.25">
      <c r="A1750" s="12" t="s">
        <v>1549</v>
      </c>
      <c r="B1750" s="4" t="s">
        <v>2277</v>
      </c>
      <c r="C1750">
        <v>396</v>
      </c>
      <c r="D1750">
        <v>1</v>
      </c>
      <c r="E1750">
        <v>0</v>
      </c>
      <c r="J1750" t="b">
        <f t="shared" si="93"/>
        <v>0</v>
      </c>
      <c r="K1750" s="2" t="s">
        <v>2517</v>
      </c>
      <c r="L1750" s="17">
        <v>1E-3</v>
      </c>
      <c r="M1750" s="2">
        <v>0</v>
      </c>
      <c r="N1750" s="2">
        <f t="shared" si="94"/>
        <v>0</v>
      </c>
    </row>
    <row r="1751" spans="1:14" x14ac:dyDescent="0.25">
      <c r="A1751" s="12" t="s">
        <v>1550</v>
      </c>
      <c r="C1751">
        <v>396</v>
      </c>
      <c r="D1751">
        <v>1</v>
      </c>
      <c r="E1751">
        <v>0</v>
      </c>
      <c r="J1751" t="b">
        <f t="shared" si="93"/>
        <v>0</v>
      </c>
      <c r="K1751" s="2" t="s">
        <v>2517</v>
      </c>
      <c r="L1751" s="17">
        <v>1E-3</v>
      </c>
    </row>
    <row r="1752" spans="1:14" x14ac:dyDescent="0.25">
      <c r="A1752" s="12" t="s">
        <v>1551</v>
      </c>
      <c r="B1752" s="4" t="s">
        <v>2278</v>
      </c>
      <c r="C1752">
        <v>396</v>
      </c>
      <c r="D1752">
        <v>1</v>
      </c>
      <c r="E1752">
        <v>0</v>
      </c>
      <c r="J1752" t="b">
        <f t="shared" si="93"/>
        <v>0</v>
      </c>
      <c r="K1752" s="2">
        <v>4.0000000000000001E-3</v>
      </c>
      <c r="L1752" s="17">
        <v>4.0000000000000001E-3</v>
      </c>
    </row>
    <row r="1753" spans="1:14" x14ac:dyDescent="0.25">
      <c r="A1753" s="12" t="s">
        <v>1552</v>
      </c>
      <c r="C1753">
        <v>396</v>
      </c>
      <c r="D1753">
        <v>1</v>
      </c>
      <c r="E1753">
        <v>0</v>
      </c>
      <c r="J1753" t="b">
        <f t="shared" si="93"/>
        <v>0</v>
      </c>
      <c r="K1753" s="2" t="s">
        <v>2517</v>
      </c>
      <c r="L1753" s="17">
        <v>1E-3</v>
      </c>
    </row>
    <row r="1754" spans="1:14" x14ac:dyDescent="0.25">
      <c r="A1754" s="12" t="s">
        <v>1553</v>
      </c>
      <c r="C1754">
        <v>396</v>
      </c>
      <c r="D1754">
        <v>1</v>
      </c>
      <c r="E1754">
        <v>0</v>
      </c>
      <c r="J1754" t="b">
        <f t="shared" si="93"/>
        <v>0</v>
      </c>
      <c r="K1754" s="2">
        <v>0.11</v>
      </c>
      <c r="L1754" s="17">
        <v>0.11</v>
      </c>
      <c r="M1754" s="2">
        <v>0</v>
      </c>
      <c r="N1754" s="2">
        <f t="shared" si="94"/>
        <v>0</v>
      </c>
    </row>
    <row r="1755" spans="1:14" x14ac:dyDescent="0.25">
      <c r="A1755" s="12" t="s">
        <v>1554</v>
      </c>
      <c r="B1755" s="4" t="s">
        <v>2279</v>
      </c>
      <c r="C1755">
        <v>396</v>
      </c>
      <c r="D1755">
        <v>1</v>
      </c>
      <c r="E1755">
        <v>0</v>
      </c>
      <c r="J1755" t="b">
        <f t="shared" si="93"/>
        <v>0</v>
      </c>
      <c r="K1755" s="2" t="s">
        <v>2517</v>
      </c>
      <c r="L1755" s="17">
        <v>1E-3</v>
      </c>
      <c r="M1755" s="2">
        <v>0</v>
      </c>
      <c r="N1755" s="2">
        <f t="shared" si="94"/>
        <v>0</v>
      </c>
    </row>
    <row r="1756" spans="1:14" x14ac:dyDescent="0.25">
      <c r="A1756" s="12" t="s">
        <v>1555</v>
      </c>
      <c r="C1756">
        <v>396</v>
      </c>
      <c r="D1756">
        <v>1</v>
      </c>
      <c r="E1756">
        <v>0</v>
      </c>
      <c r="J1756" t="b">
        <f t="shared" si="93"/>
        <v>0</v>
      </c>
      <c r="K1756" s="2" t="s">
        <v>2517</v>
      </c>
      <c r="L1756" s="17">
        <v>1E-3</v>
      </c>
    </row>
    <row r="1757" spans="1:14" x14ac:dyDescent="0.25">
      <c r="A1757" s="12" t="s">
        <v>1556</v>
      </c>
      <c r="C1757">
        <v>396</v>
      </c>
      <c r="D1757">
        <v>3</v>
      </c>
      <c r="E1757">
        <v>0</v>
      </c>
      <c r="J1757" t="b">
        <f t="shared" si="93"/>
        <v>0</v>
      </c>
      <c r="K1757" s="2" t="s">
        <v>2517</v>
      </c>
      <c r="L1757" s="17">
        <v>1E-3</v>
      </c>
    </row>
    <row r="1758" spans="1:14" x14ac:dyDescent="0.25">
      <c r="A1758" s="12" t="s">
        <v>1557</v>
      </c>
      <c r="C1758">
        <v>396</v>
      </c>
      <c r="D1758">
        <v>1</v>
      </c>
      <c r="E1758">
        <v>0</v>
      </c>
      <c r="J1758" t="b">
        <f t="shared" si="93"/>
        <v>0</v>
      </c>
      <c r="K1758" s="2" t="s">
        <v>2517</v>
      </c>
      <c r="L1758" s="17">
        <v>1E-3</v>
      </c>
    </row>
    <row r="1759" spans="1:14" x14ac:dyDescent="0.25">
      <c r="A1759" s="12" t="s">
        <v>1558</v>
      </c>
      <c r="C1759">
        <v>398</v>
      </c>
      <c r="D1759">
        <v>1</v>
      </c>
      <c r="E1759">
        <v>0</v>
      </c>
      <c r="J1759" t="b">
        <f t="shared" si="93"/>
        <v>0</v>
      </c>
      <c r="K1759" s="2">
        <v>0.87</v>
      </c>
      <c r="L1759" s="17">
        <v>0.87</v>
      </c>
      <c r="M1759" s="2">
        <v>0</v>
      </c>
      <c r="N1759" s="2">
        <v>0</v>
      </c>
    </row>
    <row r="1760" spans="1:14" x14ac:dyDescent="0.25">
      <c r="A1760" s="12" t="s">
        <v>1559</v>
      </c>
      <c r="C1760">
        <v>398</v>
      </c>
      <c r="D1760">
        <v>1</v>
      </c>
      <c r="E1760">
        <v>0</v>
      </c>
      <c r="J1760" t="b">
        <f t="shared" si="93"/>
        <v>0</v>
      </c>
      <c r="K1760" s="2" t="s">
        <v>2141</v>
      </c>
      <c r="L1760" s="17">
        <v>1E-3</v>
      </c>
    </row>
    <row r="1761" spans="1:15" x14ac:dyDescent="0.25">
      <c r="A1761" s="12" t="s">
        <v>1560</v>
      </c>
      <c r="C1761">
        <v>398</v>
      </c>
      <c r="D1761">
        <v>1</v>
      </c>
      <c r="E1761">
        <v>0</v>
      </c>
      <c r="J1761" t="b">
        <f t="shared" si="93"/>
        <v>0</v>
      </c>
      <c r="K1761" s="2">
        <v>0.61</v>
      </c>
      <c r="L1761" s="17">
        <v>0.61</v>
      </c>
    </row>
    <row r="1762" spans="1:15" x14ac:dyDescent="0.25">
      <c r="A1762" s="12" t="s">
        <v>1561</v>
      </c>
      <c r="C1762">
        <v>398</v>
      </c>
      <c r="D1762">
        <v>1</v>
      </c>
      <c r="E1762">
        <v>0</v>
      </c>
      <c r="J1762" t="b">
        <f t="shared" si="93"/>
        <v>0</v>
      </c>
      <c r="K1762" s="2" t="s">
        <v>2141</v>
      </c>
      <c r="L1762" s="17">
        <v>1E-3</v>
      </c>
    </row>
    <row r="1763" spans="1:15" x14ac:dyDescent="0.25">
      <c r="A1763" s="12" t="s">
        <v>1562</v>
      </c>
      <c r="C1763">
        <v>398</v>
      </c>
      <c r="D1763">
        <v>1</v>
      </c>
      <c r="E1763">
        <v>0</v>
      </c>
      <c r="J1763" t="b">
        <f t="shared" si="93"/>
        <v>0</v>
      </c>
      <c r="K1763" s="2">
        <v>2.9000000000000001E-2</v>
      </c>
      <c r="L1763" s="17">
        <v>2.9000000000000001E-2</v>
      </c>
    </row>
    <row r="1764" spans="1:15" x14ac:dyDescent="0.25">
      <c r="A1764" s="12" t="s">
        <v>1563</v>
      </c>
      <c r="C1764">
        <v>398</v>
      </c>
      <c r="D1764">
        <v>1</v>
      </c>
      <c r="E1764">
        <v>0</v>
      </c>
      <c r="J1764" t="b">
        <f t="shared" si="93"/>
        <v>0</v>
      </c>
      <c r="K1764" s="2">
        <v>0.02</v>
      </c>
      <c r="L1764" s="17">
        <v>0.02</v>
      </c>
    </row>
    <row r="1765" spans="1:15" x14ac:dyDescent="0.25">
      <c r="A1765" s="12" t="s">
        <v>1564</v>
      </c>
      <c r="C1765">
        <v>398</v>
      </c>
      <c r="D1765">
        <v>1</v>
      </c>
      <c r="E1765">
        <v>0</v>
      </c>
      <c r="J1765" t="b">
        <f t="shared" si="93"/>
        <v>0</v>
      </c>
      <c r="K1765" s="2">
        <v>0.22</v>
      </c>
      <c r="L1765" s="17">
        <v>0.22</v>
      </c>
    </row>
    <row r="1766" spans="1:15" x14ac:dyDescent="0.25">
      <c r="A1766" s="12" t="s">
        <v>1565</v>
      </c>
      <c r="C1766">
        <v>398</v>
      </c>
      <c r="D1766">
        <v>1</v>
      </c>
      <c r="E1766">
        <v>0</v>
      </c>
      <c r="J1766" t="b">
        <f t="shared" si="93"/>
        <v>0</v>
      </c>
      <c r="K1766" s="2">
        <v>0.43</v>
      </c>
      <c r="L1766" s="17">
        <v>0.43</v>
      </c>
    </row>
    <row r="1767" spans="1:15" x14ac:dyDescent="0.25">
      <c r="A1767" s="12" t="s">
        <v>1566</v>
      </c>
      <c r="C1767">
        <v>399</v>
      </c>
      <c r="D1767">
        <v>1</v>
      </c>
      <c r="E1767">
        <v>0</v>
      </c>
      <c r="J1767" t="b">
        <f t="shared" si="93"/>
        <v>0</v>
      </c>
      <c r="K1767" s="2" t="s">
        <v>2552</v>
      </c>
      <c r="L1767" s="17">
        <v>0.05</v>
      </c>
      <c r="M1767" s="2">
        <v>0</v>
      </c>
      <c r="N1767" s="2">
        <f t="shared" si="94"/>
        <v>0</v>
      </c>
    </row>
    <row r="1768" spans="1:15" x14ac:dyDescent="0.25">
      <c r="A1768" s="12" t="s">
        <v>1567</v>
      </c>
      <c r="C1768">
        <v>399</v>
      </c>
      <c r="D1768">
        <v>1</v>
      </c>
      <c r="E1768">
        <v>0</v>
      </c>
      <c r="J1768" t="b">
        <f t="shared" si="93"/>
        <v>0</v>
      </c>
      <c r="K1768" s="2" t="s">
        <v>2533</v>
      </c>
      <c r="L1768" s="17">
        <v>4.9000000000000002E-2</v>
      </c>
      <c r="M1768" s="2">
        <v>0</v>
      </c>
      <c r="N1768" s="2">
        <f t="shared" si="94"/>
        <v>0</v>
      </c>
    </row>
    <row r="1769" spans="1:15" x14ac:dyDescent="0.25">
      <c r="A1769" s="12" t="s">
        <v>1568</v>
      </c>
      <c r="C1769">
        <v>399</v>
      </c>
      <c r="D1769">
        <v>2</v>
      </c>
      <c r="E1769">
        <v>0</v>
      </c>
      <c r="J1769" t="b">
        <f t="shared" si="93"/>
        <v>0</v>
      </c>
      <c r="K1769" s="2" t="s">
        <v>2553</v>
      </c>
      <c r="L1769" s="17">
        <v>0.01</v>
      </c>
      <c r="M1769" s="2">
        <v>0</v>
      </c>
      <c r="N1769" s="2">
        <f t="shared" si="94"/>
        <v>0</v>
      </c>
      <c r="O1769" t="s">
        <v>2294</v>
      </c>
    </row>
    <row r="1770" spans="1:15" x14ac:dyDescent="0.25">
      <c r="A1770" s="12" t="s">
        <v>1569</v>
      </c>
      <c r="C1770">
        <v>399</v>
      </c>
      <c r="D1770">
        <v>1</v>
      </c>
      <c r="E1770">
        <v>0</v>
      </c>
      <c r="J1770" t="b">
        <f t="shared" si="93"/>
        <v>0</v>
      </c>
      <c r="K1770" s="2">
        <v>1E-3</v>
      </c>
      <c r="L1770" s="17">
        <v>1E-3</v>
      </c>
      <c r="M1770" s="2">
        <v>0</v>
      </c>
      <c r="N1770" s="2">
        <f t="shared" si="94"/>
        <v>0</v>
      </c>
    </row>
    <row r="1771" spans="1:15" x14ac:dyDescent="0.25">
      <c r="A1771" s="12" t="s">
        <v>1570</v>
      </c>
      <c r="C1771">
        <v>399</v>
      </c>
      <c r="D1771">
        <v>1</v>
      </c>
      <c r="E1771">
        <v>0</v>
      </c>
      <c r="J1771" t="b">
        <f t="shared" si="93"/>
        <v>0</v>
      </c>
      <c r="K1771" s="2">
        <v>1.4E-2</v>
      </c>
      <c r="L1771" s="17">
        <v>1.4E-2</v>
      </c>
      <c r="M1771" s="2">
        <v>0</v>
      </c>
      <c r="N1771" s="2">
        <f t="shared" si="94"/>
        <v>0</v>
      </c>
    </row>
    <row r="1772" spans="1:15" x14ac:dyDescent="0.25">
      <c r="A1772" s="12" t="s">
        <v>1571</v>
      </c>
      <c r="C1772">
        <v>399</v>
      </c>
      <c r="D1772">
        <v>0</v>
      </c>
      <c r="J1772" t="b">
        <f t="shared" si="93"/>
        <v>0</v>
      </c>
    </row>
    <row r="1773" spans="1:15" x14ac:dyDescent="0.25">
      <c r="A1773" s="12" t="s">
        <v>1572</v>
      </c>
      <c r="C1773">
        <v>399</v>
      </c>
      <c r="D1773">
        <v>0</v>
      </c>
      <c r="J1773" t="b">
        <f t="shared" si="93"/>
        <v>0</v>
      </c>
    </row>
    <row r="1774" spans="1:15" x14ac:dyDescent="0.25">
      <c r="A1774" s="12" t="s">
        <v>1573</v>
      </c>
      <c r="C1774">
        <v>403</v>
      </c>
      <c r="D1774">
        <v>1</v>
      </c>
      <c r="F1774">
        <v>5.52</v>
      </c>
      <c r="H1774">
        <v>263</v>
      </c>
      <c r="J1774">
        <f t="shared" si="93"/>
        <v>0.32222328859782168</v>
      </c>
      <c r="K1774" s="2" t="s">
        <v>2519</v>
      </c>
      <c r="L1774" s="17">
        <v>1E-3</v>
      </c>
      <c r="M1774" s="2">
        <v>0</v>
      </c>
      <c r="N1774" s="2">
        <f t="shared" si="94"/>
        <v>0</v>
      </c>
    </row>
    <row r="1775" spans="1:15" x14ac:dyDescent="0.25">
      <c r="A1775" s="12" t="s">
        <v>1574</v>
      </c>
      <c r="C1775">
        <v>403</v>
      </c>
      <c r="D1775">
        <v>1</v>
      </c>
      <c r="F1775">
        <v>2.88</v>
      </c>
      <c r="H1775">
        <v>263</v>
      </c>
      <c r="J1775">
        <f t="shared" si="93"/>
        <v>0.17485259139637407</v>
      </c>
      <c r="K1775" s="2">
        <v>4.0000000000000001E-3</v>
      </c>
      <c r="L1775" s="17">
        <v>4.0000000000000001E-3</v>
      </c>
      <c r="M1775" s="2">
        <v>0</v>
      </c>
      <c r="N1775" s="2">
        <f t="shared" si="94"/>
        <v>0</v>
      </c>
    </row>
    <row r="1776" spans="1:15" x14ac:dyDescent="0.25">
      <c r="A1776" s="12" t="s">
        <v>1575</v>
      </c>
      <c r="C1776">
        <v>403</v>
      </c>
      <c r="D1776">
        <v>1</v>
      </c>
      <c r="G1776">
        <v>5.94</v>
      </c>
      <c r="H1776">
        <v>2</v>
      </c>
      <c r="I1776">
        <v>288</v>
      </c>
      <c r="J1776">
        <f t="shared" si="93"/>
        <v>0.16736975111537525</v>
      </c>
      <c r="K1776" s="2">
        <v>3.0000000000000001E-3</v>
      </c>
      <c r="L1776" s="17">
        <v>3.0000000000000001E-3</v>
      </c>
      <c r="M1776" s="2">
        <v>0</v>
      </c>
      <c r="N1776" s="2">
        <f t="shared" si="94"/>
        <v>0</v>
      </c>
    </row>
    <row r="1777" spans="1:15" x14ac:dyDescent="0.25">
      <c r="A1777" s="12" t="s">
        <v>1576</v>
      </c>
      <c r="C1777">
        <v>403</v>
      </c>
      <c r="D1777">
        <v>1</v>
      </c>
      <c r="G1777">
        <v>17.48</v>
      </c>
      <c r="H1777">
        <v>2</v>
      </c>
      <c r="I1777">
        <v>288</v>
      </c>
      <c r="J1777">
        <f t="shared" si="93"/>
        <v>0.27666476011922964</v>
      </c>
      <c r="K1777" s="2" t="s">
        <v>2517</v>
      </c>
      <c r="L1777" s="17">
        <v>1E-3</v>
      </c>
      <c r="M1777" s="2">
        <v>0</v>
      </c>
      <c r="N1777" s="2">
        <f t="shared" si="94"/>
        <v>0</v>
      </c>
    </row>
    <row r="1778" spans="1:15" x14ac:dyDescent="0.25">
      <c r="A1778" s="12" t="s">
        <v>1577</v>
      </c>
      <c r="C1778">
        <v>403</v>
      </c>
      <c r="D1778">
        <v>1</v>
      </c>
      <c r="G1778">
        <v>5.35</v>
      </c>
      <c r="H1778">
        <v>2</v>
      </c>
      <c r="I1778">
        <v>143</v>
      </c>
      <c r="J1778">
        <f t="shared" ref="J1778:J1809" si="95">IF(NOT(ISBLANK(F1778)),SQRT((F1778^2*1/H1778)/(F1778^2*1/H1778+1)),IF(NOT(ISBLANK(G1778)),SQRT((G1778*H1778/I1778)/(G1778*H1778/I1778+1)*SQRT(1/H1778))))</f>
        <v>0.22186942414588512</v>
      </c>
      <c r="K1778" s="2">
        <v>6.0000000000000001E-3</v>
      </c>
      <c r="L1778" s="17">
        <v>6.0000000000000001E-3</v>
      </c>
      <c r="M1778" s="2">
        <v>0</v>
      </c>
      <c r="N1778" s="2">
        <f t="shared" si="94"/>
        <v>0</v>
      </c>
    </row>
    <row r="1779" spans="1:15" x14ac:dyDescent="0.25">
      <c r="A1779" s="12" t="s">
        <v>1578</v>
      </c>
      <c r="C1779">
        <v>403</v>
      </c>
      <c r="D1779">
        <v>1</v>
      </c>
      <c r="F1779">
        <v>3.25</v>
      </c>
      <c r="H1779">
        <v>93</v>
      </c>
      <c r="J1779">
        <f t="shared" si="95"/>
        <v>0.31936116075029458</v>
      </c>
      <c r="K1779" s="2">
        <v>2E-3</v>
      </c>
      <c r="L1779" s="17">
        <v>2E-3</v>
      </c>
      <c r="M1779" s="2">
        <v>0</v>
      </c>
      <c r="N1779" s="2">
        <f t="shared" si="94"/>
        <v>0</v>
      </c>
    </row>
    <row r="1780" spans="1:15" x14ac:dyDescent="0.25">
      <c r="A1780" s="12" t="s">
        <v>1579</v>
      </c>
      <c r="C1780">
        <v>403</v>
      </c>
      <c r="D1780">
        <v>1</v>
      </c>
      <c r="F1780">
        <v>2.0099999999999998</v>
      </c>
      <c r="H1780">
        <v>99</v>
      </c>
      <c r="J1780">
        <f t="shared" si="95"/>
        <v>0.19801264348226957</v>
      </c>
      <c r="K1780" s="2">
        <v>4.7E-2</v>
      </c>
      <c r="L1780" s="17">
        <v>4.7E-2</v>
      </c>
      <c r="M1780" s="2">
        <v>0</v>
      </c>
      <c r="N1780" s="2">
        <f t="shared" si="94"/>
        <v>0</v>
      </c>
    </row>
    <row r="1781" spans="1:15" x14ac:dyDescent="0.25">
      <c r="A1781" s="12" t="s">
        <v>1580</v>
      </c>
      <c r="C1781">
        <v>403</v>
      </c>
      <c r="D1781">
        <v>2</v>
      </c>
      <c r="F1781">
        <v>1.42</v>
      </c>
      <c r="H1781">
        <v>94</v>
      </c>
      <c r="J1781">
        <f t="shared" si="95"/>
        <v>0.14491576542164966</v>
      </c>
      <c r="K1781" s="2">
        <v>0.159</v>
      </c>
      <c r="L1781" s="17">
        <v>0.159</v>
      </c>
      <c r="M1781" s="2">
        <v>0</v>
      </c>
      <c r="N1781" s="2">
        <f t="shared" si="94"/>
        <v>0</v>
      </c>
      <c r="O1781" t="s">
        <v>2281</v>
      </c>
    </row>
    <row r="1782" spans="1:15" x14ac:dyDescent="0.25">
      <c r="A1782" s="12" t="s">
        <v>1581</v>
      </c>
      <c r="C1782">
        <v>403</v>
      </c>
      <c r="D1782">
        <v>1</v>
      </c>
      <c r="G1782">
        <v>2.96</v>
      </c>
      <c r="H1782">
        <v>2</v>
      </c>
      <c r="I1782">
        <v>286</v>
      </c>
      <c r="J1782">
        <f t="shared" si="95"/>
        <v>0.11974887147353237</v>
      </c>
      <c r="K1782" s="2">
        <v>5.3999999999999999E-2</v>
      </c>
      <c r="L1782" s="17">
        <v>5.3999999999999999E-2</v>
      </c>
      <c r="M1782" s="2">
        <v>0</v>
      </c>
      <c r="N1782" s="2">
        <f t="shared" si="94"/>
        <v>0</v>
      </c>
    </row>
    <row r="1783" spans="1:15" x14ac:dyDescent="0.25">
      <c r="A1783" s="12" t="s">
        <v>1582</v>
      </c>
      <c r="C1783">
        <v>403</v>
      </c>
      <c r="D1783">
        <v>2</v>
      </c>
      <c r="G1783">
        <v>1.52</v>
      </c>
      <c r="H1783">
        <v>4</v>
      </c>
      <c r="I1783">
        <v>286</v>
      </c>
      <c r="J1783">
        <f t="shared" si="95"/>
        <v>0.10202013216931463</v>
      </c>
      <c r="K1783" s="2">
        <v>0.19</v>
      </c>
      <c r="L1783" s="17">
        <v>0.19</v>
      </c>
      <c r="M1783" s="2">
        <v>0</v>
      </c>
      <c r="N1783" s="2">
        <f t="shared" si="94"/>
        <v>0</v>
      </c>
      <c r="O1783" t="s">
        <v>2281</v>
      </c>
    </row>
    <row r="1784" spans="1:15" x14ac:dyDescent="0.25">
      <c r="A1784" s="12" t="s">
        <v>1583</v>
      </c>
      <c r="C1784">
        <v>403</v>
      </c>
      <c r="D1784">
        <v>1</v>
      </c>
      <c r="F1784">
        <v>2.17</v>
      </c>
      <c r="H1784">
        <v>145</v>
      </c>
      <c r="J1784">
        <f t="shared" si="95"/>
        <v>0.17735193212647407</v>
      </c>
      <c r="K1784" s="2">
        <v>3.1E-2</v>
      </c>
      <c r="L1784" s="17">
        <v>3.1E-2</v>
      </c>
      <c r="M1784" s="2">
        <v>0</v>
      </c>
      <c r="N1784" s="2">
        <f t="shared" si="94"/>
        <v>0</v>
      </c>
    </row>
    <row r="1785" spans="1:15" x14ac:dyDescent="0.25">
      <c r="A1785" s="12" t="s">
        <v>1584</v>
      </c>
      <c r="C1785">
        <v>403</v>
      </c>
      <c r="D1785">
        <v>1</v>
      </c>
      <c r="F1785">
        <v>0.96</v>
      </c>
      <c r="H1785">
        <v>145</v>
      </c>
      <c r="J1785">
        <f t="shared" si="95"/>
        <v>7.9471505726052424E-2</v>
      </c>
      <c r="K1785" s="2">
        <v>0.33800000000000002</v>
      </c>
      <c r="L1785" s="17">
        <v>0.33800000000000002</v>
      </c>
      <c r="M1785" s="2">
        <v>0</v>
      </c>
      <c r="N1785" s="2">
        <f t="shared" si="94"/>
        <v>0</v>
      </c>
    </row>
    <row r="1786" spans="1:15" x14ac:dyDescent="0.25">
      <c r="A1786" s="12" t="s">
        <v>1585</v>
      </c>
      <c r="C1786">
        <v>403</v>
      </c>
      <c r="D1786">
        <v>1</v>
      </c>
      <c r="F1786">
        <v>1.4</v>
      </c>
      <c r="H1786">
        <v>145</v>
      </c>
      <c r="J1786">
        <f t="shared" si="95"/>
        <v>0.11548576725622445</v>
      </c>
      <c r="K1786" s="2">
        <v>0.16300000000000001</v>
      </c>
      <c r="L1786" s="17">
        <v>0.16300000000000001</v>
      </c>
      <c r="M1786" s="2">
        <v>0</v>
      </c>
      <c r="N1786" s="2">
        <f t="shared" si="94"/>
        <v>0</v>
      </c>
    </row>
    <row r="1787" spans="1:15" x14ac:dyDescent="0.25">
      <c r="A1787" s="12" t="s">
        <v>1586</v>
      </c>
      <c r="C1787">
        <v>403</v>
      </c>
      <c r="D1787">
        <v>1</v>
      </c>
      <c r="G1787">
        <v>18.36</v>
      </c>
      <c r="H1787">
        <v>2</v>
      </c>
      <c r="I1787">
        <v>143</v>
      </c>
      <c r="J1787">
        <f t="shared" si="95"/>
        <v>0.38009804196630842</v>
      </c>
      <c r="K1787" s="2" t="s">
        <v>2519</v>
      </c>
      <c r="L1787" s="17">
        <v>1E-3</v>
      </c>
      <c r="M1787" s="2">
        <v>0</v>
      </c>
      <c r="N1787" s="2">
        <f t="shared" si="94"/>
        <v>0</v>
      </c>
    </row>
    <row r="1788" spans="1:15" x14ac:dyDescent="0.25">
      <c r="A1788" s="12" t="s">
        <v>1587</v>
      </c>
      <c r="C1788">
        <v>403</v>
      </c>
      <c r="D1788">
        <v>1</v>
      </c>
      <c r="F1788">
        <v>5.15</v>
      </c>
      <c r="H1788">
        <v>93</v>
      </c>
      <c r="J1788">
        <f t="shared" si="95"/>
        <v>0.47106668916356625</v>
      </c>
      <c r="K1788" s="2" t="s">
        <v>2517</v>
      </c>
      <c r="L1788" s="17">
        <v>1E-3</v>
      </c>
      <c r="M1788" s="2">
        <v>0</v>
      </c>
      <c r="N1788" s="2">
        <f t="shared" si="94"/>
        <v>0</v>
      </c>
    </row>
    <row r="1789" spans="1:15" x14ac:dyDescent="0.25">
      <c r="A1789" s="12" t="s">
        <v>1588</v>
      </c>
      <c r="C1789">
        <v>403</v>
      </c>
      <c r="D1789">
        <v>1</v>
      </c>
      <c r="F1789">
        <v>4.3899999999999997</v>
      </c>
      <c r="H1789">
        <v>94</v>
      </c>
      <c r="J1789">
        <f t="shared" si="95"/>
        <v>0.41248014103184472</v>
      </c>
      <c r="K1789" s="2">
        <v>3.0000000000000001E-5</v>
      </c>
      <c r="L1789" s="17">
        <v>3.0000000000000001E-5</v>
      </c>
      <c r="M1789" s="2">
        <v>1</v>
      </c>
      <c r="N1789" s="2">
        <v>0</v>
      </c>
    </row>
    <row r="1790" spans="1:15" x14ac:dyDescent="0.25">
      <c r="A1790" s="12" t="s">
        <v>1589</v>
      </c>
      <c r="C1790">
        <v>403</v>
      </c>
      <c r="D1790">
        <v>1</v>
      </c>
      <c r="F1790">
        <v>0.74</v>
      </c>
      <c r="H1790">
        <v>99</v>
      </c>
      <c r="J1790">
        <f t="shared" si="95"/>
        <v>7.4167958097156456E-2</v>
      </c>
      <c r="K1790" s="2">
        <v>0.46300000000000002</v>
      </c>
      <c r="L1790" s="17">
        <v>0.46300000000000002</v>
      </c>
      <c r="M1790" s="2">
        <v>0</v>
      </c>
      <c r="N1790" s="2">
        <f t="shared" si="94"/>
        <v>0</v>
      </c>
    </row>
    <row r="1791" spans="1:15" x14ac:dyDescent="0.25">
      <c r="A1791" s="12" t="s">
        <v>1590</v>
      </c>
      <c r="C1791">
        <v>403</v>
      </c>
      <c r="D1791">
        <v>1</v>
      </c>
      <c r="G1791">
        <v>1.1399999999999999</v>
      </c>
      <c r="H1791">
        <v>2</v>
      </c>
      <c r="I1791">
        <v>286</v>
      </c>
      <c r="J1791">
        <f t="shared" si="95"/>
        <v>7.4782962898248956E-2</v>
      </c>
      <c r="K1791" s="2">
        <v>0.32100000000000001</v>
      </c>
      <c r="L1791" s="17">
        <v>0.32100000000000001</v>
      </c>
      <c r="M1791" s="2">
        <v>0</v>
      </c>
      <c r="N1791" s="2">
        <f t="shared" si="94"/>
        <v>0</v>
      </c>
    </row>
    <row r="1792" spans="1:15" x14ac:dyDescent="0.25">
      <c r="A1792" s="12" t="s">
        <v>1591</v>
      </c>
      <c r="C1792">
        <v>403</v>
      </c>
      <c r="D1792">
        <v>1</v>
      </c>
      <c r="G1792">
        <v>0.76</v>
      </c>
      <c r="H1792">
        <v>4</v>
      </c>
      <c r="I1792">
        <v>286</v>
      </c>
      <c r="J1792">
        <f t="shared" si="95"/>
        <v>7.2517499343561581E-2</v>
      </c>
      <c r="K1792" s="2">
        <v>0.55206999999999995</v>
      </c>
      <c r="L1792" s="17">
        <v>0.55206999999999995</v>
      </c>
      <c r="M1792" s="2">
        <v>1</v>
      </c>
      <c r="N1792" s="2">
        <v>0</v>
      </c>
    </row>
    <row r="1793" spans="1:15" x14ac:dyDescent="0.25">
      <c r="A1793" s="12" t="s">
        <v>1592</v>
      </c>
      <c r="C1793">
        <v>403</v>
      </c>
      <c r="D1793">
        <v>1</v>
      </c>
      <c r="G1793">
        <v>3.31</v>
      </c>
      <c r="H1793">
        <v>2</v>
      </c>
      <c r="I1793">
        <v>145</v>
      </c>
      <c r="J1793">
        <f t="shared" si="95"/>
        <v>0.17570869355404484</v>
      </c>
      <c r="K1793" s="2">
        <v>3.9289999999999999E-2</v>
      </c>
      <c r="L1793" s="17">
        <v>3.9289999999999999E-2</v>
      </c>
      <c r="M1793" s="2">
        <v>1</v>
      </c>
      <c r="N1793" s="2">
        <v>0</v>
      </c>
    </row>
    <row r="1794" spans="1:15" x14ac:dyDescent="0.25">
      <c r="A1794" s="12" t="s">
        <v>1593</v>
      </c>
      <c r="C1794">
        <v>403</v>
      </c>
      <c r="D1794">
        <v>1</v>
      </c>
      <c r="F1794">
        <v>2.35</v>
      </c>
      <c r="H1794">
        <v>98</v>
      </c>
      <c r="J1794">
        <f t="shared" si="95"/>
        <v>0.23096729419959319</v>
      </c>
      <c r="K1794" s="2">
        <v>2.1000000000000001E-2</v>
      </c>
      <c r="L1794" s="17">
        <v>2.1000000000000001E-2</v>
      </c>
      <c r="M1794" s="2">
        <v>0</v>
      </c>
      <c r="N1794" s="2">
        <f t="shared" si="94"/>
        <v>0</v>
      </c>
    </row>
    <row r="1795" spans="1:15" x14ac:dyDescent="0.25">
      <c r="A1795" s="12" t="s">
        <v>1594</v>
      </c>
      <c r="C1795">
        <v>403</v>
      </c>
      <c r="D1795">
        <v>1</v>
      </c>
      <c r="G1795">
        <v>1.32</v>
      </c>
      <c r="H1795">
        <v>2</v>
      </c>
      <c r="I1795">
        <v>145</v>
      </c>
      <c r="J1795">
        <f t="shared" si="95"/>
        <v>0.11244559485023177</v>
      </c>
      <c r="K1795" s="2">
        <v>0.27100000000000002</v>
      </c>
      <c r="L1795" s="17">
        <v>0.27100000000000002</v>
      </c>
      <c r="M1795" s="2">
        <v>0</v>
      </c>
      <c r="N1795" s="2">
        <f t="shared" si="94"/>
        <v>0</v>
      </c>
    </row>
    <row r="1796" spans="1:15" x14ac:dyDescent="0.25">
      <c r="A1796" s="12" t="s">
        <v>1595</v>
      </c>
      <c r="C1796">
        <v>403</v>
      </c>
      <c r="D1796">
        <v>2</v>
      </c>
      <c r="J1796" t="b">
        <f t="shared" si="95"/>
        <v>0</v>
      </c>
    </row>
    <row r="1797" spans="1:15" x14ac:dyDescent="0.25">
      <c r="A1797" s="12" t="s">
        <v>1596</v>
      </c>
      <c r="C1797">
        <v>403</v>
      </c>
      <c r="D1797">
        <v>2</v>
      </c>
      <c r="E1797">
        <v>0</v>
      </c>
      <c r="J1797" t="b">
        <f t="shared" si="95"/>
        <v>0</v>
      </c>
      <c r="K1797" s="2">
        <v>3.0000000000000001E-3</v>
      </c>
      <c r="L1797" s="17">
        <v>3.0000000000000001E-3</v>
      </c>
      <c r="M1797" s="2">
        <v>0</v>
      </c>
      <c r="N1797" s="2">
        <f t="shared" si="94"/>
        <v>0</v>
      </c>
    </row>
    <row r="1798" spans="1:15" x14ac:dyDescent="0.25">
      <c r="A1798" s="12" t="s">
        <v>1597</v>
      </c>
      <c r="C1798">
        <v>403</v>
      </c>
      <c r="D1798">
        <v>1</v>
      </c>
      <c r="E1798">
        <v>0</v>
      </c>
      <c r="J1798" t="b">
        <f t="shared" si="95"/>
        <v>0</v>
      </c>
      <c r="K1798" s="2">
        <v>1E-3</v>
      </c>
      <c r="L1798" s="17">
        <v>1E-3</v>
      </c>
      <c r="M1798" s="2">
        <v>0</v>
      </c>
      <c r="N1798" s="2">
        <f t="shared" si="94"/>
        <v>0</v>
      </c>
    </row>
    <row r="1799" spans="1:15" x14ac:dyDescent="0.25">
      <c r="A1799" s="12" t="s">
        <v>1598</v>
      </c>
      <c r="C1799">
        <v>403</v>
      </c>
      <c r="D1799">
        <v>1</v>
      </c>
      <c r="E1799">
        <v>0</v>
      </c>
      <c r="J1799" t="b">
        <f t="shared" si="95"/>
        <v>0</v>
      </c>
      <c r="K1799" s="2" t="s">
        <v>2519</v>
      </c>
      <c r="L1799" s="17">
        <v>1E-3</v>
      </c>
      <c r="M1799" s="2">
        <v>0</v>
      </c>
      <c r="N1799" s="2">
        <f t="shared" si="94"/>
        <v>0</v>
      </c>
    </row>
    <row r="1800" spans="1:15" x14ac:dyDescent="0.25">
      <c r="A1800" s="12" t="s">
        <v>1599</v>
      </c>
      <c r="C1800">
        <v>403</v>
      </c>
      <c r="D1800">
        <v>1</v>
      </c>
      <c r="E1800">
        <v>0</v>
      </c>
      <c r="J1800" t="b">
        <f t="shared" si="95"/>
        <v>0</v>
      </c>
      <c r="K1800" s="2">
        <v>2.1000000000000001E-2</v>
      </c>
      <c r="L1800" s="17">
        <v>2.1000000000000001E-2</v>
      </c>
      <c r="M1800" s="2" t="s">
        <v>2558</v>
      </c>
      <c r="N1800" s="2" t="s">
        <v>2558</v>
      </c>
      <c r="O1800" t="s">
        <v>2135</v>
      </c>
    </row>
    <row r="1801" spans="1:15" x14ac:dyDescent="0.25">
      <c r="A1801" s="12" t="s">
        <v>1600</v>
      </c>
      <c r="C1801">
        <v>403</v>
      </c>
      <c r="D1801">
        <v>1</v>
      </c>
      <c r="E1801">
        <v>0</v>
      </c>
      <c r="J1801" t="b">
        <f t="shared" si="95"/>
        <v>0</v>
      </c>
      <c r="K1801" s="2">
        <v>2.5000000000000001E-2</v>
      </c>
      <c r="L1801" s="17">
        <v>2.5000000000000001E-2</v>
      </c>
      <c r="M1801" s="2" t="s">
        <v>2558</v>
      </c>
      <c r="N1801" s="2" t="s">
        <v>2558</v>
      </c>
      <c r="O1801" t="s">
        <v>2135</v>
      </c>
    </row>
    <row r="1802" spans="1:15" x14ac:dyDescent="0.25">
      <c r="A1802" s="12" t="s">
        <v>1601</v>
      </c>
      <c r="C1802">
        <v>403</v>
      </c>
      <c r="D1802">
        <v>1</v>
      </c>
      <c r="E1802">
        <v>0</v>
      </c>
      <c r="J1802" t="b">
        <f t="shared" si="95"/>
        <v>0</v>
      </c>
      <c r="K1802" s="2">
        <v>2E-3</v>
      </c>
      <c r="L1802" s="17">
        <v>2E-3</v>
      </c>
      <c r="M1802" s="2" t="s">
        <v>2558</v>
      </c>
      <c r="N1802" s="2" t="s">
        <v>2558</v>
      </c>
      <c r="O1802" t="s">
        <v>2135</v>
      </c>
    </row>
    <row r="1803" spans="1:15" x14ac:dyDescent="0.25">
      <c r="A1803" s="12" t="s">
        <v>1602</v>
      </c>
      <c r="C1803">
        <v>403</v>
      </c>
      <c r="D1803">
        <v>1</v>
      </c>
      <c r="E1803">
        <v>0</v>
      </c>
      <c r="J1803" t="b">
        <f t="shared" si="95"/>
        <v>0</v>
      </c>
      <c r="K1803" s="2">
        <v>2.5000000000000001E-2</v>
      </c>
      <c r="L1803" s="17">
        <v>2.5000000000000001E-2</v>
      </c>
      <c r="M1803" s="2" t="s">
        <v>2558</v>
      </c>
      <c r="N1803" s="2" t="s">
        <v>2558</v>
      </c>
      <c r="O1803" t="s">
        <v>2135</v>
      </c>
    </row>
    <row r="1804" spans="1:15" x14ac:dyDescent="0.25">
      <c r="A1804" s="12" t="s">
        <v>1603</v>
      </c>
      <c r="C1804">
        <v>403</v>
      </c>
      <c r="D1804">
        <v>1</v>
      </c>
      <c r="E1804">
        <v>0</v>
      </c>
      <c r="J1804" t="b">
        <f t="shared" si="95"/>
        <v>0</v>
      </c>
      <c r="K1804" s="2">
        <v>2E-3</v>
      </c>
      <c r="L1804" s="17">
        <v>2E-3</v>
      </c>
      <c r="M1804" s="2" t="s">
        <v>2558</v>
      </c>
      <c r="N1804" s="2" t="s">
        <v>2558</v>
      </c>
      <c r="O1804" t="s">
        <v>2281</v>
      </c>
    </row>
    <row r="1805" spans="1:15" x14ac:dyDescent="0.25">
      <c r="A1805" s="12" t="s">
        <v>1604</v>
      </c>
      <c r="C1805">
        <v>403</v>
      </c>
      <c r="D1805">
        <v>1</v>
      </c>
      <c r="E1805">
        <v>0</v>
      </c>
      <c r="J1805" t="b">
        <f t="shared" si="95"/>
        <v>0</v>
      </c>
      <c r="K1805" s="2" t="s">
        <v>2519</v>
      </c>
      <c r="L1805" s="17">
        <v>1E-3</v>
      </c>
      <c r="M1805" s="2" t="s">
        <v>2558</v>
      </c>
      <c r="N1805" s="2" t="s">
        <v>2558</v>
      </c>
      <c r="O1805" t="s">
        <v>2135</v>
      </c>
    </row>
    <row r="1806" spans="1:15" x14ac:dyDescent="0.25">
      <c r="A1806" s="12" t="s">
        <v>1605</v>
      </c>
      <c r="C1806">
        <v>404</v>
      </c>
      <c r="D1806">
        <v>1</v>
      </c>
      <c r="G1806">
        <v>50.49</v>
      </c>
      <c r="H1806">
        <v>1</v>
      </c>
      <c r="I1806">
        <v>180</v>
      </c>
      <c r="J1806">
        <f t="shared" si="95"/>
        <v>0.46803317897186347</v>
      </c>
      <c r="K1806" s="2" t="s">
        <v>2517</v>
      </c>
      <c r="L1806" s="17">
        <v>1E-3</v>
      </c>
      <c r="M1806" s="2">
        <v>0</v>
      </c>
      <c r="N1806" s="2">
        <f t="shared" si="94"/>
        <v>0</v>
      </c>
    </row>
    <row r="1807" spans="1:15" x14ac:dyDescent="0.25">
      <c r="A1807" s="12" t="s">
        <v>1606</v>
      </c>
      <c r="C1807">
        <v>404</v>
      </c>
      <c r="D1807">
        <v>1</v>
      </c>
      <c r="G1807">
        <v>4.5599999999999996</v>
      </c>
      <c r="H1807">
        <v>1</v>
      </c>
      <c r="I1807">
        <v>180</v>
      </c>
      <c r="J1807">
        <f t="shared" si="95"/>
        <v>0.1571859161110406</v>
      </c>
      <c r="K1807" s="2">
        <v>3.4000000000000002E-2</v>
      </c>
      <c r="L1807" s="17">
        <v>3.4000000000000002E-2</v>
      </c>
      <c r="M1807" s="2">
        <v>0</v>
      </c>
      <c r="N1807" s="2">
        <f t="shared" si="94"/>
        <v>0</v>
      </c>
    </row>
    <row r="1808" spans="1:15" x14ac:dyDescent="0.25">
      <c r="A1808" s="12" t="s">
        <v>1607</v>
      </c>
      <c r="C1808">
        <v>404</v>
      </c>
      <c r="D1808">
        <v>1</v>
      </c>
      <c r="G1808">
        <v>5.29</v>
      </c>
      <c r="H1808">
        <v>1</v>
      </c>
      <c r="I1808">
        <v>180</v>
      </c>
      <c r="J1808">
        <f t="shared" si="95"/>
        <v>0.16896698136059837</v>
      </c>
      <c r="K1808" s="2">
        <v>2.3E-2</v>
      </c>
      <c r="L1808" s="17">
        <v>2.3E-2</v>
      </c>
      <c r="M1808" s="2">
        <v>0</v>
      </c>
      <c r="N1808" s="2">
        <f t="shared" si="94"/>
        <v>0</v>
      </c>
    </row>
    <row r="1809" spans="1:15" x14ac:dyDescent="0.25">
      <c r="A1809" s="12" t="s">
        <v>1608</v>
      </c>
      <c r="C1809">
        <v>404</v>
      </c>
      <c r="D1809">
        <v>1</v>
      </c>
      <c r="F1809">
        <v>-2.63</v>
      </c>
      <c r="H1809">
        <v>180</v>
      </c>
      <c r="J1809">
        <f t="shared" si="95"/>
        <v>0.19236739488999388</v>
      </c>
      <c r="K1809" s="2">
        <v>8.9999999999999993E-3</v>
      </c>
      <c r="L1809" s="17">
        <v>8.9999999999999993E-3</v>
      </c>
      <c r="M1809" s="2" t="s">
        <v>2558</v>
      </c>
      <c r="N1809" s="2" t="s">
        <v>2558</v>
      </c>
      <c r="O1809" t="s">
        <v>2135</v>
      </c>
    </row>
    <row r="1810" spans="1:15" x14ac:dyDescent="0.25">
      <c r="A1810" s="12" t="s">
        <v>1609</v>
      </c>
      <c r="C1810">
        <v>404</v>
      </c>
      <c r="D1810">
        <v>1</v>
      </c>
      <c r="F1810">
        <v>-0.88</v>
      </c>
      <c r="H1810">
        <v>180</v>
      </c>
      <c r="J1810">
        <f t="shared" ref="J1810:J1825" si="96">IF(NOT(ISBLANK(F1810)),SQRT((F1810^2*1/H1810)/(F1810^2*1/H1810+1)),IF(NOT(ISBLANK(G1810)),SQRT((G1810*H1810/I1810)/(G1810*H1810/I1810+1)*SQRT(1/H1810))))</f>
        <v>6.5450686744933526E-2</v>
      </c>
      <c r="K1810" s="2">
        <v>0.378</v>
      </c>
      <c r="L1810" s="17">
        <v>0.378</v>
      </c>
      <c r="M1810" s="2" t="s">
        <v>2558</v>
      </c>
      <c r="N1810" s="2" t="s">
        <v>2558</v>
      </c>
      <c r="O1810" t="s">
        <v>2135</v>
      </c>
    </row>
    <row r="1811" spans="1:15" x14ac:dyDescent="0.25">
      <c r="A1811" s="12" t="s">
        <v>1610</v>
      </c>
      <c r="C1811">
        <v>404</v>
      </c>
      <c r="D1811">
        <v>1</v>
      </c>
      <c r="F1811">
        <v>0.92</v>
      </c>
      <c r="H1811">
        <v>180</v>
      </c>
      <c r="J1811">
        <f t="shared" si="96"/>
        <v>6.841209551042754E-2</v>
      </c>
      <c r="K1811" s="2">
        <v>0.35599999999999998</v>
      </c>
      <c r="L1811" s="17">
        <v>0.35599999999999998</v>
      </c>
      <c r="M1811" s="2" t="s">
        <v>2558</v>
      </c>
      <c r="N1811" s="2" t="s">
        <v>2558</v>
      </c>
      <c r="O1811" t="s">
        <v>2135</v>
      </c>
    </row>
    <row r="1812" spans="1:15" x14ac:dyDescent="0.25">
      <c r="A1812" s="12" t="s">
        <v>1611</v>
      </c>
      <c r="C1812">
        <v>404</v>
      </c>
      <c r="D1812">
        <v>1</v>
      </c>
      <c r="G1812">
        <v>5.99</v>
      </c>
      <c r="H1812">
        <v>1</v>
      </c>
      <c r="I1812">
        <v>179</v>
      </c>
      <c r="J1812">
        <f t="shared" si="96"/>
        <v>0.17994479335508157</v>
      </c>
      <c r="K1812" s="2">
        <v>1.4999999999999999E-2</v>
      </c>
      <c r="L1812" s="17">
        <v>1.4999999999999999E-2</v>
      </c>
      <c r="M1812" s="2">
        <v>0</v>
      </c>
      <c r="N1812" s="2">
        <f t="shared" ref="N1812:N1832" si="97">IF(M1812=0, 0)</f>
        <v>0</v>
      </c>
    </row>
    <row r="1813" spans="1:15" x14ac:dyDescent="0.25">
      <c r="A1813" s="12" t="s">
        <v>1612</v>
      </c>
      <c r="C1813">
        <v>406</v>
      </c>
      <c r="D1813">
        <v>1</v>
      </c>
      <c r="G1813">
        <v>15.58</v>
      </c>
      <c r="H1813">
        <v>9</v>
      </c>
      <c r="I1813">
        <v>249</v>
      </c>
      <c r="J1813">
        <f t="shared" si="96"/>
        <v>0.34653474068143897</v>
      </c>
      <c r="K1813" s="2" t="s">
        <v>2517</v>
      </c>
      <c r="L1813" s="17">
        <v>1E-3</v>
      </c>
      <c r="M1813" s="2">
        <v>0</v>
      </c>
      <c r="N1813" s="2">
        <f t="shared" si="97"/>
        <v>0</v>
      </c>
    </row>
    <row r="1814" spans="1:15" x14ac:dyDescent="0.25">
      <c r="A1814" s="12" t="s">
        <v>1613</v>
      </c>
      <c r="C1814">
        <v>406</v>
      </c>
      <c r="D1814">
        <v>1</v>
      </c>
      <c r="G1814">
        <v>25.59</v>
      </c>
      <c r="J1814" t="e">
        <f t="shared" si="96"/>
        <v>#DIV/0!</v>
      </c>
      <c r="K1814" s="2" t="s">
        <v>2519</v>
      </c>
      <c r="L1814" s="17">
        <v>1E-3</v>
      </c>
      <c r="M1814" s="2" t="s">
        <v>2558</v>
      </c>
      <c r="N1814" s="2" t="s">
        <v>2558</v>
      </c>
      <c r="O1814" t="s">
        <v>2282</v>
      </c>
    </row>
    <row r="1815" spans="1:15" x14ac:dyDescent="0.25">
      <c r="A1815" s="12" t="s">
        <v>1614</v>
      </c>
      <c r="C1815">
        <v>406</v>
      </c>
      <c r="D1815">
        <v>1</v>
      </c>
      <c r="G1815">
        <v>14.79</v>
      </c>
      <c r="H1815">
        <v>9</v>
      </c>
      <c r="I1815">
        <v>249</v>
      </c>
      <c r="J1815">
        <f t="shared" si="96"/>
        <v>0.34076149316861704</v>
      </c>
      <c r="K1815" s="2" t="s">
        <v>2519</v>
      </c>
      <c r="L1815" s="17">
        <v>1E-3</v>
      </c>
      <c r="M1815" s="2">
        <v>0</v>
      </c>
      <c r="N1815" s="2">
        <f t="shared" si="97"/>
        <v>0</v>
      </c>
    </row>
    <row r="1816" spans="1:15" x14ac:dyDescent="0.25">
      <c r="A1816" s="12" t="s">
        <v>1615</v>
      </c>
      <c r="C1816">
        <v>406</v>
      </c>
      <c r="D1816">
        <v>1</v>
      </c>
      <c r="G1816">
        <v>19.88</v>
      </c>
      <c r="J1816" t="e">
        <f t="shared" si="96"/>
        <v>#DIV/0!</v>
      </c>
      <c r="K1816" s="2" t="s">
        <v>2519</v>
      </c>
      <c r="L1816" s="17">
        <v>1E-3</v>
      </c>
      <c r="M1816" s="2" t="s">
        <v>2558</v>
      </c>
      <c r="N1816" s="2" t="s">
        <v>2558</v>
      </c>
      <c r="O1816" t="s">
        <v>2282</v>
      </c>
    </row>
    <row r="1817" spans="1:15" x14ac:dyDescent="0.25">
      <c r="A1817" s="12" t="s">
        <v>1616</v>
      </c>
      <c r="C1817">
        <v>406</v>
      </c>
      <c r="D1817">
        <v>1</v>
      </c>
      <c r="G1817">
        <v>11.27</v>
      </c>
      <c r="H1817">
        <v>9</v>
      </c>
      <c r="I1817">
        <v>249</v>
      </c>
      <c r="J1817">
        <f t="shared" si="96"/>
        <v>0.31061465778025155</v>
      </c>
      <c r="K1817" s="2" t="s">
        <v>2519</v>
      </c>
      <c r="L1817" s="17">
        <v>1E-3</v>
      </c>
      <c r="M1817" s="2">
        <v>0</v>
      </c>
      <c r="N1817" s="2">
        <f t="shared" si="97"/>
        <v>0</v>
      </c>
    </row>
    <row r="1818" spans="1:15" x14ac:dyDescent="0.25">
      <c r="A1818" s="12" t="s">
        <v>1617</v>
      </c>
      <c r="C1818">
        <v>406</v>
      </c>
      <c r="D1818">
        <v>1</v>
      </c>
      <c r="G1818">
        <v>16.899999999999999</v>
      </c>
      <c r="J1818" t="e">
        <f t="shared" si="96"/>
        <v>#DIV/0!</v>
      </c>
      <c r="K1818" s="2" t="s">
        <v>2517</v>
      </c>
      <c r="L1818" s="17">
        <v>1E-3</v>
      </c>
      <c r="M1818" s="2" t="s">
        <v>2558</v>
      </c>
      <c r="N1818" s="2" t="s">
        <v>2558</v>
      </c>
      <c r="O1818" t="s">
        <v>2282</v>
      </c>
    </row>
    <row r="1819" spans="1:15" x14ac:dyDescent="0.25">
      <c r="A1819" s="12" t="s">
        <v>1618</v>
      </c>
      <c r="C1819">
        <v>408</v>
      </c>
      <c r="D1819">
        <v>1</v>
      </c>
      <c r="F1819">
        <v>-0.83</v>
      </c>
      <c r="H1819">
        <v>114</v>
      </c>
      <c r="J1819">
        <f t="shared" si="96"/>
        <v>7.7502801040265523E-2</v>
      </c>
      <c r="K1819" s="2">
        <v>0.40899999999999997</v>
      </c>
      <c r="L1819" s="17">
        <v>0.40899999999999997</v>
      </c>
      <c r="M1819" s="2">
        <v>0</v>
      </c>
      <c r="N1819" s="2">
        <f t="shared" si="97"/>
        <v>0</v>
      </c>
    </row>
    <row r="1820" spans="1:15" x14ac:dyDescent="0.25">
      <c r="A1820" s="12" t="s">
        <v>1619</v>
      </c>
      <c r="C1820">
        <v>408</v>
      </c>
      <c r="D1820">
        <v>1</v>
      </c>
      <c r="G1820">
        <v>102.83</v>
      </c>
      <c r="H1820">
        <v>1</v>
      </c>
      <c r="I1820">
        <v>111</v>
      </c>
      <c r="J1820">
        <f t="shared" si="96"/>
        <v>0.69346668190289718</v>
      </c>
      <c r="K1820" s="2" t="s">
        <v>2517</v>
      </c>
      <c r="L1820" s="17">
        <v>1E-3</v>
      </c>
      <c r="M1820" s="2">
        <v>0</v>
      </c>
      <c r="N1820" s="2">
        <f t="shared" si="97"/>
        <v>0</v>
      </c>
    </row>
    <row r="1821" spans="1:15" x14ac:dyDescent="0.25">
      <c r="A1821" s="12" t="s">
        <v>1620</v>
      </c>
      <c r="C1821">
        <v>408</v>
      </c>
      <c r="D1821">
        <v>1</v>
      </c>
      <c r="G1821">
        <v>0.73</v>
      </c>
      <c r="H1821">
        <v>1</v>
      </c>
      <c r="I1821">
        <v>111</v>
      </c>
      <c r="J1821">
        <f t="shared" si="96"/>
        <v>8.0830735518914912E-2</v>
      </c>
      <c r="K1821" s="2">
        <v>0.39600000000000002</v>
      </c>
      <c r="L1821" s="17">
        <v>0.39600000000000002</v>
      </c>
      <c r="M1821" s="2">
        <v>0</v>
      </c>
      <c r="N1821" s="2">
        <f t="shared" si="97"/>
        <v>0</v>
      </c>
    </row>
    <row r="1822" spans="1:15" x14ac:dyDescent="0.25">
      <c r="A1822" s="12" t="s">
        <v>1621</v>
      </c>
      <c r="C1822">
        <v>408</v>
      </c>
      <c r="D1822">
        <v>2</v>
      </c>
      <c r="G1822">
        <v>1.1100000000000001</v>
      </c>
      <c r="H1822">
        <v>1</v>
      </c>
      <c r="I1822">
        <v>111</v>
      </c>
      <c r="J1822">
        <f t="shared" si="96"/>
        <v>9.9503719020998915E-2</v>
      </c>
      <c r="K1822" s="2">
        <v>0.29399999999999998</v>
      </c>
      <c r="L1822" s="17">
        <v>0.29399999999999998</v>
      </c>
      <c r="M1822" s="2">
        <v>1</v>
      </c>
      <c r="N1822" s="2">
        <v>0</v>
      </c>
      <c r="O1822" t="s">
        <v>2283</v>
      </c>
    </row>
    <row r="1823" spans="1:15" x14ac:dyDescent="0.25">
      <c r="A1823" s="12" t="s">
        <v>1622</v>
      </c>
      <c r="C1823">
        <v>408</v>
      </c>
      <c r="D1823">
        <v>1</v>
      </c>
      <c r="G1823">
        <v>78.959999999999994</v>
      </c>
      <c r="H1823">
        <v>1</v>
      </c>
      <c r="I1823">
        <v>111</v>
      </c>
      <c r="J1823">
        <f t="shared" si="96"/>
        <v>0.64472199907868832</v>
      </c>
      <c r="K1823" s="2" t="s">
        <v>2517</v>
      </c>
      <c r="L1823" s="17">
        <v>1E-3</v>
      </c>
      <c r="M1823" s="2">
        <v>0</v>
      </c>
      <c r="N1823" s="2">
        <f t="shared" si="97"/>
        <v>0</v>
      </c>
    </row>
    <row r="1824" spans="1:15" x14ac:dyDescent="0.25">
      <c r="A1824" s="12" t="s">
        <v>1623</v>
      </c>
      <c r="C1824">
        <v>408</v>
      </c>
      <c r="D1824">
        <v>1</v>
      </c>
      <c r="G1824">
        <v>3.96</v>
      </c>
      <c r="H1824">
        <v>1</v>
      </c>
      <c r="I1824">
        <v>111</v>
      </c>
      <c r="J1824">
        <f t="shared" si="96"/>
        <v>0.18559839463707123</v>
      </c>
      <c r="K1824" s="2">
        <v>4.9000000000000002E-2</v>
      </c>
      <c r="L1824" s="17">
        <v>4.9000000000000002E-2</v>
      </c>
      <c r="M1824" s="2">
        <v>0</v>
      </c>
      <c r="N1824" s="2">
        <f t="shared" si="97"/>
        <v>0</v>
      </c>
    </row>
    <row r="1825" spans="1:16" x14ac:dyDescent="0.25">
      <c r="A1825" s="12" t="s">
        <v>1624</v>
      </c>
      <c r="C1825">
        <v>408</v>
      </c>
      <c r="D1825">
        <v>1</v>
      </c>
      <c r="G1825">
        <v>0.98</v>
      </c>
      <c r="H1825">
        <v>1</v>
      </c>
      <c r="I1825">
        <v>111</v>
      </c>
      <c r="J1825">
        <f t="shared" si="96"/>
        <v>9.3549787701884671E-2</v>
      </c>
      <c r="K1825" s="2">
        <v>0.32500000000000001</v>
      </c>
      <c r="L1825" s="17">
        <v>0.32500000000000001</v>
      </c>
      <c r="M1825" s="2">
        <v>0</v>
      </c>
      <c r="N1825" s="2">
        <f t="shared" si="97"/>
        <v>0</v>
      </c>
    </row>
    <row r="1826" spans="1:16" x14ac:dyDescent="0.25">
      <c r="A1826" s="12" t="s">
        <v>1625</v>
      </c>
      <c r="C1826">
        <v>408</v>
      </c>
      <c r="D1826">
        <v>1</v>
      </c>
      <c r="N1826" s="2">
        <f t="shared" si="97"/>
        <v>0</v>
      </c>
      <c r="P1826" s="2" t="s">
        <v>2560</v>
      </c>
    </row>
    <row r="1827" spans="1:16" x14ac:dyDescent="0.25">
      <c r="A1827" s="12" t="s">
        <v>1626</v>
      </c>
      <c r="C1827">
        <v>408</v>
      </c>
      <c r="D1827">
        <v>1</v>
      </c>
      <c r="G1827">
        <v>371.88</v>
      </c>
      <c r="H1827">
        <v>1</v>
      </c>
      <c r="I1827">
        <v>111</v>
      </c>
      <c r="J1827">
        <f t="shared" ref="J1827:J1866" si="98">IF(NOT(ISBLANK(F1827)),SQRT((F1827^2*1/H1827)/(F1827^2*1/H1827+1)),IF(NOT(ISBLANK(G1827)),SQRT((G1827*H1827/I1827)/(G1827*H1827/I1827+1)*SQRT(1/H1827))))</f>
        <v>0.87757006822936223</v>
      </c>
      <c r="K1827" s="2" t="s">
        <v>2517</v>
      </c>
      <c r="L1827" s="17">
        <v>1E-3</v>
      </c>
      <c r="M1827" s="2">
        <v>0</v>
      </c>
      <c r="N1827" s="2">
        <f t="shared" si="97"/>
        <v>0</v>
      </c>
    </row>
    <row r="1828" spans="1:16" x14ac:dyDescent="0.25">
      <c r="A1828" s="12" t="s">
        <v>1627</v>
      </c>
      <c r="C1828">
        <v>408</v>
      </c>
      <c r="D1828">
        <v>2</v>
      </c>
      <c r="G1828">
        <v>0.28000000000000003</v>
      </c>
      <c r="H1828">
        <v>1</v>
      </c>
      <c r="I1828">
        <v>111</v>
      </c>
      <c r="J1828">
        <f t="shared" si="98"/>
        <v>5.0161493332751522E-2</v>
      </c>
      <c r="K1828" s="2">
        <v>0.59899999999999998</v>
      </c>
      <c r="L1828" s="17">
        <v>0.59899999999999998</v>
      </c>
      <c r="M1828" s="2">
        <v>0</v>
      </c>
      <c r="N1828" s="2">
        <f t="shared" si="97"/>
        <v>0</v>
      </c>
      <c r="O1828" t="s">
        <v>2284</v>
      </c>
    </row>
    <row r="1829" spans="1:16" x14ac:dyDescent="0.25">
      <c r="A1829" s="12" t="s">
        <v>1628</v>
      </c>
      <c r="C1829">
        <v>408</v>
      </c>
      <c r="D1829">
        <v>1</v>
      </c>
      <c r="G1829">
        <v>129.38999999999999</v>
      </c>
      <c r="H1829">
        <v>1</v>
      </c>
      <c r="I1829">
        <v>111</v>
      </c>
      <c r="J1829">
        <f t="shared" si="98"/>
        <v>0.73365546627304046</v>
      </c>
      <c r="K1829" s="2" t="s">
        <v>2517</v>
      </c>
      <c r="L1829" s="17">
        <v>1E-3</v>
      </c>
      <c r="M1829" s="2">
        <v>0</v>
      </c>
      <c r="N1829" s="2">
        <f t="shared" si="97"/>
        <v>0</v>
      </c>
    </row>
    <row r="1830" spans="1:16" x14ac:dyDescent="0.25">
      <c r="A1830" s="12" t="s">
        <v>1629</v>
      </c>
      <c r="C1830">
        <v>408</v>
      </c>
      <c r="D1830">
        <v>1</v>
      </c>
      <c r="G1830">
        <v>2.95</v>
      </c>
      <c r="H1830">
        <v>1</v>
      </c>
      <c r="I1830">
        <v>111</v>
      </c>
      <c r="J1830">
        <f t="shared" si="98"/>
        <v>0.16089918461135924</v>
      </c>
      <c r="K1830" s="2">
        <v>8.8999999999999996E-2</v>
      </c>
      <c r="L1830" s="17">
        <v>8.8999999999999996E-2</v>
      </c>
      <c r="M1830" s="2">
        <v>0</v>
      </c>
      <c r="N1830" s="2">
        <f t="shared" si="97"/>
        <v>0</v>
      </c>
    </row>
    <row r="1831" spans="1:16" x14ac:dyDescent="0.25">
      <c r="A1831" s="12" t="s">
        <v>1630</v>
      </c>
      <c r="C1831">
        <v>408</v>
      </c>
      <c r="D1831">
        <v>1</v>
      </c>
      <c r="G1831">
        <v>0.65</v>
      </c>
      <c r="H1831">
        <v>1</v>
      </c>
      <c r="I1831">
        <v>111</v>
      </c>
      <c r="J1831">
        <f t="shared" si="98"/>
        <v>7.6300487825793739E-2</v>
      </c>
      <c r="K1831" s="2">
        <v>0.42399999999999999</v>
      </c>
      <c r="L1831" s="17">
        <v>0.42399999999999999</v>
      </c>
      <c r="M1831" s="2">
        <v>0</v>
      </c>
      <c r="N1831" s="2">
        <f t="shared" si="97"/>
        <v>0</v>
      </c>
    </row>
    <row r="1832" spans="1:16" x14ac:dyDescent="0.25">
      <c r="A1832" s="12" t="s">
        <v>1631</v>
      </c>
      <c r="C1832">
        <v>410</v>
      </c>
      <c r="D1832">
        <v>1</v>
      </c>
      <c r="E1832">
        <v>0</v>
      </c>
      <c r="J1832" t="b">
        <f t="shared" si="98"/>
        <v>0</v>
      </c>
      <c r="K1832" s="7" t="s">
        <v>2567</v>
      </c>
      <c r="L1832" s="17">
        <v>9.9999999999999998E-17</v>
      </c>
      <c r="N1832" s="2">
        <f t="shared" si="97"/>
        <v>0</v>
      </c>
      <c r="O1832" t="s">
        <v>2285</v>
      </c>
    </row>
    <row r="1833" spans="1:16" x14ac:dyDescent="0.25">
      <c r="A1833" s="12" t="s">
        <v>1632</v>
      </c>
      <c r="C1833">
        <v>410</v>
      </c>
      <c r="D1833">
        <v>1</v>
      </c>
      <c r="E1833">
        <v>0</v>
      </c>
      <c r="J1833" t="b">
        <f t="shared" si="98"/>
        <v>0</v>
      </c>
      <c r="K1833" s="2">
        <v>0.46</v>
      </c>
      <c r="L1833" s="17">
        <v>0.46</v>
      </c>
    </row>
    <row r="1834" spans="1:16" x14ac:dyDescent="0.25">
      <c r="A1834" s="12" t="s">
        <v>1633</v>
      </c>
      <c r="C1834">
        <v>410</v>
      </c>
      <c r="D1834">
        <v>2</v>
      </c>
      <c r="E1834">
        <v>0</v>
      </c>
      <c r="J1834" t="b">
        <f t="shared" si="98"/>
        <v>0</v>
      </c>
      <c r="K1834" s="2">
        <v>0.88</v>
      </c>
      <c r="L1834" s="17">
        <v>0.88</v>
      </c>
      <c r="O1834" t="s">
        <v>2286</v>
      </c>
    </row>
    <row r="1835" spans="1:16" x14ac:dyDescent="0.25">
      <c r="A1835" s="12" t="s">
        <v>1634</v>
      </c>
      <c r="C1835">
        <v>410</v>
      </c>
      <c r="D1835">
        <v>1</v>
      </c>
      <c r="E1835">
        <v>0</v>
      </c>
      <c r="J1835" t="b">
        <f t="shared" si="98"/>
        <v>0</v>
      </c>
      <c r="K1835" s="2">
        <v>0.15</v>
      </c>
      <c r="L1835" s="17">
        <v>0.15</v>
      </c>
    </row>
    <row r="1836" spans="1:16" x14ac:dyDescent="0.25">
      <c r="A1836" s="12" t="s">
        <v>1635</v>
      </c>
      <c r="C1836">
        <v>410</v>
      </c>
      <c r="D1836">
        <v>1</v>
      </c>
      <c r="E1836">
        <v>0</v>
      </c>
      <c r="J1836" t="b">
        <f t="shared" si="98"/>
        <v>0</v>
      </c>
      <c r="K1836" s="2">
        <v>0.26</v>
      </c>
      <c r="L1836" s="17">
        <v>0.26</v>
      </c>
    </row>
    <row r="1837" spans="1:16" x14ac:dyDescent="0.25">
      <c r="A1837" s="12" t="s">
        <v>1636</v>
      </c>
      <c r="C1837">
        <v>410</v>
      </c>
      <c r="D1837">
        <v>1</v>
      </c>
      <c r="E1837">
        <v>0</v>
      </c>
      <c r="J1837" t="b">
        <f t="shared" si="98"/>
        <v>0</v>
      </c>
      <c r="K1837" s="2">
        <v>0.108</v>
      </c>
      <c r="L1837" s="17">
        <v>0.108</v>
      </c>
    </row>
    <row r="1838" spans="1:16" x14ac:dyDescent="0.25">
      <c r="A1838" s="12" t="s">
        <v>1637</v>
      </c>
      <c r="C1838">
        <v>410</v>
      </c>
      <c r="D1838">
        <v>1</v>
      </c>
      <c r="E1838">
        <v>0</v>
      </c>
      <c r="J1838" t="b">
        <f t="shared" si="98"/>
        <v>0</v>
      </c>
      <c r="K1838" s="2">
        <v>0.107</v>
      </c>
      <c r="L1838" s="17">
        <v>0.107</v>
      </c>
    </row>
    <row r="1839" spans="1:16" x14ac:dyDescent="0.25">
      <c r="A1839" s="12" t="s">
        <v>1638</v>
      </c>
      <c r="C1839">
        <v>410</v>
      </c>
      <c r="D1839">
        <v>1</v>
      </c>
      <c r="E1839">
        <v>0</v>
      </c>
      <c r="J1839" t="b">
        <f t="shared" si="98"/>
        <v>0</v>
      </c>
      <c r="K1839" s="2">
        <v>0.31</v>
      </c>
      <c r="L1839" s="17">
        <v>0.31</v>
      </c>
    </row>
    <row r="1840" spans="1:16" x14ac:dyDescent="0.25">
      <c r="A1840" s="12" t="s">
        <v>1639</v>
      </c>
      <c r="C1840">
        <v>410</v>
      </c>
      <c r="D1840">
        <v>1</v>
      </c>
      <c r="E1840">
        <v>0</v>
      </c>
      <c r="J1840" t="b">
        <f t="shared" si="98"/>
        <v>0</v>
      </c>
      <c r="K1840" s="2">
        <v>1E-3</v>
      </c>
      <c r="L1840" s="17">
        <v>1E-3</v>
      </c>
    </row>
    <row r="1841" spans="1:15" x14ac:dyDescent="0.25">
      <c r="A1841" s="12" t="s">
        <v>1640</v>
      </c>
      <c r="C1841">
        <v>410</v>
      </c>
      <c r="D1841">
        <v>2</v>
      </c>
      <c r="E1841">
        <v>0</v>
      </c>
      <c r="J1841" t="b">
        <f t="shared" si="98"/>
        <v>0</v>
      </c>
      <c r="K1841" s="2">
        <v>0.7</v>
      </c>
      <c r="L1841" s="17">
        <v>0.7</v>
      </c>
      <c r="O1841" t="s">
        <v>2287</v>
      </c>
    </row>
    <row r="1842" spans="1:15" x14ac:dyDescent="0.25">
      <c r="A1842" s="12" t="s">
        <v>1641</v>
      </c>
      <c r="C1842">
        <v>410</v>
      </c>
      <c r="D1842">
        <v>1</v>
      </c>
      <c r="E1842">
        <v>0</v>
      </c>
      <c r="J1842" t="b">
        <f t="shared" si="98"/>
        <v>0</v>
      </c>
      <c r="K1842" s="7">
        <v>1.0000000000000001E-9</v>
      </c>
      <c r="L1842" s="17">
        <v>1.0000000000000001E-9</v>
      </c>
      <c r="O1842" t="s">
        <v>2288</v>
      </c>
    </row>
    <row r="1843" spans="1:15" x14ac:dyDescent="0.25">
      <c r="A1843" s="12" t="s">
        <v>1642</v>
      </c>
      <c r="C1843">
        <v>410</v>
      </c>
      <c r="D1843">
        <v>1</v>
      </c>
      <c r="E1843">
        <v>0</v>
      </c>
      <c r="J1843" t="b">
        <f t="shared" si="98"/>
        <v>0</v>
      </c>
      <c r="K1843" s="7">
        <v>1.0000000000000001E-9</v>
      </c>
      <c r="L1843" s="17">
        <v>1.0000000000000001E-9</v>
      </c>
    </row>
    <row r="1844" spans="1:15" x14ac:dyDescent="0.25">
      <c r="A1844" s="12" t="s">
        <v>1643</v>
      </c>
      <c r="C1844">
        <v>410</v>
      </c>
      <c r="D1844">
        <v>1</v>
      </c>
      <c r="E1844">
        <v>0</v>
      </c>
      <c r="J1844" t="b">
        <f t="shared" si="98"/>
        <v>0</v>
      </c>
      <c r="K1844" s="2">
        <v>3.0000000000000001E-3</v>
      </c>
      <c r="L1844" s="17">
        <v>3.0000000000000001E-3</v>
      </c>
    </row>
    <row r="1845" spans="1:15" x14ac:dyDescent="0.25">
      <c r="A1845" s="12" t="s">
        <v>1644</v>
      </c>
      <c r="C1845">
        <v>410</v>
      </c>
      <c r="D1845">
        <v>1</v>
      </c>
      <c r="E1845">
        <v>0</v>
      </c>
      <c r="J1845" t="b">
        <f t="shared" si="98"/>
        <v>0</v>
      </c>
      <c r="K1845" s="7">
        <v>9.9999999999999995E-8</v>
      </c>
      <c r="L1845" s="17">
        <v>9.9999999999999995E-8</v>
      </c>
    </row>
    <row r="1846" spans="1:15" x14ac:dyDescent="0.25">
      <c r="A1846" s="12" t="s">
        <v>1645</v>
      </c>
      <c r="C1846">
        <v>410</v>
      </c>
      <c r="D1846">
        <v>1</v>
      </c>
      <c r="E1846">
        <v>0</v>
      </c>
      <c r="J1846" t="b">
        <f t="shared" si="98"/>
        <v>0</v>
      </c>
      <c r="K1846" s="2">
        <v>9.9999999999999995E-7</v>
      </c>
      <c r="L1846" s="17">
        <v>9.9999999999999995E-7</v>
      </c>
    </row>
    <row r="1847" spans="1:15" x14ac:dyDescent="0.25">
      <c r="A1847" s="12" t="s">
        <v>1646</v>
      </c>
      <c r="C1847">
        <v>410</v>
      </c>
      <c r="D1847">
        <v>1</v>
      </c>
      <c r="F1847">
        <v>4.58</v>
      </c>
      <c r="H1847">
        <v>27.23</v>
      </c>
      <c r="J1847">
        <f t="shared" si="98"/>
        <v>0.65964933350047927</v>
      </c>
      <c r="K1847" s="2">
        <v>0.105</v>
      </c>
      <c r="L1847" s="17">
        <v>0.105</v>
      </c>
    </row>
    <row r="1848" spans="1:15" x14ac:dyDescent="0.25">
      <c r="A1848" s="12" t="s">
        <v>1647</v>
      </c>
      <c r="C1848">
        <v>410</v>
      </c>
      <c r="D1848">
        <v>1</v>
      </c>
      <c r="E1848">
        <v>0</v>
      </c>
      <c r="J1848" t="b">
        <f t="shared" si="98"/>
        <v>0</v>
      </c>
      <c r="K1848" s="7" t="s">
        <v>2567</v>
      </c>
      <c r="L1848" s="17">
        <v>9.9999999999999998E-17</v>
      </c>
      <c r="O1848" t="s">
        <v>2288</v>
      </c>
    </row>
    <row r="1849" spans="1:15" x14ac:dyDescent="0.25">
      <c r="A1849" s="12" t="s">
        <v>1648</v>
      </c>
      <c r="C1849">
        <v>410</v>
      </c>
      <c r="D1849">
        <v>1</v>
      </c>
      <c r="E1849">
        <v>0</v>
      </c>
      <c r="J1849" t="b">
        <f t="shared" si="98"/>
        <v>0</v>
      </c>
      <c r="K1849" s="7" t="s">
        <v>2567</v>
      </c>
      <c r="L1849" s="17">
        <v>9.9999999999999998E-17</v>
      </c>
      <c r="O1849" t="s">
        <v>2288</v>
      </c>
    </row>
    <row r="1850" spans="1:15" x14ac:dyDescent="0.25">
      <c r="A1850" s="12" t="s">
        <v>1649</v>
      </c>
      <c r="C1850">
        <v>410</v>
      </c>
      <c r="D1850">
        <v>1</v>
      </c>
      <c r="E1850">
        <v>0</v>
      </c>
      <c r="J1850" t="b">
        <f t="shared" si="98"/>
        <v>0</v>
      </c>
      <c r="K1850" s="7" t="s">
        <v>2568</v>
      </c>
      <c r="L1850" s="17">
        <v>1.0000000000000001E-9</v>
      </c>
      <c r="O1850" t="s">
        <v>2288</v>
      </c>
    </row>
    <row r="1851" spans="1:15" x14ac:dyDescent="0.25">
      <c r="A1851" s="12" t="s">
        <v>1650</v>
      </c>
      <c r="C1851">
        <v>410</v>
      </c>
      <c r="D1851">
        <v>2</v>
      </c>
      <c r="E1851">
        <v>0</v>
      </c>
      <c r="J1851" t="b">
        <f t="shared" si="98"/>
        <v>0</v>
      </c>
      <c r="K1851" s="7" t="s">
        <v>2569</v>
      </c>
      <c r="L1851" s="17">
        <v>1E-10</v>
      </c>
      <c r="O1851" t="s">
        <v>2288</v>
      </c>
    </row>
    <row r="1852" spans="1:15" x14ac:dyDescent="0.25">
      <c r="A1852" s="12" t="s">
        <v>1651</v>
      </c>
      <c r="C1852">
        <v>410</v>
      </c>
      <c r="D1852">
        <v>1</v>
      </c>
      <c r="E1852">
        <v>0</v>
      </c>
      <c r="J1852" t="b">
        <f t="shared" si="98"/>
        <v>0</v>
      </c>
      <c r="K1852" s="7" t="s">
        <v>2569</v>
      </c>
      <c r="L1852" s="17">
        <v>1E-10</v>
      </c>
    </row>
    <row r="1853" spans="1:15" x14ac:dyDescent="0.25">
      <c r="A1853" s="12" t="s">
        <v>1652</v>
      </c>
      <c r="C1853">
        <v>410</v>
      </c>
      <c r="D1853">
        <v>1</v>
      </c>
      <c r="E1853">
        <v>0</v>
      </c>
      <c r="J1853" t="b">
        <f t="shared" si="98"/>
        <v>0</v>
      </c>
      <c r="K1853" s="2">
        <v>1E-3</v>
      </c>
      <c r="L1853" s="17">
        <v>1E-3</v>
      </c>
    </row>
    <row r="1854" spans="1:15" x14ac:dyDescent="0.25">
      <c r="A1854" s="12" t="s">
        <v>1653</v>
      </c>
      <c r="C1854">
        <v>410</v>
      </c>
      <c r="D1854">
        <v>1</v>
      </c>
      <c r="E1854">
        <v>0</v>
      </c>
      <c r="J1854" t="b">
        <f t="shared" si="98"/>
        <v>0</v>
      </c>
      <c r="K1854" s="2">
        <v>0.04</v>
      </c>
      <c r="L1854" s="17">
        <v>0.04</v>
      </c>
    </row>
    <row r="1855" spans="1:15" x14ac:dyDescent="0.25">
      <c r="A1855" s="12" t="s">
        <v>1654</v>
      </c>
      <c r="C1855">
        <v>410</v>
      </c>
      <c r="D1855">
        <v>1</v>
      </c>
      <c r="E1855">
        <v>0</v>
      </c>
      <c r="J1855" t="b">
        <f t="shared" si="98"/>
        <v>0</v>
      </c>
      <c r="K1855" s="2">
        <v>3.0000000000000001E-3</v>
      </c>
      <c r="L1855" s="17">
        <v>3.0000000000000001E-3</v>
      </c>
    </row>
    <row r="1856" spans="1:15" x14ac:dyDescent="0.25">
      <c r="A1856" s="12" t="s">
        <v>1655</v>
      </c>
      <c r="C1856">
        <v>410</v>
      </c>
      <c r="D1856">
        <v>1</v>
      </c>
      <c r="E1856">
        <v>0</v>
      </c>
      <c r="J1856" t="b">
        <f t="shared" si="98"/>
        <v>0</v>
      </c>
      <c r="K1856" s="2">
        <v>0.5</v>
      </c>
      <c r="L1856" s="17">
        <v>0.5</v>
      </c>
    </row>
    <row r="1857" spans="1:16" x14ac:dyDescent="0.25">
      <c r="A1857" s="12" t="s">
        <v>1656</v>
      </c>
      <c r="C1857">
        <v>410</v>
      </c>
      <c r="D1857">
        <v>1</v>
      </c>
      <c r="E1857">
        <v>0</v>
      </c>
      <c r="J1857" t="b">
        <f t="shared" si="98"/>
        <v>0</v>
      </c>
      <c r="K1857" s="2">
        <v>2E-3</v>
      </c>
      <c r="L1857" s="17">
        <v>2E-3</v>
      </c>
    </row>
    <row r="1858" spans="1:16" x14ac:dyDescent="0.25">
      <c r="A1858" s="12" t="s">
        <v>17</v>
      </c>
      <c r="C1858">
        <v>410</v>
      </c>
      <c r="D1858">
        <v>0</v>
      </c>
      <c r="J1858" t="b">
        <f t="shared" si="98"/>
        <v>0</v>
      </c>
    </row>
    <row r="1859" spans="1:16" x14ac:dyDescent="0.25">
      <c r="A1859" s="12" t="s">
        <v>1657</v>
      </c>
      <c r="C1859">
        <v>410</v>
      </c>
      <c r="D1859">
        <v>0</v>
      </c>
      <c r="J1859" t="b">
        <f t="shared" si="98"/>
        <v>0</v>
      </c>
    </row>
    <row r="1860" spans="1:16" x14ac:dyDescent="0.25">
      <c r="A1860" s="12" t="s">
        <v>18</v>
      </c>
      <c r="C1860">
        <v>410</v>
      </c>
      <c r="D1860">
        <v>0</v>
      </c>
      <c r="J1860" t="b">
        <f t="shared" si="98"/>
        <v>0</v>
      </c>
    </row>
    <row r="1861" spans="1:16" x14ac:dyDescent="0.25">
      <c r="A1861" s="12" t="s">
        <v>1658</v>
      </c>
      <c r="C1861">
        <v>410</v>
      </c>
      <c r="D1861">
        <v>0</v>
      </c>
      <c r="J1861" t="b">
        <f t="shared" si="98"/>
        <v>0</v>
      </c>
    </row>
    <row r="1862" spans="1:16" x14ac:dyDescent="0.25">
      <c r="A1862" s="12" t="s">
        <v>19</v>
      </c>
      <c r="C1862">
        <v>410</v>
      </c>
      <c r="D1862">
        <v>0</v>
      </c>
      <c r="J1862" t="b">
        <f t="shared" si="98"/>
        <v>0</v>
      </c>
    </row>
    <row r="1863" spans="1:16" x14ac:dyDescent="0.25">
      <c r="A1863" s="12" t="s">
        <v>1659</v>
      </c>
      <c r="C1863">
        <v>410</v>
      </c>
      <c r="D1863">
        <v>0</v>
      </c>
      <c r="J1863" t="b">
        <f t="shared" si="98"/>
        <v>0</v>
      </c>
    </row>
    <row r="1864" spans="1:16" x14ac:dyDescent="0.25">
      <c r="A1864" s="12" t="s">
        <v>20</v>
      </c>
      <c r="C1864">
        <v>410</v>
      </c>
      <c r="D1864">
        <v>0</v>
      </c>
      <c r="J1864" t="b">
        <f t="shared" si="98"/>
        <v>0</v>
      </c>
    </row>
    <row r="1865" spans="1:16" x14ac:dyDescent="0.25">
      <c r="A1865" s="12" t="s">
        <v>21</v>
      </c>
      <c r="C1865">
        <v>410</v>
      </c>
      <c r="D1865">
        <v>0</v>
      </c>
      <c r="J1865" t="b">
        <f t="shared" si="98"/>
        <v>0</v>
      </c>
    </row>
    <row r="1866" spans="1:16" x14ac:dyDescent="0.25">
      <c r="A1866" s="12" t="s">
        <v>1660</v>
      </c>
      <c r="C1866">
        <v>410</v>
      </c>
      <c r="D1866">
        <v>0</v>
      </c>
      <c r="J1866" t="b">
        <f t="shared" si="98"/>
        <v>0</v>
      </c>
    </row>
    <row r="1867" spans="1:16" x14ac:dyDescent="0.25">
      <c r="A1867" s="12" t="s">
        <v>1661</v>
      </c>
      <c r="C1867">
        <v>410</v>
      </c>
      <c r="D1867">
        <v>1</v>
      </c>
      <c r="J1867">
        <v>0.37</v>
      </c>
      <c r="K1867" s="2">
        <v>0.04</v>
      </c>
      <c r="L1867" s="17">
        <v>0.04</v>
      </c>
      <c r="P1867" s="2" t="s">
        <v>2560</v>
      </c>
    </row>
    <row r="1868" spans="1:16" x14ac:dyDescent="0.25">
      <c r="A1868" s="12" t="s">
        <v>1662</v>
      </c>
      <c r="C1868">
        <v>410</v>
      </c>
      <c r="D1868">
        <v>1</v>
      </c>
      <c r="J1868">
        <v>0.31</v>
      </c>
      <c r="K1868" s="2">
        <v>0.1</v>
      </c>
      <c r="L1868" s="17">
        <v>0.1</v>
      </c>
      <c r="P1868" s="2" t="s">
        <v>2560</v>
      </c>
    </row>
    <row r="1869" spans="1:16" x14ac:dyDescent="0.25">
      <c r="A1869" s="12" t="s">
        <v>1663</v>
      </c>
      <c r="C1869">
        <v>410</v>
      </c>
      <c r="D1869">
        <v>1</v>
      </c>
      <c r="J1869">
        <v>0.41</v>
      </c>
      <c r="K1869" s="2">
        <v>0.02</v>
      </c>
      <c r="L1869" s="17">
        <v>0.02</v>
      </c>
      <c r="P1869" s="2" t="s">
        <v>2560</v>
      </c>
    </row>
    <row r="1870" spans="1:16" x14ac:dyDescent="0.25">
      <c r="A1870" s="12" t="s">
        <v>1664</v>
      </c>
      <c r="C1870">
        <v>410</v>
      </c>
      <c r="D1870">
        <v>1</v>
      </c>
      <c r="J1870">
        <v>0.04</v>
      </c>
      <c r="K1870" s="2">
        <v>0.85</v>
      </c>
      <c r="L1870" s="17">
        <v>0.85</v>
      </c>
      <c r="P1870" s="2" t="s">
        <v>2560</v>
      </c>
    </row>
    <row r="1871" spans="1:16" x14ac:dyDescent="0.25">
      <c r="A1871" s="12" t="s">
        <v>1665</v>
      </c>
      <c r="C1871">
        <v>410</v>
      </c>
      <c r="D1871">
        <v>1</v>
      </c>
      <c r="J1871">
        <v>0.56000000000000005</v>
      </c>
      <c r="K1871" s="2">
        <v>6.0000000000000001E-3</v>
      </c>
      <c r="L1871" s="17">
        <v>6.0000000000000001E-3</v>
      </c>
      <c r="P1871" s="2" t="s">
        <v>2560</v>
      </c>
    </row>
    <row r="1872" spans="1:16" x14ac:dyDescent="0.25">
      <c r="A1872" s="12" t="s">
        <v>1666</v>
      </c>
      <c r="C1872">
        <v>410</v>
      </c>
      <c r="D1872">
        <v>1</v>
      </c>
      <c r="J1872">
        <v>0.4</v>
      </c>
      <c r="K1872" s="2">
        <v>0.04</v>
      </c>
      <c r="L1872" s="17">
        <v>0.04</v>
      </c>
      <c r="P1872" s="2" t="s">
        <v>2560</v>
      </c>
    </row>
    <row r="1873" spans="1:16" x14ac:dyDescent="0.25">
      <c r="A1873" s="12" t="s">
        <v>1667</v>
      </c>
      <c r="C1873">
        <v>410</v>
      </c>
      <c r="D1873">
        <v>1</v>
      </c>
      <c r="J1873">
        <v>0.43</v>
      </c>
      <c r="K1873" s="2">
        <v>7.0000000000000007E-2</v>
      </c>
      <c r="L1873" s="17">
        <v>7.0000000000000007E-2</v>
      </c>
      <c r="P1873" s="2" t="s">
        <v>2560</v>
      </c>
    </row>
    <row r="1874" spans="1:16" x14ac:dyDescent="0.25">
      <c r="A1874" s="12" t="s">
        <v>1668</v>
      </c>
      <c r="C1874">
        <v>410</v>
      </c>
      <c r="D1874">
        <v>1</v>
      </c>
      <c r="J1874">
        <v>0.43</v>
      </c>
      <c r="K1874" s="2">
        <v>0.3</v>
      </c>
      <c r="L1874" s="17">
        <v>0.3</v>
      </c>
      <c r="P1874" s="2" t="s">
        <v>2560</v>
      </c>
    </row>
    <row r="1875" spans="1:16" x14ac:dyDescent="0.25">
      <c r="A1875" s="12" t="s">
        <v>1669</v>
      </c>
      <c r="C1875">
        <v>410</v>
      </c>
      <c r="D1875">
        <v>1</v>
      </c>
      <c r="J1875">
        <v>0.03</v>
      </c>
      <c r="K1875" s="2">
        <v>0.88</v>
      </c>
      <c r="L1875" s="17">
        <v>0.88</v>
      </c>
      <c r="P1875" s="2" t="s">
        <v>2560</v>
      </c>
    </row>
    <row r="1876" spans="1:16" x14ac:dyDescent="0.25">
      <c r="A1876" s="12" t="s">
        <v>1670</v>
      </c>
      <c r="C1876">
        <v>410</v>
      </c>
      <c r="D1876">
        <v>1</v>
      </c>
      <c r="J1876">
        <v>0.32</v>
      </c>
      <c r="K1876" s="2">
        <v>0.08</v>
      </c>
      <c r="L1876" s="17">
        <v>0.08</v>
      </c>
      <c r="P1876" s="2" t="s">
        <v>2560</v>
      </c>
    </row>
    <row r="1877" spans="1:16" x14ac:dyDescent="0.25">
      <c r="A1877" s="12" t="s">
        <v>1671</v>
      </c>
      <c r="C1877">
        <v>410</v>
      </c>
      <c r="D1877">
        <v>1</v>
      </c>
      <c r="J1877">
        <v>0.3</v>
      </c>
      <c r="K1877" s="2">
        <v>0.13</v>
      </c>
      <c r="L1877" s="17">
        <v>0.13</v>
      </c>
      <c r="P1877" s="2" t="s">
        <v>2560</v>
      </c>
    </row>
    <row r="1878" spans="1:16" x14ac:dyDescent="0.25">
      <c r="A1878" s="12" t="s">
        <v>1672</v>
      </c>
      <c r="C1878">
        <v>410</v>
      </c>
      <c r="D1878">
        <v>1</v>
      </c>
      <c r="J1878">
        <v>0.49</v>
      </c>
      <c r="K1878" s="2">
        <v>0.01</v>
      </c>
      <c r="L1878" s="17">
        <v>0.01</v>
      </c>
      <c r="P1878" s="2" t="s">
        <v>2560</v>
      </c>
    </row>
    <row r="1879" spans="1:16" x14ac:dyDescent="0.25">
      <c r="A1879" s="12" t="s">
        <v>1673</v>
      </c>
      <c r="C1879">
        <v>410</v>
      </c>
      <c r="D1879">
        <v>1</v>
      </c>
      <c r="J1879">
        <v>0.04</v>
      </c>
      <c r="K1879" s="2">
        <v>0.87</v>
      </c>
      <c r="L1879" s="17">
        <v>0.87</v>
      </c>
      <c r="P1879" s="2" t="s">
        <v>2560</v>
      </c>
    </row>
    <row r="1880" spans="1:16" x14ac:dyDescent="0.25">
      <c r="A1880" s="12" t="s">
        <v>1674</v>
      </c>
      <c r="C1880">
        <v>410</v>
      </c>
      <c r="D1880">
        <v>1</v>
      </c>
      <c r="J1880">
        <v>0.21</v>
      </c>
      <c r="K1880" s="2">
        <v>0.62</v>
      </c>
      <c r="L1880" s="17">
        <v>0.62</v>
      </c>
      <c r="P1880" s="2" t="s">
        <v>2560</v>
      </c>
    </row>
    <row r="1881" spans="1:16" x14ac:dyDescent="0.25">
      <c r="A1881" s="12" t="s">
        <v>1675</v>
      </c>
      <c r="C1881">
        <v>411</v>
      </c>
      <c r="D1881">
        <v>1</v>
      </c>
      <c r="J1881">
        <v>0.499</v>
      </c>
      <c r="K1881" s="2" t="s">
        <v>2139</v>
      </c>
      <c r="L1881" s="17">
        <v>1E-3</v>
      </c>
      <c r="P1881" s="2" t="s">
        <v>2560</v>
      </c>
    </row>
    <row r="1882" spans="1:16" x14ac:dyDescent="0.25">
      <c r="A1882" s="12" t="s">
        <v>1676</v>
      </c>
      <c r="C1882">
        <v>411</v>
      </c>
      <c r="D1882">
        <v>1</v>
      </c>
      <c r="J1882">
        <v>0.377</v>
      </c>
      <c r="K1882" s="2" t="s">
        <v>2141</v>
      </c>
      <c r="L1882" s="17">
        <v>1E-3</v>
      </c>
      <c r="P1882" s="2" t="s">
        <v>2560</v>
      </c>
    </row>
    <row r="1883" spans="1:16" x14ac:dyDescent="0.25">
      <c r="A1883" s="12" t="s">
        <v>1677</v>
      </c>
      <c r="C1883">
        <v>411</v>
      </c>
      <c r="D1883">
        <v>1</v>
      </c>
      <c r="J1883">
        <v>0.29599999999999999</v>
      </c>
      <c r="K1883" s="2" t="s">
        <v>2141</v>
      </c>
      <c r="L1883" s="17">
        <v>1E-3</v>
      </c>
      <c r="P1883" s="2" t="s">
        <v>2560</v>
      </c>
    </row>
    <row r="1884" spans="1:16" x14ac:dyDescent="0.25">
      <c r="A1884" s="12" t="s">
        <v>1678</v>
      </c>
      <c r="C1884">
        <v>411</v>
      </c>
      <c r="D1884">
        <v>1</v>
      </c>
      <c r="J1884">
        <v>0.17899999999999999</v>
      </c>
      <c r="K1884" s="2" t="s">
        <v>2528</v>
      </c>
      <c r="L1884" s="17">
        <v>4.9000000000000002E-2</v>
      </c>
      <c r="P1884" s="2" t="s">
        <v>2560</v>
      </c>
    </row>
    <row r="1885" spans="1:16" x14ac:dyDescent="0.25">
      <c r="A1885" s="12" t="s">
        <v>1679</v>
      </c>
      <c r="C1885">
        <v>411</v>
      </c>
      <c r="D1885">
        <v>1</v>
      </c>
      <c r="J1885">
        <v>0.21</v>
      </c>
      <c r="K1885" s="2" t="s">
        <v>2527</v>
      </c>
      <c r="L1885" s="17">
        <v>4.9000000000000002E-2</v>
      </c>
      <c r="P1885" s="2" t="s">
        <v>2560</v>
      </c>
    </row>
    <row r="1886" spans="1:16" x14ac:dyDescent="0.25">
      <c r="A1886" s="12" t="s">
        <v>1680</v>
      </c>
      <c r="C1886">
        <v>411</v>
      </c>
      <c r="D1886">
        <v>1</v>
      </c>
      <c r="J1886">
        <v>0.18099999999999999</v>
      </c>
      <c r="K1886" s="2" t="s">
        <v>2527</v>
      </c>
      <c r="L1886" s="17">
        <v>4.9000000000000002E-2</v>
      </c>
      <c r="P1886" s="2" t="s">
        <v>2560</v>
      </c>
    </row>
    <row r="1887" spans="1:16" x14ac:dyDescent="0.25">
      <c r="A1887" s="12" t="s">
        <v>1681</v>
      </c>
      <c r="C1887">
        <v>411</v>
      </c>
      <c r="D1887">
        <v>1</v>
      </c>
      <c r="J1887">
        <v>-0.17799999999999999</v>
      </c>
      <c r="K1887" s="2" t="s">
        <v>2527</v>
      </c>
      <c r="L1887" s="17">
        <v>4.9000000000000002E-2</v>
      </c>
      <c r="P1887" s="2" t="s">
        <v>2560</v>
      </c>
    </row>
    <row r="1888" spans="1:16" x14ac:dyDescent="0.25">
      <c r="A1888" s="12" t="s">
        <v>1682</v>
      </c>
      <c r="C1888">
        <v>411</v>
      </c>
      <c r="D1888">
        <v>1</v>
      </c>
      <c r="F1888">
        <v>12.153</v>
      </c>
      <c r="H1888">
        <v>125</v>
      </c>
      <c r="J1888">
        <f t="shared" ref="J1888:J1911" si="99">IF(NOT(ISBLANK(F1888)),SQRT((F1888^2*1/H1888)/(F1888^2*1/H1888+1)),IF(NOT(ISBLANK(G1888)),SQRT((G1888*H1888/I1888)/(G1888*H1888/I1888+1)*SQRT(1/H1888))))</f>
        <v>0.73594368782247754</v>
      </c>
      <c r="K1888" s="2" t="s">
        <v>2139</v>
      </c>
      <c r="L1888" s="17">
        <v>1E-3</v>
      </c>
      <c r="M1888" s="2" t="s">
        <v>2558</v>
      </c>
      <c r="N1888" s="2" t="s">
        <v>2558</v>
      </c>
      <c r="O1888" t="s">
        <v>2289</v>
      </c>
    </row>
    <row r="1889" spans="1:15" x14ac:dyDescent="0.25">
      <c r="A1889" s="12" t="s">
        <v>1683</v>
      </c>
      <c r="C1889">
        <v>411</v>
      </c>
      <c r="D1889">
        <v>1</v>
      </c>
      <c r="F1889">
        <v>3.1930000000000001</v>
      </c>
      <c r="H1889">
        <v>125</v>
      </c>
      <c r="J1889">
        <f t="shared" si="99"/>
        <v>0.27461117319370126</v>
      </c>
      <c r="K1889" s="2" t="s">
        <v>2554</v>
      </c>
      <c r="L1889" s="17">
        <v>2E-3</v>
      </c>
      <c r="M1889" s="2" t="s">
        <v>2558</v>
      </c>
      <c r="N1889" s="2" t="s">
        <v>2558</v>
      </c>
    </row>
    <row r="1890" spans="1:15" x14ac:dyDescent="0.25">
      <c r="A1890" s="12" t="s">
        <v>1684</v>
      </c>
      <c r="C1890">
        <v>411</v>
      </c>
      <c r="D1890">
        <v>1</v>
      </c>
      <c r="G1890">
        <v>5.694</v>
      </c>
      <c r="J1890" t="e">
        <f t="shared" si="99"/>
        <v>#DIV/0!</v>
      </c>
      <c r="K1890" s="2" t="s">
        <v>2139</v>
      </c>
      <c r="L1890" s="17">
        <v>1E-3</v>
      </c>
      <c r="M1890" s="2" t="s">
        <v>2558</v>
      </c>
      <c r="N1890" s="2" t="s">
        <v>2558</v>
      </c>
      <c r="O1890" t="s">
        <v>2146</v>
      </c>
    </row>
    <row r="1891" spans="1:15" x14ac:dyDescent="0.25">
      <c r="A1891" s="12" t="s">
        <v>1685</v>
      </c>
      <c r="C1891">
        <v>411</v>
      </c>
      <c r="D1891">
        <v>1</v>
      </c>
      <c r="E1891">
        <v>0</v>
      </c>
      <c r="J1891" t="b">
        <f t="shared" si="99"/>
        <v>0</v>
      </c>
      <c r="K1891" s="2" t="s">
        <v>2139</v>
      </c>
      <c r="L1891" s="17">
        <v>1E-3</v>
      </c>
    </row>
    <row r="1892" spans="1:15" x14ac:dyDescent="0.25">
      <c r="A1892" s="12" t="s">
        <v>1686</v>
      </c>
      <c r="C1892">
        <v>411</v>
      </c>
      <c r="D1892">
        <v>1</v>
      </c>
      <c r="E1892">
        <v>0</v>
      </c>
      <c r="J1892" t="b">
        <f t="shared" si="99"/>
        <v>0</v>
      </c>
      <c r="K1892" s="2" t="s">
        <v>2527</v>
      </c>
      <c r="L1892" s="17">
        <v>4.9000000000000002E-2</v>
      </c>
    </row>
    <row r="1893" spans="1:15" x14ac:dyDescent="0.25">
      <c r="A1893" s="12" t="s">
        <v>1687</v>
      </c>
      <c r="C1893">
        <v>411</v>
      </c>
      <c r="D1893">
        <v>1</v>
      </c>
      <c r="E1893">
        <v>0</v>
      </c>
      <c r="J1893" t="b">
        <f t="shared" si="99"/>
        <v>0</v>
      </c>
      <c r="K1893" s="2" t="s">
        <v>2549</v>
      </c>
      <c r="L1893" s="17">
        <v>0.05</v>
      </c>
    </row>
    <row r="1894" spans="1:15" x14ac:dyDescent="0.25">
      <c r="A1894" s="12" t="s">
        <v>1688</v>
      </c>
      <c r="C1894">
        <v>412</v>
      </c>
      <c r="D1894">
        <v>1</v>
      </c>
      <c r="G1894">
        <v>0.65800000000000003</v>
      </c>
      <c r="H1894">
        <v>1</v>
      </c>
      <c r="I1894">
        <v>35</v>
      </c>
      <c r="J1894">
        <f t="shared" si="99"/>
        <v>0.13584212180808403</v>
      </c>
      <c r="K1894" s="2">
        <v>0.42299999999999999</v>
      </c>
      <c r="L1894" s="17">
        <v>0.42299999999999999</v>
      </c>
      <c r="M1894" s="2">
        <v>0</v>
      </c>
      <c r="N1894" s="2">
        <f t="shared" ref="N1894:N1932" si="100">IF(M1894=0, 0)</f>
        <v>0</v>
      </c>
    </row>
    <row r="1895" spans="1:15" x14ac:dyDescent="0.25">
      <c r="A1895" s="12" t="s">
        <v>1689</v>
      </c>
      <c r="C1895">
        <v>412</v>
      </c>
      <c r="D1895">
        <v>1</v>
      </c>
      <c r="G1895">
        <v>0.05</v>
      </c>
      <c r="H1895">
        <v>1</v>
      </c>
      <c r="I1895">
        <v>35</v>
      </c>
      <c r="J1895">
        <f t="shared" si="99"/>
        <v>3.7769478730024897E-2</v>
      </c>
      <c r="K1895" s="2">
        <v>0.82499999999999996</v>
      </c>
      <c r="L1895" s="17">
        <v>0.82499999999999996</v>
      </c>
      <c r="M1895" s="2">
        <v>0</v>
      </c>
      <c r="N1895" s="2">
        <f t="shared" si="100"/>
        <v>0</v>
      </c>
    </row>
    <row r="1896" spans="1:15" x14ac:dyDescent="0.25">
      <c r="A1896" s="12" t="s">
        <v>1690</v>
      </c>
      <c r="C1896">
        <v>412</v>
      </c>
      <c r="D1896">
        <v>1</v>
      </c>
      <c r="G1896">
        <v>0.182</v>
      </c>
      <c r="H1896">
        <v>1</v>
      </c>
      <c r="I1896">
        <v>35</v>
      </c>
      <c r="J1896">
        <f t="shared" si="99"/>
        <v>7.1924264894545648E-2</v>
      </c>
      <c r="K1896" s="2">
        <v>0.67200000000000004</v>
      </c>
      <c r="L1896" s="17">
        <v>0.67200000000000004</v>
      </c>
      <c r="M1896" s="2">
        <v>0</v>
      </c>
      <c r="N1896" s="2">
        <f t="shared" si="100"/>
        <v>0</v>
      </c>
    </row>
    <row r="1897" spans="1:15" x14ac:dyDescent="0.25">
      <c r="A1897" s="12" t="s">
        <v>1691</v>
      </c>
      <c r="C1897">
        <v>412</v>
      </c>
      <c r="D1897">
        <v>1</v>
      </c>
      <c r="G1897">
        <v>0.41399999999999998</v>
      </c>
      <c r="H1897">
        <v>1</v>
      </c>
      <c r="I1897">
        <v>35</v>
      </c>
      <c r="J1897">
        <f t="shared" si="99"/>
        <v>0.10812165358948765</v>
      </c>
      <c r="K1897" s="2">
        <v>0.52400000000000002</v>
      </c>
      <c r="L1897" s="17">
        <v>0.52400000000000002</v>
      </c>
      <c r="M1897" s="2">
        <v>0</v>
      </c>
      <c r="N1897" s="2">
        <f t="shared" si="100"/>
        <v>0</v>
      </c>
    </row>
    <row r="1898" spans="1:15" x14ac:dyDescent="0.25">
      <c r="A1898" s="12" t="s">
        <v>1692</v>
      </c>
      <c r="C1898">
        <v>412</v>
      </c>
      <c r="D1898">
        <v>1</v>
      </c>
      <c r="G1898">
        <v>2.9000000000000001E-2</v>
      </c>
      <c r="H1898">
        <v>1</v>
      </c>
      <c r="I1898">
        <v>35</v>
      </c>
      <c r="J1898">
        <f t="shared" si="99"/>
        <v>2.8772998910921672E-2</v>
      </c>
      <c r="K1898" s="2">
        <v>0.86499999999999999</v>
      </c>
      <c r="L1898" s="17">
        <v>0.86499999999999999</v>
      </c>
      <c r="M1898" s="2">
        <v>0</v>
      </c>
      <c r="N1898" s="2">
        <f t="shared" si="100"/>
        <v>0</v>
      </c>
    </row>
    <row r="1899" spans="1:15" x14ac:dyDescent="0.25">
      <c r="A1899" s="12" t="s">
        <v>1693</v>
      </c>
      <c r="C1899">
        <v>412</v>
      </c>
      <c r="D1899">
        <v>1</v>
      </c>
      <c r="G1899">
        <v>0.18099999999999999</v>
      </c>
      <c r="H1899">
        <v>1</v>
      </c>
      <c r="I1899">
        <v>35</v>
      </c>
      <c r="J1899">
        <f t="shared" si="99"/>
        <v>7.1727417975359309E-2</v>
      </c>
      <c r="K1899" s="2">
        <v>0.67300000000000004</v>
      </c>
      <c r="L1899" s="17">
        <v>0.67300000000000004</v>
      </c>
      <c r="M1899" s="2">
        <v>0</v>
      </c>
      <c r="N1899" s="2">
        <f t="shared" si="100"/>
        <v>0</v>
      </c>
    </row>
    <row r="1900" spans="1:15" x14ac:dyDescent="0.25">
      <c r="A1900" s="12" t="s">
        <v>1694</v>
      </c>
      <c r="C1900">
        <v>412</v>
      </c>
      <c r="D1900">
        <v>1</v>
      </c>
      <c r="G1900">
        <v>0.56899999999999995</v>
      </c>
      <c r="H1900">
        <v>1</v>
      </c>
      <c r="I1900">
        <v>35</v>
      </c>
      <c r="J1900">
        <f t="shared" si="99"/>
        <v>0.12647954817122636</v>
      </c>
      <c r="K1900" s="2">
        <v>0.45600000000000002</v>
      </c>
      <c r="L1900" s="17">
        <v>0.45600000000000002</v>
      </c>
      <c r="M1900" s="2">
        <v>0</v>
      </c>
      <c r="N1900" s="2">
        <f t="shared" si="100"/>
        <v>0</v>
      </c>
    </row>
    <row r="1901" spans="1:15" x14ac:dyDescent="0.25">
      <c r="A1901" s="12" t="s">
        <v>1695</v>
      </c>
      <c r="C1901">
        <v>412</v>
      </c>
      <c r="D1901">
        <v>1</v>
      </c>
      <c r="G1901">
        <v>1.23</v>
      </c>
      <c r="H1901">
        <v>1</v>
      </c>
      <c r="I1901">
        <v>35</v>
      </c>
      <c r="J1901">
        <f t="shared" si="99"/>
        <v>0.18425462107583671</v>
      </c>
      <c r="K1901" s="2">
        <v>0.27400000000000002</v>
      </c>
      <c r="L1901" s="17">
        <v>0.27400000000000002</v>
      </c>
      <c r="M1901" s="2">
        <v>0</v>
      </c>
      <c r="N1901" s="2">
        <f t="shared" si="100"/>
        <v>0</v>
      </c>
    </row>
    <row r="1902" spans="1:15" x14ac:dyDescent="0.25">
      <c r="A1902" s="12" t="s">
        <v>1696</v>
      </c>
      <c r="C1902">
        <v>412</v>
      </c>
      <c r="D1902">
        <v>1</v>
      </c>
      <c r="G1902">
        <v>1E-3</v>
      </c>
      <c r="H1902">
        <v>1</v>
      </c>
      <c r="I1902">
        <v>35</v>
      </c>
      <c r="J1902">
        <f t="shared" si="99"/>
        <v>5.3451484795299098E-3</v>
      </c>
      <c r="K1902" s="2">
        <v>0.97494999999999998</v>
      </c>
      <c r="L1902" s="17">
        <v>0.97494999999999998</v>
      </c>
      <c r="M1902" s="2">
        <v>1</v>
      </c>
      <c r="N1902" s="2">
        <v>0</v>
      </c>
    </row>
    <row r="1903" spans="1:15" x14ac:dyDescent="0.25">
      <c r="A1903" s="12" t="s">
        <v>1697</v>
      </c>
      <c r="C1903">
        <v>415</v>
      </c>
      <c r="D1903">
        <v>1</v>
      </c>
      <c r="E1903">
        <v>0</v>
      </c>
      <c r="J1903" t="b">
        <f t="shared" si="99"/>
        <v>0</v>
      </c>
      <c r="K1903" s="2">
        <v>0.65800000000000003</v>
      </c>
      <c r="L1903" s="17">
        <v>0.65800000000000003</v>
      </c>
    </row>
    <row r="1904" spans="1:15" x14ac:dyDescent="0.25">
      <c r="A1904" s="12" t="s">
        <v>1698</v>
      </c>
      <c r="C1904">
        <v>415</v>
      </c>
      <c r="D1904">
        <v>2</v>
      </c>
      <c r="E1904">
        <v>0</v>
      </c>
      <c r="J1904" t="b">
        <f t="shared" si="99"/>
        <v>0</v>
      </c>
      <c r="K1904" s="2">
        <v>8.4000000000000005E-2</v>
      </c>
      <c r="L1904" s="17">
        <v>8.4000000000000005E-2</v>
      </c>
      <c r="O1904" t="s">
        <v>2290</v>
      </c>
    </row>
    <row r="1905" spans="1:16" x14ac:dyDescent="0.25">
      <c r="A1905" s="12" t="s">
        <v>1699</v>
      </c>
      <c r="C1905">
        <v>415</v>
      </c>
      <c r="D1905">
        <v>1</v>
      </c>
      <c r="E1905">
        <v>0</v>
      </c>
      <c r="J1905" t="b">
        <f t="shared" si="99"/>
        <v>0</v>
      </c>
      <c r="K1905" s="2">
        <v>1.2999999999999999E-2</v>
      </c>
      <c r="L1905" s="17">
        <v>1.2999999999999999E-2</v>
      </c>
    </row>
    <row r="1906" spans="1:16" x14ac:dyDescent="0.25">
      <c r="A1906" s="12" t="s">
        <v>1700</v>
      </c>
      <c r="C1906">
        <v>415</v>
      </c>
      <c r="D1906">
        <v>1</v>
      </c>
      <c r="E1906">
        <v>0</v>
      </c>
      <c r="J1906" t="b">
        <f t="shared" si="99"/>
        <v>0</v>
      </c>
      <c r="K1906" s="2">
        <v>1.9E-2</v>
      </c>
      <c r="L1906" s="17">
        <v>1.9E-2</v>
      </c>
    </row>
    <row r="1907" spans="1:16" x14ac:dyDescent="0.25">
      <c r="A1907" s="12" t="s">
        <v>1701</v>
      </c>
      <c r="C1907">
        <v>415</v>
      </c>
      <c r="D1907">
        <v>1</v>
      </c>
      <c r="E1907">
        <v>0</v>
      </c>
      <c r="J1907" t="b">
        <f t="shared" si="99"/>
        <v>0</v>
      </c>
      <c r="K1907" s="2">
        <v>0.219</v>
      </c>
      <c r="L1907" s="17">
        <v>0.219</v>
      </c>
    </row>
    <row r="1908" spans="1:16" x14ac:dyDescent="0.25">
      <c r="A1908" s="12" t="s">
        <v>1702</v>
      </c>
      <c r="C1908">
        <v>415</v>
      </c>
      <c r="D1908">
        <v>2</v>
      </c>
      <c r="G1908">
        <v>1.55</v>
      </c>
      <c r="H1908">
        <v>2</v>
      </c>
      <c r="I1908">
        <v>84</v>
      </c>
      <c r="J1908">
        <f t="shared" si="99"/>
        <v>0.15864057323825695</v>
      </c>
      <c r="K1908" s="2">
        <v>0.21826000000000001</v>
      </c>
      <c r="L1908" s="17">
        <v>0.21826000000000001</v>
      </c>
      <c r="M1908" s="2">
        <v>1</v>
      </c>
      <c r="N1908" s="2">
        <v>0</v>
      </c>
    </row>
    <row r="1909" spans="1:16" x14ac:dyDescent="0.25">
      <c r="A1909" s="12" t="s">
        <v>1703</v>
      </c>
      <c r="C1909">
        <v>415</v>
      </c>
      <c r="D1909">
        <v>1</v>
      </c>
      <c r="E1909">
        <v>0</v>
      </c>
      <c r="J1909" t="b">
        <f t="shared" si="99"/>
        <v>0</v>
      </c>
      <c r="K1909" s="2">
        <v>0.107</v>
      </c>
      <c r="L1909" s="17">
        <v>0.107</v>
      </c>
      <c r="N1909" s="2">
        <f t="shared" si="100"/>
        <v>0</v>
      </c>
    </row>
    <row r="1910" spans="1:16" x14ac:dyDescent="0.25">
      <c r="A1910" s="12" t="s">
        <v>1704</v>
      </c>
      <c r="C1910">
        <v>415</v>
      </c>
      <c r="D1910">
        <v>1</v>
      </c>
      <c r="E1910">
        <v>0</v>
      </c>
      <c r="J1910" t="b">
        <f t="shared" si="99"/>
        <v>0</v>
      </c>
      <c r="K1910" s="2">
        <v>0.29899999999999999</v>
      </c>
      <c r="L1910" s="17">
        <v>0.29899999999999999</v>
      </c>
      <c r="N1910" s="2">
        <f t="shared" si="100"/>
        <v>0</v>
      </c>
    </row>
    <row r="1911" spans="1:16" x14ac:dyDescent="0.25">
      <c r="A1911" s="12" t="s">
        <v>1705</v>
      </c>
      <c r="C1911">
        <v>415</v>
      </c>
      <c r="D1911">
        <v>1</v>
      </c>
      <c r="G1911">
        <v>3.21</v>
      </c>
      <c r="H1911">
        <v>8</v>
      </c>
      <c r="I1911">
        <v>79</v>
      </c>
      <c r="J1911">
        <f t="shared" si="99"/>
        <v>0.29450532786254902</v>
      </c>
      <c r="K1911" s="2">
        <v>3.3E-3</v>
      </c>
      <c r="L1911" s="17">
        <v>3.3E-3</v>
      </c>
      <c r="M1911" s="2">
        <v>1</v>
      </c>
      <c r="N1911" s="2">
        <v>0</v>
      </c>
    </row>
    <row r="1912" spans="1:16" x14ac:dyDescent="0.25">
      <c r="A1912" s="12" t="s">
        <v>1706</v>
      </c>
      <c r="C1912">
        <v>417</v>
      </c>
      <c r="D1912">
        <v>1</v>
      </c>
      <c r="P1912" s="2" t="s">
        <v>2560</v>
      </c>
    </row>
    <row r="1913" spans="1:16" x14ac:dyDescent="0.25">
      <c r="A1913" s="12" t="s">
        <v>1707</v>
      </c>
      <c r="C1913">
        <v>417</v>
      </c>
      <c r="D1913">
        <v>1</v>
      </c>
      <c r="F1913">
        <v>1.95</v>
      </c>
      <c r="H1913">
        <v>140</v>
      </c>
      <c r="J1913">
        <f t="shared" ref="J1913:J1941" si="101">IF(NOT(ISBLANK(F1913)),SQRT((F1913^2*1/H1913)/(F1913^2*1/H1913+1)),IF(NOT(ISBLANK(G1913)),SQRT((G1913*H1913/I1913)/(G1913*H1913/I1913+1)*SQRT(1/H1913))))</f>
        <v>0.16261155139194286</v>
      </c>
      <c r="K1913" s="2">
        <v>0.05</v>
      </c>
      <c r="L1913" s="17">
        <v>0.05</v>
      </c>
      <c r="M1913" s="2" t="s">
        <v>2558</v>
      </c>
      <c r="N1913" s="2" t="s">
        <v>2558</v>
      </c>
    </row>
    <row r="1914" spans="1:16" x14ac:dyDescent="0.25">
      <c r="A1914" s="12" t="s">
        <v>1708</v>
      </c>
      <c r="C1914">
        <v>417</v>
      </c>
      <c r="D1914">
        <v>1</v>
      </c>
      <c r="F1914">
        <v>2.46</v>
      </c>
      <c r="H1914">
        <v>140</v>
      </c>
      <c r="J1914">
        <f t="shared" si="101"/>
        <v>0.20355508108144313</v>
      </c>
      <c r="K1914" s="2">
        <v>0.02</v>
      </c>
      <c r="L1914" s="17">
        <v>0.02</v>
      </c>
      <c r="M1914" s="2" t="s">
        <v>2558</v>
      </c>
      <c r="N1914" s="2" t="s">
        <v>2558</v>
      </c>
    </row>
    <row r="1915" spans="1:16" x14ac:dyDescent="0.25">
      <c r="A1915" s="12" t="s">
        <v>1709</v>
      </c>
      <c r="C1915">
        <v>417</v>
      </c>
      <c r="D1915">
        <v>1</v>
      </c>
      <c r="F1915">
        <v>0.45</v>
      </c>
      <c r="H1915">
        <v>140</v>
      </c>
      <c r="J1915">
        <f t="shared" si="101"/>
        <v>3.800446602176101E-2</v>
      </c>
      <c r="K1915" s="2">
        <v>0.65</v>
      </c>
      <c r="L1915" s="17">
        <v>0.65</v>
      </c>
      <c r="M1915" s="2" t="s">
        <v>2558</v>
      </c>
      <c r="N1915" s="2" t="s">
        <v>2558</v>
      </c>
    </row>
    <row r="1916" spans="1:16" x14ac:dyDescent="0.25">
      <c r="A1916" s="12" t="s">
        <v>1710</v>
      </c>
      <c r="C1916">
        <v>417</v>
      </c>
      <c r="D1916">
        <v>1</v>
      </c>
      <c r="F1916">
        <v>2.69</v>
      </c>
      <c r="H1916">
        <v>140</v>
      </c>
      <c r="J1916">
        <f t="shared" si="101"/>
        <v>0.22168950177307778</v>
      </c>
      <c r="K1916" s="2">
        <v>0.01</v>
      </c>
      <c r="L1916" s="17">
        <v>0.01</v>
      </c>
      <c r="M1916" s="2" t="s">
        <v>2558</v>
      </c>
      <c r="N1916" s="2" t="s">
        <v>2558</v>
      </c>
    </row>
    <row r="1917" spans="1:16" x14ac:dyDescent="0.25">
      <c r="A1917" s="12" t="s">
        <v>1711</v>
      </c>
      <c r="C1917">
        <v>417</v>
      </c>
      <c r="D1917">
        <v>1</v>
      </c>
      <c r="F1917">
        <v>4.7300000000000004</v>
      </c>
      <c r="H1917">
        <v>140</v>
      </c>
      <c r="J1917">
        <f t="shared" si="101"/>
        <v>0.3711969226285517</v>
      </c>
      <c r="K1917" s="2">
        <v>0.01</v>
      </c>
      <c r="L1917" s="17">
        <v>0.01</v>
      </c>
      <c r="M1917" s="2" t="s">
        <v>2558</v>
      </c>
      <c r="N1917" s="2" t="s">
        <v>2558</v>
      </c>
    </row>
    <row r="1918" spans="1:16" x14ac:dyDescent="0.25">
      <c r="A1918" s="12" t="s">
        <v>1712</v>
      </c>
      <c r="C1918">
        <v>417</v>
      </c>
      <c r="D1918">
        <v>1</v>
      </c>
      <c r="F1918">
        <v>0.8</v>
      </c>
      <c r="H1918">
        <v>140</v>
      </c>
      <c r="J1918">
        <f t="shared" si="101"/>
        <v>6.7458325735488489E-2</v>
      </c>
      <c r="K1918" s="2">
        <v>0.42</v>
      </c>
      <c r="L1918" s="17">
        <v>0.42</v>
      </c>
      <c r="M1918" s="2" t="s">
        <v>2558</v>
      </c>
      <c r="N1918" s="2" t="s">
        <v>2558</v>
      </c>
      <c r="O1918" t="s">
        <v>2291</v>
      </c>
    </row>
    <row r="1919" spans="1:16" x14ac:dyDescent="0.25">
      <c r="A1919" s="12" t="s">
        <v>1713</v>
      </c>
      <c r="C1919">
        <v>417</v>
      </c>
      <c r="D1919">
        <v>1</v>
      </c>
      <c r="F1919">
        <v>1.35</v>
      </c>
      <c r="H1919">
        <v>140</v>
      </c>
      <c r="J1919">
        <f t="shared" si="101"/>
        <v>0.1133603557469381</v>
      </c>
      <c r="K1919" s="2">
        <v>0.18</v>
      </c>
      <c r="L1919" s="17">
        <v>0.18</v>
      </c>
      <c r="M1919" s="2" t="s">
        <v>2558</v>
      </c>
      <c r="N1919" s="2" t="s">
        <v>2558</v>
      </c>
    </row>
    <row r="1920" spans="1:16" x14ac:dyDescent="0.25">
      <c r="A1920" s="12" t="s">
        <v>1714</v>
      </c>
      <c r="C1920">
        <v>417</v>
      </c>
      <c r="D1920">
        <v>1</v>
      </c>
      <c r="F1920">
        <v>1.45</v>
      </c>
      <c r="H1920">
        <v>115</v>
      </c>
      <c r="J1920">
        <f t="shared" si="101"/>
        <v>0.13399386637597585</v>
      </c>
      <c r="K1920" s="2">
        <v>0.15</v>
      </c>
      <c r="L1920" s="17">
        <v>0.15</v>
      </c>
      <c r="M1920" s="2" t="s">
        <v>2558</v>
      </c>
      <c r="N1920" s="2" t="s">
        <v>2558</v>
      </c>
    </row>
    <row r="1921" spans="1:14" x14ac:dyDescent="0.25">
      <c r="A1921" s="12" t="s">
        <v>1715</v>
      </c>
      <c r="C1921">
        <v>417</v>
      </c>
      <c r="D1921">
        <v>1</v>
      </c>
      <c r="F1921">
        <v>2.04</v>
      </c>
      <c r="H1921">
        <v>140</v>
      </c>
      <c r="J1921">
        <f t="shared" si="101"/>
        <v>0.16990469132175096</v>
      </c>
      <c r="K1921" s="2">
        <v>0.04</v>
      </c>
      <c r="L1921" s="17">
        <v>0.04</v>
      </c>
      <c r="M1921" s="2" t="s">
        <v>2558</v>
      </c>
      <c r="N1921" s="2" t="s">
        <v>2558</v>
      </c>
    </row>
    <row r="1922" spans="1:14" x14ac:dyDescent="0.25">
      <c r="A1922" s="12" t="s">
        <v>1716</v>
      </c>
      <c r="C1922">
        <v>417</v>
      </c>
      <c r="D1922">
        <v>1</v>
      </c>
      <c r="F1922">
        <v>1.74</v>
      </c>
      <c r="H1922">
        <v>140</v>
      </c>
      <c r="J1922">
        <f t="shared" si="101"/>
        <v>0.14549206992518546</v>
      </c>
      <c r="K1922" s="2">
        <v>0.08</v>
      </c>
      <c r="L1922" s="17">
        <v>0.08</v>
      </c>
      <c r="M1922" s="2" t="s">
        <v>2558</v>
      </c>
      <c r="N1922" s="2" t="s">
        <v>2558</v>
      </c>
    </row>
    <row r="1923" spans="1:14" x14ac:dyDescent="0.25">
      <c r="A1923" s="12" t="s">
        <v>1717</v>
      </c>
      <c r="C1923">
        <v>418</v>
      </c>
      <c r="D1923">
        <v>1</v>
      </c>
      <c r="E1923">
        <v>0</v>
      </c>
      <c r="J1923" t="b">
        <f t="shared" si="101"/>
        <v>0</v>
      </c>
      <c r="K1923" s="2" t="s">
        <v>2519</v>
      </c>
      <c r="L1923" s="17">
        <v>1E-3</v>
      </c>
    </row>
    <row r="1924" spans="1:14" x14ac:dyDescent="0.25">
      <c r="A1924" s="12" t="s">
        <v>1718</v>
      </c>
      <c r="C1924">
        <v>418</v>
      </c>
      <c r="D1924">
        <v>1</v>
      </c>
      <c r="E1924">
        <v>0</v>
      </c>
      <c r="J1924" t="b">
        <f t="shared" si="101"/>
        <v>0</v>
      </c>
      <c r="K1924" s="2">
        <v>9.0999999999999998E-2</v>
      </c>
      <c r="L1924" s="17">
        <v>9.0999999999999998E-2</v>
      </c>
    </row>
    <row r="1925" spans="1:14" x14ac:dyDescent="0.25">
      <c r="A1925" s="12" t="s">
        <v>1719</v>
      </c>
      <c r="C1925">
        <v>418</v>
      </c>
      <c r="D1925">
        <v>1</v>
      </c>
      <c r="E1925">
        <v>0</v>
      </c>
      <c r="J1925" t="b">
        <f t="shared" si="101"/>
        <v>0</v>
      </c>
      <c r="K1925" s="2" t="s">
        <v>2519</v>
      </c>
      <c r="L1925" s="17">
        <v>1E-3</v>
      </c>
    </row>
    <row r="1926" spans="1:14" x14ac:dyDescent="0.25">
      <c r="A1926" s="12" t="s">
        <v>1720</v>
      </c>
      <c r="C1926">
        <v>418</v>
      </c>
      <c r="D1926">
        <v>1</v>
      </c>
      <c r="E1926">
        <v>0</v>
      </c>
      <c r="J1926" t="b">
        <f t="shared" si="101"/>
        <v>0</v>
      </c>
      <c r="K1926" s="2" t="s">
        <v>2519</v>
      </c>
      <c r="L1926" s="17">
        <v>1E-3</v>
      </c>
    </row>
    <row r="1927" spans="1:14" x14ac:dyDescent="0.25">
      <c r="A1927" s="12" t="s">
        <v>1721</v>
      </c>
      <c r="C1927">
        <v>418</v>
      </c>
      <c r="D1927">
        <v>1</v>
      </c>
      <c r="E1927">
        <v>0</v>
      </c>
      <c r="J1927" t="b">
        <f t="shared" si="101"/>
        <v>0</v>
      </c>
      <c r="K1927" s="2" t="s">
        <v>2519</v>
      </c>
      <c r="L1927" s="17">
        <v>1E-3</v>
      </c>
    </row>
    <row r="1928" spans="1:14" x14ac:dyDescent="0.25">
      <c r="A1928" s="12" t="s">
        <v>1722</v>
      </c>
      <c r="C1928">
        <v>418</v>
      </c>
      <c r="D1928">
        <v>1</v>
      </c>
      <c r="E1928">
        <v>0</v>
      </c>
      <c r="J1928" t="b">
        <f t="shared" si="101"/>
        <v>0</v>
      </c>
      <c r="K1928" s="2" t="s">
        <v>2519</v>
      </c>
      <c r="L1928" s="17">
        <v>1E-3</v>
      </c>
    </row>
    <row r="1929" spans="1:14" x14ac:dyDescent="0.25">
      <c r="A1929" s="12" t="s">
        <v>1723</v>
      </c>
      <c r="C1929">
        <v>418</v>
      </c>
      <c r="D1929">
        <v>1</v>
      </c>
      <c r="E1929">
        <v>0</v>
      </c>
      <c r="J1929" t="b">
        <f t="shared" si="101"/>
        <v>0</v>
      </c>
      <c r="K1929" s="2" t="s">
        <v>2519</v>
      </c>
      <c r="L1929" s="17">
        <v>1E-3</v>
      </c>
    </row>
    <row r="1930" spans="1:14" x14ac:dyDescent="0.25">
      <c r="A1930" s="12" t="s">
        <v>1724</v>
      </c>
      <c r="C1930">
        <v>418</v>
      </c>
      <c r="D1930">
        <v>1</v>
      </c>
      <c r="E1930">
        <v>0</v>
      </c>
      <c r="J1930" t="b">
        <f t="shared" si="101"/>
        <v>0</v>
      </c>
      <c r="K1930" s="2" t="s">
        <v>2519</v>
      </c>
      <c r="L1930" s="17">
        <v>1E-3</v>
      </c>
      <c r="M1930" s="2">
        <v>0</v>
      </c>
      <c r="N1930" s="2">
        <f t="shared" si="100"/>
        <v>0</v>
      </c>
    </row>
    <row r="1931" spans="1:14" x14ac:dyDescent="0.25">
      <c r="A1931" s="12" t="s">
        <v>1725</v>
      </c>
      <c r="C1931">
        <v>418</v>
      </c>
      <c r="D1931">
        <v>1</v>
      </c>
      <c r="E1931">
        <v>0</v>
      </c>
      <c r="J1931" t="b">
        <f t="shared" si="101"/>
        <v>0</v>
      </c>
      <c r="K1931" s="2" t="s">
        <v>2519</v>
      </c>
      <c r="L1931" s="17">
        <v>1E-3</v>
      </c>
      <c r="M1931" s="2">
        <v>0</v>
      </c>
      <c r="N1931" s="2">
        <f t="shared" si="100"/>
        <v>0</v>
      </c>
    </row>
    <row r="1932" spans="1:14" x14ac:dyDescent="0.25">
      <c r="A1932" s="12" t="s">
        <v>1726</v>
      </c>
      <c r="C1932">
        <v>418</v>
      </c>
      <c r="D1932">
        <v>1</v>
      </c>
      <c r="E1932">
        <v>0</v>
      </c>
      <c r="J1932" t="b">
        <f t="shared" si="101"/>
        <v>0</v>
      </c>
      <c r="K1932" s="2" t="s">
        <v>2519</v>
      </c>
      <c r="L1932" s="17">
        <v>1E-3</v>
      </c>
      <c r="M1932" s="2">
        <v>0</v>
      </c>
      <c r="N1932" s="2">
        <f t="shared" si="100"/>
        <v>0</v>
      </c>
    </row>
    <row r="1933" spans="1:14" x14ac:dyDescent="0.25">
      <c r="A1933" s="12" t="s">
        <v>1727</v>
      </c>
      <c r="C1933">
        <v>418</v>
      </c>
      <c r="D1933">
        <v>1</v>
      </c>
      <c r="J1933" t="b">
        <f t="shared" si="101"/>
        <v>0</v>
      </c>
      <c r="K1933" s="2" t="s">
        <v>2519</v>
      </c>
      <c r="L1933" s="17">
        <v>1E-3</v>
      </c>
    </row>
    <row r="1934" spans="1:14" x14ac:dyDescent="0.25">
      <c r="A1934" s="12" t="s">
        <v>1728</v>
      </c>
      <c r="C1934">
        <v>418</v>
      </c>
      <c r="D1934">
        <v>1</v>
      </c>
      <c r="E1934">
        <v>0</v>
      </c>
      <c r="J1934" t="b">
        <f t="shared" si="101"/>
        <v>0</v>
      </c>
      <c r="K1934" s="2">
        <v>2.7E-2</v>
      </c>
      <c r="L1934" s="17">
        <v>2.7E-2</v>
      </c>
    </row>
    <row r="1935" spans="1:14" x14ac:dyDescent="0.25">
      <c r="A1935" s="12" t="s">
        <v>1729</v>
      </c>
      <c r="C1935">
        <v>418</v>
      </c>
      <c r="D1935">
        <v>1</v>
      </c>
      <c r="E1935">
        <v>0</v>
      </c>
      <c r="J1935" t="b">
        <f t="shared" si="101"/>
        <v>0</v>
      </c>
      <c r="K1935" s="2" t="s">
        <v>2519</v>
      </c>
      <c r="L1935" s="17">
        <v>1E-3</v>
      </c>
    </row>
    <row r="1936" spans="1:14" x14ac:dyDescent="0.25">
      <c r="A1936" s="12" t="s">
        <v>1730</v>
      </c>
      <c r="C1936">
        <v>418</v>
      </c>
      <c r="D1936">
        <v>1</v>
      </c>
      <c r="E1936">
        <v>0</v>
      </c>
      <c r="J1936" t="b">
        <f t="shared" si="101"/>
        <v>0</v>
      </c>
      <c r="K1936" s="2" t="s">
        <v>2519</v>
      </c>
      <c r="L1936" s="17">
        <v>1E-3</v>
      </c>
    </row>
    <row r="1937" spans="1:14" x14ac:dyDescent="0.25">
      <c r="A1937" s="12" t="s">
        <v>1731</v>
      </c>
      <c r="C1937">
        <v>418</v>
      </c>
      <c r="D1937">
        <v>1</v>
      </c>
      <c r="E1937">
        <v>0</v>
      </c>
      <c r="J1937" t="b">
        <f t="shared" si="101"/>
        <v>0</v>
      </c>
      <c r="K1937" s="2" t="s">
        <v>2519</v>
      </c>
      <c r="L1937" s="17">
        <v>1E-3</v>
      </c>
    </row>
    <row r="1938" spans="1:14" x14ac:dyDescent="0.25">
      <c r="A1938" s="12" t="s">
        <v>1732</v>
      </c>
      <c r="C1938">
        <v>418</v>
      </c>
      <c r="D1938">
        <v>1</v>
      </c>
      <c r="E1938">
        <v>0</v>
      </c>
      <c r="J1938" t="b">
        <f t="shared" si="101"/>
        <v>0</v>
      </c>
      <c r="K1938" s="2" t="s">
        <v>2519</v>
      </c>
      <c r="L1938" s="17">
        <v>1E-3</v>
      </c>
    </row>
    <row r="1939" spans="1:14" x14ac:dyDescent="0.25">
      <c r="A1939" s="12" t="s">
        <v>1733</v>
      </c>
      <c r="C1939">
        <v>418</v>
      </c>
      <c r="D1939">
        <v>1</v>
      </c>
      <c r="E1939">
        <v>0</v>
      </c>
      <c r="J1939" t="b">
        <f t="shared" si="101"/>
        <v>0</v>
      </c>
      <c r="K1939" s="2" t="s">
        <v>2519</v>
      </c>
      <c r="L1939" s="17">
        <v>1E-3</v>
      </c>
    </row>
    <row r="1940" spans="1:14" x14ac:dyDescent="0.25">
      <c r="A1940" s="12" t="s">
        <v>1734</v>
      </c>
      <c r="C1940">
        <v>418</v>
      </c>
      <c r="D1940">
        <v>1</v>
      </c>
      <c r="E1940">
        <v>0</v>
      </c>
      <c r="J1940" t="b">
        <f t="shared" si="101"/>
        <v>0</v>
      </c>
      <c r="K1940" s="2" t="s">
        <v>2519</v>
      </c>
      <c r="L1940" s="17">
        <v>1E-3</v>
      </c>
    </row>
    <row r="1941" spans="1:14" x14ac:dyDescent="0.25">
      <c r="A1941" s="12" t="s">
        <v>1735</v>
      </c>
      <c r="C1941">
        <v>418</v>
      </c>
      <c r="D1941">
        <v>1</v>
      </c>
      <c r="E1941">
        <v>0</v>
      </c>
      <c r="J1941" t="b">
        <f t="shared" si="101"/>
        <v>0</v>
      </c>
      <c r="K1941" s="2" t="s">
        <v>2519</v>
      </c>
      <c r="L1941" s="17">
        <v>1E-3</v>
      </c>
    </row>
    <row r="1942" spans="1:14" x14ac:dyDescent="0.25">
      <c r="A1942" s="12" t="s">
        <v>1736</v>
      </c>
      <c r="C1942">
        <v>418</v>
      </c>
      <c r="D1942">
        <v>0</v>
      </c>
      <c r="J1942" t="b">
        <f t="shared" ref="J1942:J1966" si="102">IF(NOT(ISBLANK(F1942)),SQRT((F1942^2*1/H1942)/(F1942^2*1/H1942+1)),IF(NOT(ISBLANK(G1942)),SQRT((G1942*H1942/I1942)/(G1942*H1942/I1942+1)*SQRT(1/H1942))))</f>
        <v>0</v>
      </c>
    </row>
    <row r="1943" spans="1:14" x14ac:dyDescent="0.25">
      <c r="A1943" s="12" t="s">
        <v>1737</v>
      </c>
      <c r="C1943">
        <v>418</v>
      </c>
      <c r="D1943">
        <v>1</v>
      </c>
      <c r="E1943">
        <v>0</v>
      </c>
      <c r="J1943" t="b">
        <f t="shared" si="102"/>
        <v>0</v>
      </c>
      <c r="K1943" s="2" t="s">
        <v>2519</v>
      </c>
      <c r="L1943" s="17">
        <v>1E-3</v>
      </c>
      <c r="M1943" s="2">
        <v>0</v>
      </c>
      <c r="N1943" s="2">
        <f t="shared" ref="N1943:N1966" si="103">IF(M1943=0, 0)</f>
        <v>0</v>
      </c>
    </row>
    <row r="1944" spans="1:14" x14ac:dyDescent="0.25">
      <c r="A1944" s="12" t="s">
        <v>1738</v>
      </c>
      <c r="C1944">
        <v>418</v>
      </c>
      <c r="D1944">
        <v>1</v>
      </c>
      <c r="E1944">
        <v>0</v>
      </c>
      <c r="J1944" t="b">
        <f t="shared" si="102"/>
        <v>0</v>
      </c>
      <c r="K1944" s="2" t="s">
        <v>2517</v>
      </c>
      <c r="L1944" s="17">
        <v>1E-3</v>
      </c>
      <c r="M1944" s="2">
        <v>0</v>
      </c>
      <c r="N1944" s="2">
        <f t="shared" si="103"/>
        <v>0</v>
      </c>
    </row>
    <row r="1945" spans="1:14" x14ac:dyDescent="0.25">
      <c r="A1945" s="12" t="s">
        <v>1739</v>
      </c>
      <c r="C1945">
        <v>418</v>
      </c>
      <c r="D1945">
        <v>1</v>
      </c>
      <c r="E1945">
        <v>0</v>
      </c>
      <c r="J1945" t="b">
        <f t="shared" si="102"/>
        <v>0</v>
      </c>
      <c r="K1945" s="2">
        <v>6.0000000000000001E-3</v>
      </c>
      <c r="L1945" s="17">
        <v>6.0000000000000001E-3</v>
      </c>
      <c r="M1945" s="2">
        <v>0</v>
      </c>
      <c r="N1945" s="2">
        <f t="shared" si="103"/>
        <v>0</v>
      </c>
    </row>
    <row r="1946" spans="1:14" x14ac:dyDescent="0.25">
      <c r="A1946" s="12" t="s">
        <v>1740</v>
      </c>
      <c r="C1946">
        <v>418</v>
      </c>
      <c r="D1946">
        <v>1</v>
      </c>
      <c r="E1946">
        <v>0</v>
      </c>
      <c r="J1946" t="b">
        <f t="shared" si="102"/>
        <v>0</v>
      </c>
      <c r="K1946" s="2" t="s">
        <v>2517</v>
      </c>
      <c r="L1946" s="17">
        <v>1E-3</v>
      </c>
    </row>
    <row r="1947" spans="1:14" x14ac:dyDescent="0.25">
      <c r="A1947" s="12" t="s">
        <v>1741</v>
      </c>
      <c r="C1947">
        <v>418</v>
      </c>
      <c r="D1947">
        <v>1</v>
      </c>
      <c r="E1947">
        <v>0</v>
      </c>
      <c r="J1947" t="b">
        <f t="shared" si="102"/>
        <v>0</v>
      </c>
      <c r="K1947" s="2">
        <v>3.9E-2</v>
      </c>
      <c r="L1947" s="17">
        <v>3.9E-2</v>
      </c>
    </row>
    <row r="1948" spans="1:14" x14ac:dyDescent="0.25">
      <c r="A1948" s="12" t="s">
        <v>1742</v>
      </c>
      <c r="C1948">
        <v>418</v>
      </c>
      <c r="D1948">
        <v>1</v>
      </c>
      <c r="E1948">
        <v>0</v>
      </c>
      <c r="J1948" t="b">
        <f t="shared" si="102"/>
        <v>0</v>
      </c>
      <c r="K1948" s="2" t="s">
        <v>2519</v>
      </c>
      <c r="L1948" s="17">
        <v>1E-3</v>
      </c>
    </row>
    <row r="1949" spans="1:14" x14ac:dyDescent="0.25">
      <c r="A1949" s="12" t="s">
        <v>1743</v>
      </c>
      <c r="C1949">
        <v>418</v>
      </c>
      <c r="D1949">
        <v>1</v>
      </c>
      <c r="E1949">
        <v>0</v>
      </c>
      <c r="J1949" t="b">
        <f t="shared" si="102"/>
        <v>0</v>
      </c>
      <c r="K1949" s="2" t="s">
        <v>2519</v>
      </c>
      <c r="L1949" s="17">
        <v>1E-3</v>
      </c>
    </row>
    <row r="1950" spans="1:14" x14ac:dyDescent="0.25">
      <c r="A1950" s="12" t="s">
        <v>1744</v>
      </c>
      <c r="C1950">
        <v>418</v>
      </c>
      <c r="D1950">
        <v>1</v>
      </c>
      <c r="E1950">
        <v>0</v>
      </c>
      <c r="J1950" t="b">
        <f t="shared" si="102"/>
        <v>0</v>
      </c>
      <c r="K1950" s="2" t="s">
        <v>2517</v>
      </c>
      <c r="L1950" s="17">
        <v>1E-3</v>
      </c>
    </row>
    <row r="1951" spans="1:14" x14ac:dyDescent="0.25">
      <c r="A1951" s="12" t="s">
        <v>1745</v>
      </c>
      <c r="C1951">
        <v>418</v>
      </c>
      <c r="D1951">
        <v>1</v>
      </c>
      <c r="E1951">
        <v>0</v>
      </c>
      <c r="J1951" t="b">
        <f t="shared" si="102"/>
        <v>0</v>
      </c>
      <c r="K1951" s="2">
        <v>0.128</v>
      </c>
      <c r="L1951" s="17">
        <v>0.128</v>
      </c>
    </row>
    <row r="1952" spans="1:14" x14ac:dyDescent="0.25">
      <c r="A1952" s="12" t="s">
        <v>1746</v>
      </c>
      <c r="C1952">
        <v>418</v>
      </c>
      <c r="D1952">
        <v>1</v>
      </c>
      <c r="E1952">
        <v>0</v>
      </c>
      <c r="J1952" t="b">
        <f t="shared" si="102"/>
        <v>0</v>
      </c>
      <c r="K1952" s="2" t="s">
        <v>2519</v>
      </c>
      <c r="L1952" s="17">
        <v>1E-3</v>
      </c>
    </row>
    <row r="1953" spans="1:16" x14ac:dyDescent="0.25">
      <c r="A1953" s="12" t="s">
        <v>1747</v>
      </c>
      <c r="C1953">
        <v>418</v>
      </c>
      <c r="D1953">
        <v>1</v>
      </c>
      <c r="E1953">
        <v>0</v>
      </c>
      <c r="J1953" t="b">
        <f t="shared" si="102"/>
        <v>0</v>
      </c>
      <c r="K1953" s="2" t="s">
        <v>2519</v>
      </c>
      <c r="L1953" s="17">
        <v>1E-3</v>
      </c>
      <c r="M1953" s="2" t="s">
        <v>2558</v>
      </c>
      <c r="N1953" s="2" t="s">
        <v>2558</v>
      </c>
      <c r="O1953" t="s">
        <v>2295</v>
      </c>
    </row>
    <row r="1954" spans="1:16" x14ac:dyDescent="0.25">
      <c r="A1954" s="12" t="s">
        <v>1748</v>
      </c>
      <c r="C1954">
        <v>418</v>
      </c>
      <c r="D1954">
        <v>0</v>
      </c>
      <c r="J1954" t="b">
        <f t="shared" si="102"/>
        <v>0</v>
      </c>
    </row>
    <row r="1955" spans="1:16" x14ac:dyDescent="0.25">
      <c r="A1955" s="12" t="s">
        <v>1749</v>
      </c>
      <c r="C1955">
        <v>418</v>
      </c>
      <c r="D1955">
        <v>1</v>
      </c>
      <c r="E1955">
        <v>0</v>
      </c>
      <c r="J1955" t="b">
        <f t="shared" si="102"/>
        <v>0</v>
      </c>
      <c r="K1955" s="2" t="s">
        <v>2519</v>
      </c>
      <c r="L1955" s="17">
        <v>1E-3</v>
      </c>
      <c r="M1955" s="2">
        <v>0</v>
      </c>
      <c r="N1955" s="2">
        <f t="shared" si="103"/>
        <v>0</v>
      </c>
    </row>
    <row r="1956" spans="1:16" x14ac:dyDescent="0.25">
      <c r="A1956" s="12" t="s">
        <v>1750</v>
      </c>
      <c r="C1956">
        <v>418</v>
      </c>
      <c r="D1956">
        <v>1</v>
      </c>
      <c r="E1956">
        <v>0</v>
      </c>
      <c r="J1956" t="b">
        <f t="shared" si="102"/>
        <v>0</v>
      </c>
      <c r="K1956" s="2" t="s">
        <v>2519</v>
      </c>
      <c r="L1956" s="17">
        <v>1E-3</v>
      </c>
      <c r="M1956" s="2">
        <v>0</v>
      </c>
      <c r="N1956" s="2">
        <f t="shared" si="103"/>
        <v>0</v>
      </c>
    </row>
    <row r="1957" spans="1:16" x14ac:dyDescent="0.25">
      <c r="A1957" s="12" t="s">
        <v>1751</v>
      </c>
      <c r="C1957">
        <v>418</v>
      </c>
      <c r="D1957">
        <v>1</v>
      </c>
      <c r="E1957">
        <v>0</v>
      </c>
      <c r="J1957" t="b">
        <f t="shared" si="102"/>
        <v>0</v>
      </c>
      <c r="K1957" s="2">
        <v>5.6000000000000001E-2</v>
      </c>
      <c r="L1957" s="17">
        <v>5.6000000000000001E-2</v>
      </c>
    </row>
    <row r="1958" spans="1:16" x14ac:dyDescent="0.25">
      <c r="A1958" s="12" t="s">
        <v>1752</v>
      </c>
      <c r="C1958">
        <v>418</v>
      </c>
      <c r="D1958">
        <v>1</v>
      </c>
      <c r="E1958">
        <v>0</v>
      </c>
      <c r="J1958" t="b">
        <f t="shared" si="102"/>
        <v>0</v>
      </c>
      <c r="K1958" s="2" t="s">
        <v>2519</v>
      </c>
      <c r="L1958" s="17">
        <v>1E-3</v>
      </c>
    </row>
    <row r="1959" spans="1:16" x14ac:dyDescent="0.25">
      <c r="A1959" s="12" t="s">
        <v>1753</v>
      </c>
      <c r="C1959">
        <v>418</v>
      </c>
      <c r="D1959">
        <v>1</v>
      </c>
      <c r="E1959">
        <v>0</v>
      </c>
      <c r="J1959" t="b">
        <f t="shared" si="102"/>
        <v>0</v>
      </c>
      <c r="K1959" s="2" t="s">
        <v>2519</v>
      </c>
      <c r="L1959" s="17">
        <v>1E-3</v>
      </c>
    </row>
    <row r="1960" spans="1:16" x14ac:dyDescent="0.25">
      <c r="A1960" s="12" t="s">
        <v>1754</v>
      </c>
      <c r="C1960">
        <v>418</v>
      </c>
      <c r="D1960">
        <v>1</v>
      </c>
      <c r="E1960">
        <v>0</v>
      </c>
      <c r="J1960" t="b">
        <f t="shared" si="102"/>
        <v>0</v>
      </c>
      <c r="K1960" s="2" t="s">
        <v>2519</v>
      </c>
      <c r="L1960" s="17">
        <v>1E-3</v>
      </c>
    </row>
    <row r="1961" spans="1:16" x14ac:dyDescent="0.25">
      <c r="A1961" s="12" t="s">
        <v>1755</v>
      </c>
      <c r="C1961">
        <v>418</v>
      </c>
      <c r="D1961">
        <v>1</v>
      </c>
      <c r="E1961">
        <v>0</v>
      </c>
      <c r="J1961" t="b">
        <f t="shared" si="102"/>
        <v>0</v>
      </c>
      <c r="K1961" s="2" t="s">
        <v>2519</v>
      </c>
      <c r="L1961" s="17">
        <v>1E-3</v>
      </c>
    </row>
    <row r="1962" spans="1:16" x14ac:dyDescent="0.25">
      <c r="A1962" s="12" t="s">
        <v>1756</v>
      </c>
      <c r="C1962">
        <v>418</v>
      </c>
      <c r="D1962">
        <v>1</v>
      </c>
      <c r="E1962">
        <v>0</v>
      </c>
      <c r="J1962" t="b">
        <f t="shared" si="102"/>
        <v>0</v>
      </c>
      <c r="K1962" s="2" t="s">
        <v>2519</v>
      </c>
      <c r="L1962" s="17">
        <v>1E-3</v>
      </c>
    </row>
    <row r="1963" spans="1:16" x14ac:dyDescent="0.25">
      <c r="A1963" s="12" t="s">
        <v>1757</v>
      </c>
      <c r="C1963">
        <v>418</v>
      </c>
      <c r="D1963">
        <v>1</v>
      </c>
      <c r="E1963">
        <v>0</v>
      </c>
      <c r="J1963" t="b">
        <f t="shared" si="102"/>
        <v>0</v>
      </c>
      <c r="K1963" s="2" t="s">
        <v>2519</v>
      </c>
      <c r="L1963" s="17">
        <v>1E-3</v>
      </c>
    </row>
    <row r="1964" spans="1:16" x14ac:dyDescent="0.25">
      <c r="A1964" s="12" t="s">
        <v>1758</v>
      </c>
      <c r="C1964">
        <v>418</v>
      </c>
      <c r="D1964">
        <v>1</v>
      </c>
      <c r="E1964">
        <v>0</v>
      </c>
      <c r="J1964" t="b">
        <f t="shared" si="102"/>
        <v>0</v>
      </c>
      <c r="K1964" s="2" t="s">
        <v>2519</v>
      </c>
      <c r="L1964" s="17">
        <v>1E-3</v>
      </c>
      <c r="M1964" s="2">
        <v>0</v>
      </c>
      <c r="N1964" s="2">
        <f t="shared" si="103"/>
        <v>0</v>
      </c>
    </row>
    <row r="1965" spans="1:16" x14ac:dyDescent="0.25">
      <c r="A1965" s="12" t="s">
        <v>1759</v>
      </c>
      <c r="C1965">
        <v>418</v>
      </c>
      <c r="D1965">
        <v>1</v>
      </c>
      <c r="E1965">
        <v>0</v>
      </c>
      <c r="J1965" t="b">
        <f t="shared" si="102"/>
        <v>0</v>
      </c>
      <c r="K1965" s="2" t="s">
        <v>2519</v>
      </c>
      <c r="L1965" s="17">
        <v>1E-3</v>
      </c>
    </row>
    <row r="1966" spans="1:16" x14ac:dyDescent="0.25">
      <c r="A1966" s="12" t="s">
        <v>1760</v>
      </c>
      <c r="C1966">
        <v>418</v>
      </c>
      <c r="D1966">
        <v>1</v>
      </c>
      <c r="E1966">
        <v>0</v>
      </c>
      <c r="J1966" t="b">
        <f t="shared" si="102"/>
        <v>0</v>
      </c>
      <c r="K1966" s="2">
        <v>0.2</v>
      </c>
      <c r="L1966" s="17">
        <v>0.2</v>
      </c>
      <c r="M1966" s="2">
        <v>0</v>
      </c>
      <c r="N1966" s="2">
        <f t="shared" si="103"/>
        <v>0</v>
      </c>
    </row>
    <row r="1967" spans="1:16" x14ac:dyDescent="0.25">
      <c r="A1967" s="12" t="s">
        <v>1761</v>
      </c>
      <c r="C1967">
        <v>419</v>
      </c>
      <c r="D1967">
        <v>1</v>
      </c>
      <c r="J1967">
        <v>0.06</v>
      </c>
      <c r="K1967" s="2">
        <v>4.5999999999999999E-2</v>
      </c>
      <c r="L1967" s="17">
        <v>4.5999999999999999E-2</v>
      </c>
      <c r="P1967" s="2" t="s">
        <v>2560</v>
      </c>
    </row>
    <row r="1968" spans="1:16" x14ac:dyDescent="0.25">
      <c r="A1968" s="12" t="s">
        <v>1762</v>
      </c>
      <c r="C1968">
        <v>419</v>
      </c>
      <c r="D1968">
        <v>1</v>
      </c>
      <c r="J1968">
        <v>-0.14000000000000001</v>
      </c>
      <c r="K1968" s="2" t="s">
        <v>2519</v>
      </c>
      <c r="L1968" s="17">
        <v>1E-3</v>
      </c>
      <c r="P1968" s="2" t="s">
        <v>2560</v>
      </c>
    </row>
    <row r="1969" spans="1:16" x14ac:dyDescent="0.25">
      <c r="A1969" s="12" t="s">
        <v>1763</v>
      </c>
      <c r="C1969">
        <v>419</v>
      </c>
      <c r="D1969">
        <v>1</v>
      </c>
      <c r="J1969">
        <v>0.11</v>
      </c>
      <c r="K1969" s="2" t="s">
        <v>2519</v>
      </c>
      <c r="L1969" s="17">
        <v>1E-3</v>
      </c>
      <c r="P1969" s="2" t="s">
        <v>2560</v>
      </c>
    </row>
    <row r="1970" spans="1:16" x14ac:dyDescent="0.25">
      <c r="A1970" s="12" t="s">
        <v>1764</v>
      </c>
      <c r="C1970">
        <v>419</v>
      </c>
      <c r="D1970">
        <v>1</v>
      </c>
      <c r="J1970">
        <v>-0.1</v>
      </c>
      <c r="K1970" s="2" t="s">
        <v>2519</v>
      </c>
      <c r="L1970" s="17">
        <v>1E-3</v>
      </c>
      <c r="P1970" s="2" t="s">
        <v>2560</v>
      </c>
    </row>
    <row r="1971" spans="1:16" x14ac:dyDescent="0.25">
      <c r="A1971" s="12" t="s">
        <v>1765</v>
      </c>
      <c r="C1971">
        <v>419</v>
      </c>
      <c r="D1971">
        <v>1</v>
      </c>
      <c r="J1971">
        <v>0.03</v>
      </c>
      <c r="K1971" s="2">
        <v>0.24099999999999999</v>
      </c>
      <c r="L1971" s="17">
        <v>0.24099999999999999</v>
      </c>
      <c r="P1971" s="2" t="s">
        <v>2560</v>
      </c>
    </row>
    <row r="1972" spans="1:16" x14ac:dyDescent="0.25">
      <c r="A1972" s="12" t="s">
        <v>1766</v>
      </c>
      <c r="C1972">
        <v>419</v>
      </c>
      <c r="D1972">
        <v>1</v>
      </c>
      <c r="J1972">
        <v>-0.01</v>
      </c>
      <c r="K1972" s="2">
        <v>0.61899999999999999</v>
      </c>
      <c r="L1972" s="17">
        <v>0.61899999999999999</v>
      </c>
      <c r="P1972" s="2" t="s">
        <v>2560</v>
      </c>
    </row>
    <row r="1973" spans="1:16" x14ac:dyDescent="0.25">
      <c r="A1973" s="12" t="s">
        <v>1767</v>
      </c>
      <c r="C1973">
        <v>419</v>
      </c>
      <c r="D1973">
        <v>1</v>
      </c>
      <c r="J1973">
        <v>0.05</v>
      </c>
      <c r="K1973" s="2">
        <v>6.4000000000000001E-2</v>
      </c>
      <c r="L1973" s="17">
        <v>6.4000000000000001E-2</v>
      </c>
      <c r="P1973" s="2" t="s">
        <v>2560</v>
      </c>
    </row>
    <row r="1974" spans="1:16" x14ac:dyDescent="0.25">
      <c r="A1974" s="12" t="s">
        <v>1768</v>
      </c>
      <c r="C1974">
        <v>419</v>
      </c>
      <c r="D1974">
        <v>2</v>
      </c>
      <c r="J1974">
        <v>-0.06</v>
      </c>
      <c r="K1974" s="2">
        <v>4.9000000000000002E-2</v>
      </c>
      <c r="L1974" s="17">
        <v>4.9000000000000002E-2</v>
      </c>
      <c r="P1974" s="2" t="s">
        <v>2560</v>
      </c>
    </row>
    <row r="1975" spans="1:16" x14ac:dyDescent="0.25">
      <c r="A1975" s="12" t="s">
        <v>1769</v>
      </c>
      <c r="C1975">
        <v>420</v>
      </c>
      <c r="D1975">
        <v>1</v>
      </c>
      <c r="J1975">
        <v>0.77100000000000002</v>
      </c>
      <c r="K1975" s="2" t="s">
        <v>2519</v>
      </c>
      <c r="L1975" s="17">
        <v>1E-3</v>
      </c>
      <c r="P1975" s="2" t="s">
        <v>2560</v>
      </c>
    </row>
    <row r="1976" spans="1:16" x14ac:dyDescent="0.25">
      <c r="A1976" s="12" t="s">
        <v>1770</v>
      </c>
      <c r="C1976">
        <v>420</v>
      </c>
      <c r="D1976">
        <v>1</v>
      </c>
      <c r="F1976">
        <v>70.3</v>
      </c>
      <c r="H1976">
        <v>150</v>
      </c>
      <c r="J1976">
        <f t="shared" ref="J1976:J2007" si="104">IF(NOT(ISBLANK(F1976)),SQRT((F1976^2*1/H1976)/(F1976^2*1/H1976+1)),IF(NOT(ISBLANK(G1976)),SQRT((G1976*H1976/I1976)/(G1976*H1976/I1976+1)*SQRT(1/H1976))))</f>
        <v>0.9851611783676183</v>
      </c>
      <c r="K1976" s="2" t="s">
        <v>2519</v>
      </c>
      <c r="L1976" s="17">
        <v>1E-3</v>
      </c>
      <c r="M1976" s="2" t="s">
        <v>2558</v>
      </c>
      <c r="N1976" s="2" t="s">
        <v>2558</v>
      </c>
      <c r="O1976" t="s">
        <v>2292</v>
      </c>
    </row>
    <row r="1977" spans="1:16" x14ac:dyDescent="0.25">
      <c r="A1977" s="12" t="s">
        <v>1771</v>
      </c>
      <c r="C1977">
        <v>420</v>
      </c>
      <c r="D1977">
        <v>1</v>
      </c>
      <c r="F1977">
        <v>11.5</v>
      </c>
      <c r="H1977">
        <v>150</v>
      </c>
      <c r="J1977">
        <f t="shared" si="104"/>
        <v>0.68451168321959821</v>
      </c>
      <c r="K1977" s="2" t="s">
        <v>2519</v>
      </c>
      <c r="L1977" s="17">
        <v>1E-3</v>
      </c>
      <c r="M1977" s="2" t="s">
        <v>2558</v>
      </c>
      <c r="N1977" s="2" t="s">
        <v>2558</v>
      </c>
      <c r="O1977" t="s">
        <v>2292</v>
      </c>
    </row>
    <row r="1978" spans="1:16" x14ac:dyDescent="0.25">
      <c r="A1978" s="12" t="s">
        <v>1772</v>
      </c>
      <c r="C1978">
        <v>420</v>
      </c>
      <c r="D1978">
        <v>1</v>
      </c>
      <c r="F1978">
        <v>2.97</v>
      </c>
      <c r="H1978">
        <v>150</v>
      </c>
      <c r="J1978">
        <f t="shared" si="104"/>
        <v>0.23566908896633593</v>
      </c>
      <c r="K1978" s="2" t="s">
        <v>2519</v>
      </c>
      <c r="L1978" s="17">
        <v>1E-3</v>
      </c>
      <c r="M1978" s="2" t="s">
        <v>2558</v>
      </c>
      <c r="N1978" s="2" t="s">
        <v>2558</v>
      </c>
      <c r="O1978" t="s">
        <v>2292</v>
      </c>
    </row>
    <row r="1979" spans="1:16" x14ac:dyDescent="0.25">
      <c r="A1979" s="12" t="s">
        <v>1773</v>
      </c>
      <c r="C1979">
        <v>420</v>
      </c>
      <c r="D1979">
        <v>1</v>
      </c>
      <c r="F1979">
        <v>139.13999999999999</v>
      </c>
      <c r="H1979">
        <v>150</v>
      </c>
      <c r="J1979">
        <f t="shared" si="104"/>
        <v>0.99614838817159113</v>
      </c>
      <c r="K1979" s="2" t="s">
        <v>2519</v>
      </c>
      <c r="L1979" s="17">
        <v>1E-3</v>
      </c>
      <c r="M1979" s="2" t="s">
        <v>2558</v>
      </c>
      <c r="N1979" s="2" t="s">
        <v>2558</v>
      </c>
      <c r="O1979" t="s">
        <v>2292</v>
      </c>
    </row>
    <row r="1980" spans="1:16" x14ac:dyDescent="0.25">
      <c r="A1980" s="12" t="s">
        <v>1774</v>
      </c>
      <c r="C1980">
        <v>420</v>
      </c>
      <c r="D1980">
        <v>1</v>
      </c>
      <c r="F1980">
        <v>8.14</v>
      </c>
      <c r="H1980">
        <v>150</v>
      </c>
      <c r="J1980">
        <f t="shared" si="104"/>
        <v>0.55352432016347308</v>
      </c>
      <c r="K1980" s="2" t="s">
        <v>2519</v>
      </c>
      <c r="L1980" s="17">
        <v>1E-3</v>
      </c>
      <c r="M1980" s="2" t="s">
        <v>2558</v>
      </c>
      <c r="N1980" s="2" t="s">
        <v>2558</v>
      </c>
      <c r="O1980" t="s">
        <v>2292</v>
      </c>
    </row>
    <row r="1981" spans="1:16" x14ac:dyDescent="0.25">
      <c r="A1981" s="12" t="s">
        <v>1775</v>
      </c>
      <c r="C1981">
        <v>420</v>
      </c>
      <c r="D1981">
        <v>1</v>
      </c>
      <c r="F1981">
        <v>5.93</v>
      </c>
      <c r="H1981">
        <v>150</v>
      </c>
      <c r="J1981">
        <f t="shared" si="104"/>
        <v>0.43578809400870028</v>
      </c>
      <c r="K1981" s="2" t="s">
        <v>2519</v>
      </c>
      <c r="L1981" s="17">
        <v>1E-3</v>
      </c>
      <c r="M1981" s="2" t="s">
        <v>2558</v>
      </c>
      <c r="N1981" s="2" t="s">
        <v>2558</v>
      </c>
      <c r="O1981" t="s">
        <v>2292</v>
      </c>
    </row>
    <row r="1982" spans="1:16" x14ac:dyDescent="0.25">
      <c r="A1982" s="12" t="s">
        <v>1776</v>
      </c>
      <c r="C1982">
        <v>420</v>
      </c>
      <c r="D1982">
        <v>1</v>
      </c>
      <c r="F1982">
        <v>-3.37</v>
      </c>
      <c r="H1982">
        <v>150</v>
      </c>
      <c r="J1982">
        <f t="shared" si="104"/>
        <v>0.26529931587768335</v>
      </c>
      <c r="K1982" s="2" t="s">
        <v>2520</v>
      </c>
      <c r="L1982" s="17">
        <v>0.01</v>
      </c>
      <c r="M1982" s="2" t="s">
        <v>2558</v>
      </c>
      <c r="N1982" s="2" t="s">
        <v>2558</v>
      </c>
      <c r="O1982" t="s">
        <v>2292</v>
      </c>
    </row>
    <row r="1983" spans="1:16" x14ac:dyDescent="0.25">
      <c r="A1983" s="12" t="s">
        <v>1777</v>
      </c>
      <c r="C1983">
        <v>420</v>
      </c>
      <c r="D1983">
        <v>1</v>
      </c>
      <c r="F1983">
        <v>8.36</v>
      </c>
      <c r="H1983">
        <v>150</v>
      </c>
      <c r="J1983">
        <f t="shared" si="104"/>
        <v>0.56377255843009522</v>
      </c>
      <c r="K1983" s="2" t="s">
        <v>2517</v>
      </c>
      <c r="L1983" s="17">
        <v>1E-3</v>
      </c>
      <c r="M1983" s="2" t="s">
        <v>2558</v>
      </c>
      <c r="N1983" s="2" t="s">
        <v>2558</v>
      </c>
      <c r="O1983" t="s">
        <v>2292</v>
      </c>
    </row>
    <row r="1984" spans="1:16" x14ac:dyDescent="0.25">
      <c r="A1984" s="12" t="s">
        <v>1778</v>
      </c>
      <c r="C1984">
        <v>420</v>
      </c>
      <c r="D1984">
        <v>1</v>
      </c>
      <c r="F1984">
        <v>-3.05</v>
      </c>
      <c r="H1984">
        <v>150</v>
      </c>
      <c r="J1984">
        <f t="shared" si="104"/>
        <v>0.24165097048866047</v>
      </c>
      <c r="K1984" s="2" t="s">
        <v>2520</v>
      </c>
      <c r="L1984" s="17">
        <v>0.01</v>
      </c>
      <c r="M1984" s="2" t="s">
        <v>2558</v>
      </c>
      <c r="N1984" s="2" t="s">
        <v>2558</v>
      </c>
      <c r="O1984" t="s">
        <v>2292</v>
      </c>
    </row>
    <row r="1985" spans="1:15" x14ac:dyDescent="0.25">
      <c r="A1985" s="12" t="s">
        <v>1779</v>
      </c>
      <c r="C1985">
        <v>420</v>
      </c>
      <c r="D1985">
        <v>1</v>
      </c>
      <c r="F1985">
        <v>6.18</v>
      </c>
      <c r="H1985">
        <v>150</v>
      </c>
      <c r="J1985">
        <f t="shared" si="104"/>
        <v>0.45049236477503474</v>
      </c>
      <c r="K1985" s="2" t="s">
        <v>2517</v>
      </c>
      <c r="L1985" s="17">
        <v>1E-3</v>
      </c>
      <c r="M1985" s="2" t="s">
        <v>2558</v>
      </c>
      <c r="N1985" s="2" t="s">
        <v>2558</v>
      </c>
      <c r="O1985" t="s">
        <v>2292</v>
      </c>
    </row>
    <row r="1986" spans="1:15" x14ac:dyDescent="0.25">
      <c r="A1986" s="12" t="s">
        <v>1780</v>
      </c>
      <c r="C1986">
        <v>421</v>
      </c>
      <c r="D1986">
        <v>1</v>
      </c>
      <c r="F1986">
        <v>5.87</v>
      </c>
      <c r="H1986">
        <v>70</v>
      </c>
      <c r="J1986">
        <f t="shared" si="104"/>
        <v>0.5743406227573834</v>
      </c>
      <c r="K1986" s="2">
        <v>1E-3</v>
      </c>
      <c r="L1986" s="17">
        <v>1E-3</v>
      </c>
      <c r="M1986" s="2" t="s">
        <v>2558</v>
      </c>
      <c r="N1986" s="2" t="s">
        <v>2558</v>
      </c>
      <c r="O1986" t="s">
        <v>2264</v>
      </c>
    </row>
    <row r="1987" spans="1:15" x14ac:dyDescent="0.25">
      <c r="A1987" s="12" t="s">
        <v>1781</v>
      </c>
      <c r="C1987">
        <v>421</v>
      </c>
      <c r="D1987">
        <v>1</v>
      </c>
      <c r="G1987">
        <v>6.48</v>
      </c>
      <c r="H1987">
        <v>1</v>
      </c>
      <c r="I1987">
        <v>69</v>
      </c>
      <c r="J1987">
        <f t="shared" si="104"/>
        <v>0.29300265602685538</v>
      </c>
      <c r="K1987" s="2">
        <v>1.2999999999999999E-2</v>
      </c>
      <c r="L1987" s="17">
        <v>1.2999999999999999E-2</v>
      </c>
      <c r="M1987" s="2" t="s">
        <v>2558</v>
      </c>
      <c r="N1987" s="2" t="s">
        <v>2558</v>
      </c>
    </row>
    <row r="1988" spans="1:15" x14ac:dyDescent="0.25">
      <c r="A1988" s="12" t="s">
        <v>1782</v>
      </c>
      <c r="C1988">
        <v>421</v>
      </c>
      <c r="D1988">
        <v>1</v>
      </c>
      <c r="G1988">
        <v>2.4900000000000002</v>
      </c>
      <c r="H1988">
        <v>1</v>
      </c>
      <c r="I1988">
        <v>69</v>
      </c>
      <c r="J1988">
        <f t="shared" si="104"/>
        <v>0.18662809584921061</v>
      </c>
      <c r="K1988" s="2">
        <v>0.11899999999999999</v>
      </c>
      <c r="L1988" s="17">
        <v>0.11899999999999999</v>
      </c>
      <c r="M1988" s="2" t="s">
        <v>2558</v>
      </c>
      <c r="N1988" s="2" t="s">
        <v>2558</v>
      </c>
    </row>
    <row r="1989" spans="1:15" x14ac:dyDescent="0.25">
      <c r="A1989" s="12" t="s">
        <v>1783</v>
      </c>
      <c r="C1989">
        <v>421</v>
      </c>
      <c r="D1989">
        <v>1</v>
      </c>
      <c r="G1989">
        <v>4.97</v>
      </c>
      <c r="H1989">
        <v>1</v>
      </c>
      <c r="I1989">
        <v>69</v>
      </c>
      <c r="J1989">
        <f t="shared" si="104"/>
        <v>0.25920918407447974</v>
      </c>
      <c r="K1989" s="2">
        <v>2.9000000000000001E-2</v>
      </c>
      <c r="L1989" s="17">
        <v>2.9000000000000001E-2</v>
      </c>
      <c r="M1989" s="2" t="s">
        <v>2558</v>
      </c>
      <c r="N1989" s="2" t="s">
        <v>2558</v>
      </c>
    </row>
    <row r="1990" spans="1:15" x14ac:dyDescent="0.25">
      <c r="A1990" s="12" t="s">
        <v>1784</v>
      </c>
      <c r="C1990">
        <v>421</v>
      </c>
      <c r="D1990">
        <v>2</v>
      </c>
      <c r="G1990">
        <v>11.24</v>
      </c>
      <c r="H1990">
        <v>1</v>
      </c>
      <c r="I1990">
        <v>69</v>
      </c>
      <c r="J1990">
        <f t="shared" si="104"/>
        <v>0.37427230824340513</v>
      </c>
      <c r="K1990" s="2">
        <v>1E-3</v>
      </c>
      <c r="L1990" s="17">
        <v>1E-3</v>
      </c>
      <c r="M1990" s="2" t="s">
        <v>2558</v>
      </c>
      <c r="N1990" s="2" t="s">
        <v>2558</v>
      </c>
      <c r="O1990" t="s">
        <v>2293</v>
      </c>
    </row>
    <row r="1991" spans="1:15" x14ac:dyDescent="0.25">
      <c r="A1991" s="12" t="s">
        <v>1785</v>
      </c>
      <c r="C1991">
        <v>421</v>
      </c>
      <c r="D1991">
        <v>1</v>
      </c>
      <c r="G1991">
        <v>0.05</v>
      </c>
      <c r="H1991">
        <v>1</v>
      </c>
      <c r="I1991">
        <v>69</v>
      </c>
      <c r="J1991">
        <f t="shared" si="104"/>
        <v>2.6909347105086238E-2</v>
      </c>
      <c r="K1991" s="2">
        <v>0.88200000000000001</v>
      </c>
      <c r="L1991" s="17">
        <v>0.88200000000000001</v>
      </c>
      <c r="M1991" s="2" t="s">
        <v>2558</v>
      </c>
      <c r="N1991" s="2" t="s">
        <v>2558</v>
      </c>
    </row>
    <row r="1992" spans="1:15" x14ac:dyDescent="0.25">
      <c r="A1992" s="12" t="s">
        <v>1786</v>
      </c>
      <c r="C1992">
        <v>421</v>
      </c>
      <c r="D1992">
        <v>1</v>
      </c>
      <c r="G1992">
        <v>4.03</v>
      </c>
      <c r="H1992">
        <v>1</v>
      </c>
      <c r="I1992">
        <v>69</v>
      </c>
      <c r="J1992">
        <f t="shared" si="104"/>
        <v>0.2349101989875883</v>
      </c>
      <c r="K1992" s="2">
        <v>4.9000000000000002E-2</v>
      </c>
      <c r="L1992" s="17">
        <v>4.9000000000000002E-2</v>
      </c>
      <c r="M1992" s="2" t="s">
        <v>2558</v>
      </c>
      <c r="N1992" s="2" t="s">
        <v>2558</v>
      </c>
    </row>
    <row r="1993" spans="1:15" x14ac:dyDescent="0.25">
      <c r="A1993" s="12" t="s">
        <v>1787</v>
      </c>
      <c r="C1993">
        <v>421</v>
      </c>
      <c r="D1993">
        <v>1</v>
      </c>
      <c r="F1993">
        <v>2.66</v>
      </c>
      <c r="H1993">
        <v>34</v>
      </c>
      <c r="J1993">
        <f t="shared" si="104"/>
        <v>0.41503973646073322</v>
      </c>
      <c r="K1993" s="2">
        <v>1.2E-2</v>
      </c>
      <c r="L1993" s="17">
        <v>1.2E-2</v>
      </c>
      <c r="M1993" s="2" t="s">
        <v>2558</v>
      </c>
      <c r="N1993" s="2" t="s">
        <v>2558</v>
      </c>
    </row>
    <row r="1994" spans="1:15" x14ac:dyDescent="0.25">
      <c r="A1994" s="12" t="s">
        <v>1788</v>
      </c>
      <c r="C1994">
        <v>421</v>
      </c>
      <c r="D1994">
        <v>1</v>
      </c>
      <c r="E1994">
        <v>0</v>
      </c>
      <c r="J1994" t="b">
        <f t="shared" si="104"/>
        <v>0</v>
      </c>
      <c r="K1994" s="2">
        <v>3.9E-2</v>
      </c>
      <c r="L1994" s="17">
        <v>3.9E-2</v>
      </c>
    </row>
    <row r="1995" spans="1:15" x14ac:dyDescent="0.25">
      <c r="A1995" s="12" t="s">
        <v>1789</v>
      </c>
      <c r="C1995">
        <v>422</v>
      </c>
      <c r="D1995">
        <v>1</v>
      </c>
      <c r="F1995">
        <v>1.86</v>
      </c>
      <c r="H1995">
        <v>74</v>
      </c>
      <c r="J1995">
        <f t="shared" si="104"/>
        <v>0.21133689345914311</v>
      </c>
      <c r="K1995" s="2">
        <v>6.6860000000000003E-2</v>
      </c>
      <c r="L1995" s="17">
        <v>6.6860000000000003E-2</v>
      </c>
      <c r="M1995" s="2">
        <v>1</v>
      </c>
      <c r="N1995" s="2">
        <v>0</v>
      </c>
      <c r="O1995" t="s">
        <v>2564</v>
      </c>
    </row>
    <row r="1996" spans="1:15" x14ac:dyDescent="0.25">
      <c r="A1996" s="12" t="s">
        <v>1790</v>
      </c>
      <c r="C1996">
        <v>422</v>
      </c>
      <c r="D1996">
        <v>1</v>
      </c>
      <c r="F1996">
        <v>2.06</v>
      </c>
      <c r="H1996">
        <v>74</v>
      </c>
      <c r="J1996">
        <f t="shared" si="104"/>
        <v>0.23288569255971356</v>
      </c>
      <c r="K1996" s="2">
        <v>4.292E-2</v>
      </c>
      <c r="L1996" s="17">
        <v>4.292E-2</v>
      </c>
      <c r="M1996" s="2">
        <v>1</v>
      </c>
      <c r="N1996" s="2">
        <v>0</v>
      </c>
      <c r="O1996" t="s">
        <v>2564</v>
      </c>
    </row>
    <row r="1997" spans="1:15" x14ac:dyDescent="0.25">
      <c r="A1997" s="12" t="s">
        <v>1791</v>
      </c>
      <c r="C1997">
        <v>422</v>
      </c>
      <c r="D1997">
        <v>1</v>
      </c>
      <c r="F1997">
        <v>0.5</v>
      </c>
      <c r="H1997">
        <v>69</v>
      </c>
      <c r="J1997">
        <f t="shared" si="104"/>
        <v>6.0084176812610968E-2</v>
      </c>
      <c r="K1997" s="2">
        <v>0.5</v>
      </c>
      <c r="L1997" s="17">
        <v>0.5</v>
      </c>
      <c r="M1997" s="2">
        <v>0</v>
      </c>
      <c r="N1997" s="2">
        <f t="shared" ref="N1997:N2060" si="105">IF(M1997=0, 0)</f>
        <v>0</v>
      </c>
    </row>
    <row r="1998" spans="1:15" x14ac:dyDescent="0.25">
      <c r="A1998" s="12" t="s">
        <v>1792</v>
      </c>
      <c r="C1998">
        <v>422</v>
      </c>
      <c r="D1998">
        <v>1</v>
      </c>
      <c r="F1998">
        <v>5.0599999999999996</v>
      </c>
      <c r="H1998">
        <v>74</v>
      </c>
      <c r="J1998">
        <f t="shared" si="104"/>
        <v>0.50700588348141207</v>
      </c>
      <c r="K1998" s="2" t="s">
        <v>2516</v>
      </c>
      <c r="L1998" s="17">
        <v>1E-3</v>
      </c>
      <c r="M1998" s="2">
        <v>0</v>
      </c>
      <c r="N1998" s="2">
        <f t="shared" si="105"/>
        <v>0</v>
      </c>
    </row>
    <row r="1999" spans="1:15" x14ac:dyDescent="0.25">
      <c r="A1999" s="12" t="s">
        <v>1793</v>
      </c>
      <c r="C1999">
        <v>422</v>
      </c>
      <c r="D1999">
        <v>1</v>
      </c>
      <c r="F1999">
        <v>6</v>
      </c>
      <c r="H1999">
        <v>74</v>
      </c>
      <c r="J1999">
        <f t="shared" si="104"/>
        <v>0.57207755354735546</v>
      </c>
      <c r="K1999" s="2" t="s">
        <v>2516</v>
      </c>
      <c r="L1999" s="17">
        <v>1E-3</v>
      </c>
      <c r="M1999" s="2">
        <v>0</v>
      </c>
      <c r="N1999" s="2">
        <f t="shared" si="105"/>
        <v>0</v>
      </c>
    </row>
    <row r="2000" spans="1:15" x14ac:dyDescent="0.25">
      <c r="A2000" s="12" t="s">
        <v>1794</v>
      </c>
      <c r="C2000">
        <v>422</v>
      </c>
      <c r="D2000">
        <v>1</v>
      </c>
      <c r="F2000">
        <v>0.48</v>
      </c>
      <c r="H2000">
        <v>72</v>
      </c>
      <c r="J2000">
        <f t="shared" si="104"/>
        <v>5.6478249472490499E-2</v>
      </c>
      <c r="K2000" s="13"/>
      <c r="L2000" s="20"/>
      <c r="M2000" s="2" t="s">
        <v>2558</v>
      </c>
      <c r="N2000" s="2" t="s">
        <v>2558</v>
      </c>
      <c r="O2000" t="s">
        <v>2157</v>
      </c>
    </row>
    <row r="2001" spans="1:15" x14ac:dyDescent="0.25">
      <c r="A2001" s="12" t="s">
        <v>1795</v>
      </c>
      <c r="C2001">
        <v>422</v>
      </c>
      <c r="D2001">
        <v>1</v>
      </c>
      <c r="F2001">
        <v>2.13</v>
      </c>
      <c r="H2001">
        <v>76</v>
      </c>
      <c r="J2001">
        <f t="shared" si="104"/>
        <v>0.2373461268262467</v>
      </c>
      <c r="K2001" s="13">
        <v>3.6409999999999998E-2</v>
      </c>
      <c r="L2001" s="20">
        <v>3.6409999999999998E-2</v>
      </c>
      <c r="M2001" s="2">
        <v>0</v>
      </c>
      <c r="N2001" s="2">
        <f t="shared" si="105"/>
        <v>0</v>
      </c>
    </row>
    <row r="2002" spans="1:15" x14ac:dyDescent="0.25">
      <c r="A2002" s="12" t="s">
        <v>1796</v>
      </c>
      <c r="C2002">
        <v>422</v>
      </c>
      <c r="D2002">
        <v>1</v>
      </c>
      <c r="F2002">
        <v>0.96</v>
      </c>
      <c r="H2002">
        <v>76</v>
      </c>
      <c r="J2002">
        <f t="shared" si="104"/>
        <v>0.10945789161032057</v>
      </c>
      <c r="K2002" s="13">
        <v>0.34010000000000001</v>
      </c>
      <c r="L2002" s="20">
        <v>0.34010000000000001</v>
      </c>
      <c r="M2002" s="2">
        <v>0</v>
      </c>
      <c r="N2002" s="2">
        <f t="shared" si="105"/>
        <v>0</v>
      </c>
    </row>
    <row r="2003" spans="1:15" x14ac:dyDescent="0.25">
      <c r="A2003" s="12" t="s">
        <v>1797</v>
      </c>
      <c r="C2003">
        <v>422</v>
      </c>
      <c r="D2003">
        <v>1</v>
      </c>
      <c r="F2003">
        <v>1.24</v>
      </c>
      <c r="H2003">
        <v>72</v>
      </c>
      <c r="J2003">
        <f t="shared" si="104"/>
        <v>0.14459955591302603</v>
      </c>
      <c r="K2003" s="13" t="s">
        <v>2555</v>
      </c>
      <c r="L2003" s="20">
        <v>0.219</v>
      </c>
      <c r="M2003" s="2">
        <v>0</v>
      </c>
      <c r="N2003" s="2">
        <f t="shared" si="105"/>
        <v>0</v>
      </c>
    </row>
    <row r="2004" spans="1:15" x14ac:dyDescent="0.25">
      <c r="A2004" s="12" t="s">
        <v>1798</v>
      </c>
      <c r="C2004">
        <v>422</v>
      </c>
      <c r="D2004">
        <v>1</v>
      </c>
      <c r="F2004">
        <v>0.3</v>
      </c>
      <c r="H2004">
        <v>67</v>
      </c>
      <c r="J2004">
        <f t="shared" si="104"/>
        <v>3.6626241847772058E-2</v>
      </c>
      <c r="K2004" s="13"/>
      <c r="L2004" s="20"/>
      <c r="M2004" s="2" t="s">
        <v>2558</v>
      </c>
      <c r="N2004" s="2" t="s">
        <v>2558</v>
      </c>
      <c r="O2004" t="s">
        <v>2157</v>
      </c>
    </row>
    <row r="2005" spans="1:15" x14ac:dyDescent="0.25">
      <c r="A2005" s="12" t="s">
        <v>1799</v>
      </c>
      <c r="C2005">
        <v>422</v>
      </c>
      <c r="D2005">
        <v>1</v>
      </c>
      <c r="F2005">
        <v>0.84</v>
      </c>
      <c r="H2005">
        <v>72</v>
      </c>
      <c r="J2005">
        <f t="shared" si="104"/>
        <v>9.8513410548174779E-2</v>
      </c>
      <c r="K2005" s="13"/>
      <c r="L2005" s="20"/>
      <c r="M2005" s="2" t="s">
        <v>2558</v>
      </c>
      <c r="N2005" s="2" t="s">
        <v>2558</v>
      </c>
      <c r="O2005" t="s">
        <v>2157</v>
      </c>
    </row>
    <row r="2006" spans="1:15" x14ac:dyDescent="0.25">
      <c r="A2006" s="12" t="s">
        <v>1800</v>
      </c>
      <c r="C2006">
        <v>422</v>
      </c>
      <c r="D2006">
        <v>1</v>
      </c>
      <c r="F2006">
        <v>9.4</v>
      </c>
      <c r="H2006">
        <v>72</v>
      </c>
      <c r="J2006">
        <f t="shared" si="104"/>
        <v>0.74230063113894373</v>
      </c>
      <c r="K2006" s="2" t="s">
        <v>2519</v>
      </c>
      <c r="L2006" s="17">
        <v>1E-3</v>
      </c>
      <c r="M2006" s="2">
        <v>0</v>
      </c>
      <c r="N2006" s="2">
        <f t="shared" si="105"/>
        <v>0</v>
      </c>
    </row>
    <row r="2007" spans="1:15" x14ac:dyDescent="0.25">
      <c r="A2007" s="12" t="s">
        <v>1801</v>
      </c>
      <c r="C2007">
        <v>422</v>
      </c>
      <c r="D2007">
        <v>1</v>
      </c>
      <c r="F2007">
        <v>1.99</v>
      </c>
      <c r="H2007">
        <v>76</v>
      </c>
      <c r="J2007">
        <f t="shared" si="104"/>
        <v>0.2225442676594821</v>
      </c>
      <c r="K2007" s="2">
        <v>5.0189999999999999E-2</v>
      </c>
      <c r="L2007" s="17">
        <v>5.0189999999999999E-2</v>
      </c>
      <c r="M2007" s="2">
        <v>0</v>
      </c>
      <c r="N2007" s="2">
        <v>0</v>
      </c>
    </row>
    <row r="2008" spans="1:15" x14ac:dyDescent="0.25">
      <c r="A2008" s="12" t="s">
        <v>1802</v>
      </c>
      <c r="C2008">
        <v>422</v>
      </c>
      <c r="D2008">
        <v>1</v>
      </c>
      <c r="F2008">
        <v>6.9</v>
      </c>
      <c r="H2008">
        <v>72</v>
      </c>
      <c r="J2008">
        <f t="shared" ref="J2008:J2039" si="106">IF(NOT(ISBLANK(F2008)),SQRT((F2008^2*1/H2008)/(F2008^2*1/H2008+1)),IF(NOT(ISBLANK(G2008)),SQRT((G2008*H2008/I2008)/(G2008*H2008/I2008+1)*SQRT(1/H2008))))</f>
        <v>0.6309069993556633</v>
      </c>
      <c r="K2008" s="2" t="s">
        <v>2519</v>
      </c>
      <c r="L2008" s="17">
        <v>1E-3</v>
      </c>
      <c r="M2008" s="2">
        <v>0</v>
      </c>
      <c r="N2008" s="2">
        <f t="shared" si="105"/>
        <v>0</v>
      </c>
    </row>
    <row r="2009" spans="1:15" x14ac:dyDescent="0.25">
      <c r="A2009" s="12" t="s">
        <v>1803</v>
      </c>
      <c r="C2009">
        <v>422</v>
      </c>
      <c r="D2009">
        <v>1</v>
      </c>
      <c r="F2009">
        <v>1.78</v>
      </c>
      <c r="H2009">
        <v>76</v>
      </c>
      <c r="J2009">
        <f t="shared" si="106"/>
        <v>0.20005253931698586</v>
      </c>
      <c r="K2009" s="2">
        <v>7.9070000000000001E-2</v>
      </c>
      <c r="L2009" s="17">
        <v>7.9070000000000001E-2</v>
      </c>
      <c r="M2009" s="2">
        <v>0</v>
      </c>
      <c r="N2009" s="2">
        <v>0</v>
      </c>
    </row>
    <row r="2010" spans="1:15" x14ac:dyDescent="0.25">
      <c r="A2010" s="12" t="s">
        <v>1804</v>
      </c>
      <c r="C2010">
        <v>425</v>
      </c>
      <c r="D2010">
        <v>1</v>
      </c>
      <c r="F2010">
        <v>12.33</v>
      </c>
      <c r="H2010">
        <v>27</v>
      </c>
      <c r="J2010">
        <f t="shared" si="106"/>
        <v>0.9215130820636438</v>
      </c>
      <c r="K2010" s="2" t="s">
        <v>2548</v>
      </c>
      <c r="L2010" s="17">
        <v>1E-4</v>
      </c>
      <c r="M2010" s="2" t="s">
        <v>2558</v>
      </c>
      <c r="N2010" s="2" t="s">
        <v>2558</v>
      </c>
      <c r="O2010" t="s">
        <v>2264</v>
      </c>
    </row>
    <row r="2011" spans="1:15" x14ac:dyDescent="0.25">
      <c r="A2011" s="12" t="s">
        <v>1805</v>
      </c>
      <c r="C2011">
        <v>425</v>
      </c>
      <c r="D2011">
        <v>1</v>
      </c>
      <c r="F2011">
        <v>15.66</v>
      </c>
      <c r="H2011">
        <v>27</v>
      </c>
      <c r="J2011">
        <f t="shared" si="106"/>
        <v>0.94911601001152102</v>
      </c>
      <c r="K2011" s="2" t="s">
        <v>2547</v>
      </c>
      <c r="L2011" s="17">
        <v>1E-4</v>
      </c>
      <c r="M2011" s="2" t="s">
        <v>2558</v>
      </c>
      <c r="N2011" s="2" t="s">
        <v>2558</v>
      </c>
    </row>
    <row r="2012" spans="1:15" x14ac:dyDescent="0.25">
      <c r="A2012" s="12" t="s">
        <v>1806</v>
      </c>
      <c r="C2012">
        <v>425</v>
      </c>
      <c r="D2012">
        <v>1</v>
      </c>
      <c r="F2012">
        <v>-1.6</v>
      </c>
      <c r="H2012">
        <v>27</v>
      </c>
      <c r="J2012">
        <f t="shared" si="106"/>
        <v>0.29428475711108393</v>
      </c>
      <c r="K2012" s="2">
        <v>0.121</v>
      </c>
      <c r="L2012" s="17">
        <v>0.121</v>
      </c>
      <c r="M2012" s="2" t="s">
        <v>2558</v>
      </c>
      <c r="N2012" s="2" t="s">
        <v>2558</v>
      </c>
    </row>
    <row r="2013" spans="1:15" x14ac:dyDescent="0.25">
      <c r="A2013" s="12" t="s">
        <v>1807</v>
      </c>
      <c r="C2013">
        <v>425</v>
      </c>
      <c r="D2013">
        <v>1</v>
      </c>
      <c r="F2013">
        <v>42.7</v>
      </c>
      <c r="H2013">
        <v>27</v>
      </c>
      <c r="J2013">
        <f t="shared" si="106"/>
        <v>0.99267703350493008</v>
      </c>
      <c r="K2013" s="2" t="s">
        <v>2548</v>
      </c>
      <c r="L2013" s="17">
        <v>1E-4</v>
      </c>
      <c r="M2013" s="2" t="s">
        <v>2558</v>
      </c>
      <c r="N2013" s="2" t="s">
        <v>2558</v>
      </c>
    </row>
    <row r="2014" spans="1:15" x14ac:dyDescent="0.25">
      <c r="A2014" s="12" t="s">
        <v>1808</v>
      </c>
      <c r="C2014">
        <v>425</v>
      </c>
      <c r="D2014">
        <v>1</v>
      </c>
      <c r="F2014">
        <v>17.78</v>
      </c>
      <c r="H2014">
        <v>27</v>
      </c>
      <c r="J2014">
        <f t="shared" si="106"/>
        <v>0.95985012117560498</v>
      </c>
      <c r="K2014" s="2" t="s">
        <v>2547</v>
      </c>
      <c r="L2014" s="17">
        <v>1E-4</v>
      </c>
      <c r="M2014" s="2" t="s">
        <v>2558</v>
      </c>
      <c r="N2014" s="2" t="s">
        <v>2558</v>
      </c>
    </row>
    <row r="2015" spans="1:15" x14ac:dyDescent="0.25">
      <c r="A2015" s="12" t="s">
        <v>1809</v>
      </c>
      <c r="C2015">
        <v>425</v>
      </c>
      <c r="D2015">
        <v>1</v>
      </c>
      <c r="F2015">
        <v>4.8600000000000003</v>
      </c>
      <c r="H2015">
        <v>27</v>
      </c>
      <c r="J2015">
        <f t="shared" si="106"/>
        <v>0.68308840694962925</v>
      </c>
      <c r="K2015" s="2" t="s">
        <v>2548</v>
      </c>
      <c r="L2015" s="17">
        <v>1E-4</v>
      </c>
      <c r="M2015" s="2" t="s">
        <v>2558</v>
      </c>
      <c r="N2015" s="2" t="s">
        <v>2558</v>
      </c>
    </row>
    <row r="2016" spans="1:15" x14ac:dyDescent="0.25">
      <c r="A2016" s="12" t="s">
        <v>1810</v>
      </c>
      <c r="C2016">
        <v>425</v>
      </c>
      <c r="D2016">
        <v>1</v>
      </c>
      <c r="F2016">
        <v>2.99</v>
      </c>
      <c r="H2016">
        <v>27</v>
      </c>
      <c r="J2016">
        <f t="shared" si="106"/>
        <v>0.49874843706823713</v>
      </c>
      <c r="K2016" s="2">
        <v>6.0000000000000001E-3</v>
      </c>
      <c r="L2016" s="17">
        <v>6.0000000000000001E-3</v>
      </c>
      <c r="M2016" s="2" t="s">
        <v>2558</v>
      </c>
      <c r="N2016" s="2" t="s">
        <v>2558</v>
      </c>
    </row>
    <row r="2017" spans="1:14" x14ac:dyDescent="0.25">
      <c r="A2017" s="12" t="s">
        <v>1811</v>
      </c>
      <c r="C2017">
        <v>425</v>
      </c>
      <c r="D2017">
        <v>1</v>
      </c>
      <c r="F2017">
        <v>5.27</v>
      </c>
      <c r="H2017">
        <v>27</v>
      </c>
      <c r="J2017">
        <f t="shared" si="106"/>
        <v>0.71207829374479659</v>
      </c>
      <c r="K2017" s="2" t="s">
        <v>2548</v>
      </c>
      <c r="L2017" s="17">
        <v>1E-4</v>
      </c>
      <c r="M2017" s="2" t="s">
        <v>2558</v>
      </c>
      <c r="N2017" s="2" t="s">
        <v>2558</v>
      </c>
    </row>
    <row r="2018" spans="1:14" x14ac:dyDescent="0.25">
      <c r="A2018" s="12" t="s">
        <v>1812</v>
      </c>
      <c r="C2018">
        <v>425</v>
      </c>
      <c r="D2018">
        <v>1</v>
      </c>
      <c r="F2018">
        <v>2.87</v>
      </c>
      <c r="H2018">
        <v>27</v>
      </c>
      <c r="J2018">
        <f t="shared" si="106"/>
        <v>0.48348505010653148</v>
      </c>
      <c r="K2018" s="2">
        <v>8.0000000000000002E-3</v>
      </c>
      <c r="L2018" s="17">
        <v>8.0000000000000002E-3</v>
      </c>
      <c r="M2018" s="2" t="s">
        <v>2558</v>
      </c>
      <c r="N2018" s="2" t="s">
        <v>2558</v>
      </c>
    </row>
    <row r="2019" spans="1:14" x14ac:dyDescent="0.25">
      <c r="A2019" s="12" t="s">
        <v>1813</v>
      </c>
      <c r="C2019">
        <v>429</v>
      </c>
      <c r="D2019">
        <v>1</v>
      </c>
      <c r="G2019">
        <v>0.01</v>
      </c>
      <c r="H2019">
        <v>2</v>
      </c>
      <c r="I2019">
        <v>148</v>
      </c>
      <c r="J2019">
        <f t="shared" si="106"/>
        <v>9.7745618490812335E-3</v>
      </c>
      <c r="K2019" s="2">
        <v>0.99</v>
      </c>
      <c r="L2019" s="17">
        <v>0.99</v>
      </c>
      <c r="M2019" s="2">
        <v>0</v>
      </c>
      <c r="N2019" s="2">
        <f t="shared" si="105"/>
        <v>0</v>
      </c>
    </row>
    <row r="2020" spans="1:14" x14ac:dyDescent="0.25">
      <c r="A2020" s="12" t="s">
        <v>1814</v>
      </c>
      <c r="C2020">
        <v>429</v>
      </c>
      <c r="D2020">
        <v>1</v>
      </c>
      <c r="G2020">
        <v>1.2</v>
      </c>
      <c r="H2020">
        <v>2</v>
      </c>
      <c r="I2020">
        <v>145</v>
      </c>
      <c r="J2020">
        <f t="shared" si="106"/>
        <v>0.10729991555545147</v>
      </c>
      <c r="K2020" s="2">
        <v>0.30399999999999999</v>
      </c>
      <c r="L2020" s="17">
        <v>0.30399999999999999</v>
      </c>
      <c r="M2020" s="2">
        <v>0</v>
      </c>
      <c r="N2020" s="2">
        <f t="shared" si="105"/>
        <v>0</v>
      </c>
    </row>
    <row r="2021" spans="1:14" x14ac:dyDescent="0.25">
      <c r="A2021" s="12" t="s">
        <v>1815</v>
      </c>
      <c r="C2021">
        <v>429</v>
      </c>
      <c r="D2021">
        <v>1</v>
      </c>
      <c r="G2021">
        <v>0.19</v>
      </c>
      <c r="H2021">
        <v>2</v>
      </c>
      <c r="I2021">
        <v>148</v>
      </c>
      <c r="J2021">
        <f t="shared" si="106"/>
        <v>4.2554610129969569E-2</v>
      </c>
      <c r="K2021" s="2">
        <v>0.82699999999999996</v>
      </c>
      <c r="L2021" s="17">
        <v>0.82699999999999996</v>
      </c>
      <c r="M2021" s="2">
        <v>0</v>
      </c>
      <c r="N2021" s="2">
        <f t="shared" si="105"/>
        <v>0</v>
      </c>
    </row>
    <row r="2022" spans="1:14" x14ac:dyDescent="0.25">
      <c r="A2022" s="12" t="s">
        <v>1816</v>
      </c>
      <c r="C2022">
        <v>429</v>
      </c>
      <c r="D2022">
        <v>1</v>
      </c>
      <c r="G2022">
        <v>0.31</v>
      </c>
      <c r="H2022">
        <v>2</v>
      </c>
      <c r="I2022">
        <v>148</v>
      </c>
      <c r="J2022">
        <f t="shared" si="106"/>
        <v>5.4312490439935142E-2</v>
      </c>
      <c r="K2022" s="2">
        <v>0.73399999999999999</v>
      </c>
      <c r="L2022" s="17">
        <v>0.73399999999999999</v>
      </c>
      <c r="M2022" s="2">
        <v>0</v>
      </c>
      <c r="N2022" s="2">
        <f t="shared" si="105"/>
        <v>0</v>
      </c>
    </row>
    <row r="2023" spans="1:14" x14ac:dyDescent="0.25">
      <c r="A2023" s="12" t="s">
        <v>1817</v>
      </c>
      <c r="C2023">
        <v>429</v>
      </c>
      <c r="D2023">
        <v>1</v>
      </c>
      <c r="G2023">
        <v>8.3699999999999992</v>
      </c>
      <c r="H2023">
        <v>2</v>
      </c>
      <c r="I2023">
        <v>148</v>
      </c>
      <c r="J2023">
        <f t="shared" si="106"/>
        <v>0.26805301540327603</v>
      </c>
      <c r="K2023" s="2" t="s">
        <v>2517</v>
      </c>
      <c r="L2023" s="17">
        <v>1E-3</v>
      </c>
      <c r="M2023" s="2">
        <v>0</v>
      </c>
      <c r="N2023" s="2">
        <f t="shared" si="105"/>
        <v>0</v>
      </c>
    </row>
    <row r="2024" spans="1:14" x14ac:dyDescent="0.25">
      <c r="A2024" s="12" t="s">
        <v>1818</v>
      </c>
      <c r="C2024">
        <v>429</v>
      </c>
      <c r="D2024">
        <v>1</v>
      </c>
      <c r="G2024">
        <v>4.2</v>
      </c>
      <c r="H2024">
        <v>2</v>
      </c>
      <c r="I2024">
        <v>148</v>
      </c>
      <c r="J2024">
        <f t="shared" si="106"/>
        <v>0.19487842892073132</v>
      </c>
      <c r="K2024" s="2">
        <v>1.7000000000000001E-2</v>
      </c>
      <c r="L2024" s="17">
        <v>1.7000000000000001E-2</v>
      </c>
      <c r="M2024" s="2">
        <v>0</v>
      </c>
      <c r="N2024" s="2">
        <f t="shared" si="105"/>
        <v>0</v>
      </c>
    </row>
    <row r="2025" spans="1:14" x14ac:dyDescent="0.25">
      <c r="A2025" s="12" t="s">
        <v>1819</v>
      </c>
      <c r="C2025">
        <v>429</v>
      </c>
      <c r="D2025">
        <v>1</v>
      </c>
      <c r="G2025">
        <v>0.08</v>
      </c>
      <c r="H2025">
        <v>2</v>
      </c>
      <c r="I2025">
        <v>148</v>
      </c>
      <c r="J2025">
        <f t="shared" si="106"/>
        <v>2.7633570788855862E-2</v>
      </c>
      <c r="K2025" s="2">
        <v>0.77300000000000002</v>
      </c>
      <c r="L2025" s="17">
        <v>0.77300000000000002</v>
      </c>
      <c r="M2025" s="2">
        <v>0</v>
      </c>
      <c r="N2025" s="2">
        <f t="shared" si="105"/>
        <v>0</v>
      </c>
    </row>
    <row r="2026" spans="1:14" x14ac:dyDescent="0.25">
      <c r="A2026" s="12" t="s">
        <v>1820</v>
      </c>
      <c r="C2026">
        <v>429</v>
      </c>
      <c r="D2026">
        <v>1</v>
      </c>
      <c r="G2026">
        <v>5.74</v>
      </c>
      <c r="H2026">
        <v>2</v>
      </c>
      <c r="I2026">
        <v>148</v>
      </c>
      <c r="J2026">
        <f t="shared" si="106"/>
        <v>0.22561103175042022</v>
      </c>
      <c r="K2026" s="2">
        <v>4.0000000000000001E-3</v>
      </c>
      <c r="L2026" s="17">
        <v>4.0000000000000001E-3</v>
      </c>
      <c r="M2026" s="2">
        <v>0</v>
      </c>
      <c r="N2026" s="2">
        <f t="shared" si="105"/>
        <v>0</v>
      </c>
    </row>
    <row r="2027" spans="1:14" x14ac:dyDescent="0.25">
      <c r="A2027" s="12" t="s">
        <v>1821</v>
      </c>
      <c r="C2027">
        <v>429</v>
      </c>
      <c r="D2027">
        <v>1</v>
      </c>
      <c r="G2027">
        <v>0.85</v>
      </c>
      <c r="H2027">
        <v>2</v>
      </c>
      <c r="I2027">
        <v>148</v>
      </c>
      <c r="J2027">
        <f t="shared" si="106"/>
        <v>8.9609914222151449E-2</v>
      </c>
      <c r="K2027" s="2">
        <v>0.42899999999999999</v>
      </c>
      <c r="L2027" s="17">
        <v>0.42899999999999999</v>
      </c>
      <c r="M2027" s="2">
        <v>0</v>
      </c>
      <c r="N2027" s="2">
        <f t="shared" si="105"/>
        <v>0</v>
      </c>
    </row>
    <row r="2028" spans="1:14" x14ac:dyDescent="0.25">
      <c r="A2028" s="12" t="s">
        <v>1822</v>
      </c>
      <c r="C2028">
        <v>429</v>
      </c>
      <c r="D2028">
        <v>1</v>
      </c>
      <c r="G2028">
        <v>1.46</v>
      </c>
      <c r="H2028">
        <v>1</v>
      </c>
      <c r="I2028">
        <v>148</v>
      </c>
      <c r="J2028">
        <f t="shared" si="106"/>
        <v>9.883572194855697E-2</v>
      </c>
      <c r="K2028" s="2">
        <v>0.23</v>
      </c>
      <c r="L2028" s="17">
        <v>0.23</v>
      </c>
      <c r="M2028" s="2">
        <v>0</v>
      </c>
      <c r="N2028" s="2">
        <f t="shared" si="105"/>
        <v>0</v>
      </c>
    </row>
    <row r="2029" spans="1:14" x14ac:dyDescent="0.25">
      <c r="A2029" s="12" t="s">
        <v>1823</v>
      </c>
      <c r="C2029">
        <v>429</v>
      </c>
      <c r="D2029">
        <v>1</v>
      </c>
      <c r="G2029">
        <v>5.32</v>
      </c>
      <c r="H2029">
        <v>2</v>
      </c>
      <c r="I2029">
        <v>79</v>
      </c>
      <c r="J2029">
        <f t="shared" si="106"/>
        <v>0.28970926955092619</v>
      </c>
      <c r="K2029" s="2">
        <v>7.0000000000000001E-3</v>
      </c>
      <c r="L2029" s="17">
        <v>7.0000000000000001E-3</v>
      </c>
      <c r="M2029" s="2">
        <v>0</v>
      </c>
      <c r="N2029" s="2">
        <f t="shared" si="105"/>
        <v>0</v>
      </c>
    </row>
    <row r="2030" spans="1:14" x14ac:dyDescent="0.25">
      <c r="A2030" s="12" t="s">
        <v>1824</v>
      </c>
      <c r="C2030">
        <v>429</v>
      </c>
      <c r="D2030">
        <v>1</v>
      </c>
      <c r="G2030">
        <v>2.04</v>
      </c>
      <c r="H2030">
        <v>2</v>
      </c>
      <c r="I2030">
        <v>79</v>
      </c>
      <c r="J2030">
        <f t="shared" si="106"/>
        <v>0.18634782952355661</v>
      </c>
      <c r="K2030" s="2">
        <v>0.13700000000000001</v>
      </c>
      <c r="L2030" s="17">
        <v>0.13700000000000001</v>
      </c>
      <c r="M2030" s="2">
        <v>0</v>
      </c>
      <c r="N2030" s="2">
        <f t="shared" si="105"/>
        <v>0</v>
      </c>
    </row>
    <row r="2031" spans="1:14" x14ac:dyDescent="0.25">
      <c r="A2031" s="12" t="s">
        <v>1825</v>
      </c>
      <c r="C2031">
        <v>429</v>
      </c>
      <c r="D2031">
        <v>1</v>
      </c>
      <c r="G2031">
        <v>0.78</v>
      </c>
      <c r="H2031">
        <v>1</v>
      </c>
      <c r="I2031">
        <v>79</v>
      </c>
      <c r="J2031">
        <f t="shared" si="106"/>
        <v>9.8878139331723305E-2</v>
      </c>
      <c r="K2031" s="2">
        <v>0.38</v>
      </c>
      <c r="L2031" s="17">
        <v>0.38</v>
      </c>
      <c r="M2031" s="2">
        <v>0</v>
      </c>
      <c r="N2031" s="2">
        <f t="shared" si="105"/>
        <v>0</v>
      </c>
    </row>
    <row r="2032" spans="1:14" x14ac:dyDescent="0.25">
      <c r="A2032" s="12" t="s">
        <v>1826</v>
      </c>
      <c r="C2032">
        <v>429</v>
      </c>
      <c r="D2032">
        <v>1</v>
      </c>
      <c r="G2032">
        <v>3.73</v>
      </c>
      <c r="H2032">
        <v>2</v>
      </c>
      <c r="I2032">
        <v>79</v>
      </c>
      <c r="J2032">
        <f t="shared" si="106"/>
        <v>0.247004177966794</v>
      </c>
      <c r="K2032" s="2">
        <v>2.8000000000000001E-2</v>
      </c>
      <c r="L2032" s="17">
        <v>2.8000000000000001E-2</v>
      </c>
      <c r="M2032" s="2">
        <v>0</v>
      </c>
      <c r="N2032" s="2">
        <f t="shared" si="105"/>
        <v>0</v>
      </c>
    </row>
    <row r="2033" spans="1:16" x14ac:dyDescent="0.25">
      <c r="A2033" s="12" t="s">
        <v>1827</v>
      </c>
      <c r="C2033">
        <v>429</v>
      </c>
      <c r="D2033">
        <v>1</v>
      </c>
      <c r="G2033">
        <v>0.04</v>
      </c>
      <c r="H2033">
        <v>2</v>
      </c>
      <c r="I2033">
        <v>79</v>
      </c>
      <c r="J2033">
        <f t="shared" si="106"/>
        <v>2.674571202967406E-2</v>
      </c>
      <c r="K2033" s="2">
        <v>0.98499999999999999</v>
      </c>
      <c r="L2033" s="17">
        <v>0.98499999999999999</v>
      </c>
      <c r="M2033" s="2">
        <v>0</v>
      </c>
      <c r="N2033" s="2">
        <f t="shared" si="105"/>
        <v>0</v>
      </c>
    </row>
    <row r="2034" spans="1:16" x14ac:dyDescent="0.25">
      <c r="A2034" s="12" t="s">
        <v>1828</v>
      </c>
      <c r="C2034">
        <v>429</v>
      </c>
      <c r="D2034">
        <v>1</v>
      </c>
      <c r="G2034">
        <v>5.38</v>
      </c>
      <c r="H2034">
        <v>1</v>
      </c>
      <c r="I2034">
        <v>79</v>
      </c>
      <c r="J2034">
        <f t="shared" si="106"/>
        <v>0.25250581110324999</v>
      </c>
      <c r="K2034" s="2">
        <v>2.3E-2</v>
      </c>
      <c r="L2034" s="17">
        <v>2.3E-2</v>
      </c>
      <c r="M2034" s="2">
        <v>0</v>
      </c>
      <c r="N2034" s="2">
        <f t="shared" si="105"/>
        <v>0</v>
      </c>
    </row>
    <row r="2035" spans="1:16" x14ac:dyDescent="0.25">
      <c r="A2035" s="12" t="s">
        <v>1829</v>
      </c>
      <c r="C2035">
        <v>431</v>
      </c>
      <c r="D2035">
        <v>1</v>
      </c>
      <c r="G2035">
        <v>25.46</v>
      </c>
      <c r="H2035">
        <v>1</v>
      </c>
      <c r="I2035">
        <v>150</v>
      </c>
      <c r="J2035">
        <f t="shared" si="106"/>
        <v>0.38092557970781166</v>
      </c>
      <c r="K2035" s="2" t="s">
        <v>2519</v>
      </c>
      <c r="L2035" s="17">
        <v>1E-3</v>
      </c>
      <c r="M2035" s="2">
        <v>0</v>
      </c>
      <c r="N2035" s="2">
        <f t="shared" si="105"/>
        <v>0</v>
      </c>
    </row>
    <row r="2036" spans="1:16" x14ac:dyDescent="0.25">
      <c r="A2036" s="12" t="s">
        <v>1830</v>
      </c>
      <c r="C2036">
        <v>431</v>
      </c>
      <c r="D2036">
        <v>1</v>
      </c>
      <c r="E2036">
        <v>0</v>
      </c>
      <c r="J2036" t="b">
        <f t="shared" si="106"/>
        <v>0</v>
      </c>
      <c r="K2036" s="2" t="s">
        <v>2517</v>
      </c>
      <c r="L2036" s="17">
        <v>1E-3</v>
      </c>
      <c r="N2036" s="2">
        <f t="shared" si="105"/>
        <v>0</v>
      </c>
    </row>
    <row r="2037" spans="1:16" x14ac:dyDescent="0.25">
      <c r="A2037" s="12" t="s">
        <v>1831</v>
      </c>
      <c r="C2037">
        <v>431</v>
      </c>
      <c r="D2037">
        <v>1</v>
      </c>
      <c r="E2037">
        <v>0</v>
      </c>
      <c r="J2037" t="b">
        <f t="shared" si="106"/>
        <v>0</v>
      </c>
      <c r="N2037" s="2">
        <f t="shared" si="105"/>
        <v>0</v>
      </c>
      <c r="O2037" t="s">
        <v>2157</v>
      </c>
    </row>
    <row r="2038" spans="1:16" x14ac:dyDescent="0.25">
      <c r="A2038" s="12" t="s">
        <v>1832</v>
      </c>
      <c r="C2038">
        <v>431</v>
      </c>
      <c r="D2038">
        <v>1</v>
      </c>
      <c r="E2038">
        <v>0</v>
      </c>
      <c r="J2038" t="b">
        <f t="shared" si="106"/>
        <v>0</v>
      </c>
      <c r="N2038" s="2">
        <f t="shared" si="105"/>
        <v>0</v>
      </c>
      <c r="O2038" t="s">
        <v>2157</v>
      </c>
    </row>
    <row r="2039" spans="1:16" x14ac:dyDescent="0.25">
      <c r="A2039" s="12" t="s">
        <v>1833</v>
      </c>
      <c r="C2039">
        <v>431</v>
      </c>
      <c r="D2039">
        <v>1</v>
      </c>
      <c r="E2039">
        <v>0</v>
      </c>
      <c r="J2039" t="b">
        <f t="shared" si="106"/>
        <v>0</v>
      </c>
      <c r="N2039" s="2">
        <f t="shared" si="105"/>
        <v>0</v>
      </c>
      <c r="O2039" t="s">
        <v>2157</v>
      </c>
    </row>
    <row r="2040" spans="1:16" x14ac:dyDescent="0.25">
      <c r="A2040" s="12" t="s">
        <v>1834</v>
      </c>
      <c r="C2040">
        <v>431</v>
      </c>
      <c r="D2040">
        <v>1</v>
      </c>
      <c r="E2040">
        <v>0</v>
      </c>
      <c r="J2040" t="b">
        <f t="shared" ref="J2040:J2047" si="107">IF(NOT(ISBLANK(F2040)),SQRT((F2040^2*1/H2040)/(F2040^2*1/H2040+1)),IF(NOT(ISBLANK(G2040)),SQRT((G2040*H2040/I2040)/(G2040*H2040/I2040+1)*SQRT(1/H2040))))</f>
        <v>0</v>
      </c>
      <c r="N2040" s="2">
        <f t="shared" si="105"/>
        <v>0</v>
      </c>
      <c r="O2040" t="s">
        <v>2157</v>
      </c>
    </row>
    <row r="2041" spans="1:16" x14ac:dyDescent="0.25">
      <c r="A2041" s="12" t="s">
        <v>1835</v>
      </c>
      <c r="C2041">
        <v>431</v>
      </c>
      <c r="D2041">
        <v>1</v>
      </c>
      <c r="E2041">
        <v>0</v>
      </c>
      <c r="J2041" t="b">
        <f t="shared" si="107"/>
        <v>0</v>
      </c>
      <c r="N2041" s="2">
        <f t="shared" si="105"/>
        <v>0</v>
      </c>
      <c r="O2041" t="s">
        <v>2157</v>
      </c>
    </row>
    <row r="2042" spans="1:16" x14ac:dyDescent="0.25">
      <c r="A2042" s="12" t="s">
        <v>1836</v>
      </c>
      <c r="C2042">
        <v>431</v>
      </c>
      <c r="D2042">
        <v>1</v>
      </c>
      <c r="E2042">
        <v>0</v>
      </c>
      <c r="J2042" t="b">
        <f t="shared" si="107"/>
        <v>0</v>
      </c>
      <c r="N2042" s="2">
        <f t="shared" si="105"/>
        <v>0</v>
      </c>
      <c r="O2042" t="s">
        <v>2157</v>
      </c>
    </row>
    <row r="2043" spans="1:16" x14ac:dyDescent="0.25">
      <c r="A2043" s="12" t="s">
        <v>1837</v>
      </c>
      <c r="C2043">
        <v>431</v>
      </c>
      <c r="D2043">
        <v>1</v>
      </c>
      <c r="E2043">
        <v>0</v>
      </c>
      <c r="J2043" t="b">
        <f t="shared" si="107"/>
        <v>0</v>
      </c>
      <c r="N2043" s="2">
        <f t="shared" si="105"/>
        <v>0</v>
      </c>
      <c r="O2043" t="s">
        <v>2157</v>
      </c>
    </row>
    <row r="2044" spans="1:16" x14ac:dyDescent="0.25">
      <c r="A2044" s="12" t="s">
        <v>1838</v>
      </c>
      <c r="C2044">
        <v>431</v>
      </c>
      <c r="D2044">
        <v>1</v>
      </c>
      <c r="E2044">
        <v>0</v>
      </c>
      <c r="J2044" t="b">
        <f t="shared" si="107"/>
        <v>0</v>
      </c>
      <c r="N2044" s="2">
        <f t="shared" si="105"/>
        <v>0</v>
      </c>
      <c r="O2044" t="s">
        <v>2157</v>
      </c>
    </row>
    <row r="2045" spans="1:16" x14ac:dyDescent="0.25">
      <c r="A2045" s="12" t="s">
        <v>1839</v>
      </c>
      <c r="C2045">
        <v>431</v>
      </c>
      <c r="D2045">
        <v>1</v>
      </c>
      <c r="E2045">
        <v>0</v>
      </c>
      <c r="J2045" t="b">
        <f t="shared" si="107"/>
        <v>0</v>
      </c>
      <c r="N2045" s="2">
        <f t="shared" si="105"/>
        <v>0</v>
      </c>
      <c r="O2045" t="s">
        <v>2157</v>
      </c>
    </row>
    <row r="2046" spans="1:16" x14ac:dyDescent="0.25">
      <c r="A2046" s="12" t="s">
        <v>1840</v>
      </c>
      <c r="C2046">
        <v>431</v>
      </c>
      <c r="D2046">
        <v>1</v>
      </c>
      <c r="E2046">
        <v>0</v>
      </c>
      <c r="J2046" t="b">
        <f t="shared" si="107"/>
        <v>0</v>
      </c>
      <c r="N2046" s="2">
        <f t="shared" si="105"/>
        <v>0</v>
      </c>
      <c r="O2046" t="s">
        <v>2157</v>
      </c>
    </row>
    <row r="2047" spans="1:16" x14ac:dyDescent="0.25">
      <c r="A2047" s="12" t="s">
        <v>1841</v>
      </c>
      <c r="C2047">
        <v>432</v>
      </c>
      <c r="D2047">
        <v>1</v>
      </c>
      <c r="E2047">
        <v>0</v>
      </c>
      <c r="J2047" t="b">
        <f t="shared" si="107"/>
        <v>0</v>
      </c>
      <c r="K2047" s="2">
        <v>0.01</v>
      </c>
      <c r="L2047" s="17">
        <v>0.01</v>
      </c>
      <c r="N2047" s="2">
        <f t="shared" si="105"/>
        <v>0</v>
      </c>
    </row>
    <row r="2048" spans="1:16" x14ac:dyDescent="0.25">
      <c r="A2048" s="12" t="s">
        <v>1842</v>
      </c>
      <c r="C2048">
        <v>432</v>
      </c>
      <c r="D2048">
        <v>1</v>
      </c>
      <c r="J2048">
        <v>0.03</v>
      </c>
      <c r="K2048" s="2">
        <v>0.74</v>
      </c>
      <c r="L2048" s="17">
        <v>0.74</v>
      </c>
      <c r="P2048" s="2" t="s">
        <v>2560</v>
      </c>
    </row>
    <row r="2049" spans="1:16" x14ac:dyDescent="0.25">
      <c r="A2049" s="12" t="s">
        <v>1843</v>
      </c>
      <c r="C2049">
        <v>432</v>
      </c>
      <c r="D2049">
        <v>1</v>
      </c>
      <c r="J2049">
        <v>-0.24</v>
      </c>
      <c r="K2049" s="2">
        <v>7.0000000000000007E-2</v>
      </c>
      <c r="L2049" s="17">
        <v>7.0000000000000007E-2</v>
      </c>
      <c r="P2049" s="2" t="s">
        <v>2560</v>
      </c>
    </row>
    <row r="2050" spans="1:16" x14ac:dyDescent="0.25">
      <c r="A2050" s="12" t="s">
        <v>1844</v>
      </c>
      <c r="C2050">
        <v>432</v>
      </c>
      <c r="D2050">
        <v>1</v>
      </c>
      <c r="E2050">
        <v>0</v>
      </c>
      <c r="J2050" t="b">
        <f>IF(NOT(ISBLANK(F2050)),SQRT((F2050^2*1/H2050)/(F2050^2*1/H2050+1)),IF(NOT(ISBLANK(G2050)),SQRT((G2050*H2050/I2050)/(G2050*H2050/I2050+1)*SQRT(1/H2050))))</f>
        <v>0</v>
      </c>
      <c r="K2050" s="2">
        <v>0.36</v>
      </c>
      <c r="L2050" s="17">
        <v>0.36</v>
      </c>
    </row>
    <row r="2051" spans="1:16" x14ac:dyDescent="0.25">
      <c r="A2051" s="12" t="s">
        <v>1845</v>
      </c>
      <c r="C2051">
        <v>432</v>
      </c>
      <c r="D2051">
        <v>1</v>
      </c>
      <c r="J2051">
        <v>0.43</v>
      </c>
      <c r="K2051" s="2" t="s">
        <v>2517</v>
      </c>
      <c r="L2051" s="17">
        <v>1E-3</v>
      </c>
      <c r="P2051" s="2" t="s">
        <v>2560</v>
      </c>
    </row>
    <row r="2052" spans="1:16" x14ac:dyDescent="0.25">
      <c r="A2052" s="12" t="s">
        <v>1846</v>
      </c>
      <c r="C2052">
        <v>432</v>
      </c>
      <c r="D2052">
        <v>1</v>
      </c>
      <c r="J2052" t="b">
        <f>IF(NOT(ISBLANK(F2052)),SQRT((F2052^2*1/H2052)/(F2052^2*1/H2052+1)),IF(NOT(ISBLANK(G2052)),SQRT((G2052*H2052/I2052)/(G2052*H2052/I2052+1)*SQRT(1/H2052))))</f>
        <v>0</v>
      </c>
      <c r="K2052" s="2">
        <v>5.7000000000000002E-2</v>
      </c>
      <c r="L2052" s="17">
        <v>5.7000000000000002E-2</v>
      </c>
      <c r="P2052" s="2" t="s">
        <v>2560</v>
      </c>
    </row>
    <row r="2053" spans="1:16" x14ac:dyDescent="0.25">
      <c r="A2053" s="12" t="s">
        <v>1847</v>
      </c>
      <c r="C2053">
        <v>432</v>
      </c>
      <c r="D2053">
        <v>1</v>
      </c>
      <c r="E2053">
        <v>0</v>
      </c>
      <c r="J2053" t="b">
        <f>IF(NOT(ISBLANK(F2053)),SQRT((F2053^2*1/H2053)/(F2053^2*1/H2053+1)),IF(NOT(ISBLANK(G2053)),SQRT((G2053*H2053/I2053)/(G2053*H2053/I2053+1)*SQRT(1/H2053))))</f>
        <v>0</v>
      </c>
      <c r="K2053" s="2">
        <v>1.7999999999999999E-2</v>
      </c>
      <c r="L2053" s="17">
        <v>1.7999999999999999E-2</v>
      </c>
    </row>
    <row r="2054" spans="1:16" x14ac:dyDescent="0.25">
      <c r="A2054" s="12" t="s">
        <v>1848</v>
      </c>
      <c r="C2054">
        <v>432</v>
      </c>
      <c r="D2054">
        <v>1</v>
      </c>
      <c r="F2054">
        <v>-3.1</v>
      </c>
      <c r="H2054">
        <v>133</v>
      </c>
      <c r="J2054">
        <f>IF(NOT(ISBLANK(F2054)),SQRT((F2054^2*1/H2054)/(F2054^2*1/H2054+1)),IF(NOT(ISBLANK(G2054)),SQRT((G2054*H2054/I2054)/(G2054*H2054/I2054+1)*SQRT(1/H2054))))</f>
        <v>0.25958925012660217</v>
      </c>
      <c r="K2054" s="2">
        <v>2E-3</v>
      </c>
      <c r="L2054" s="17">
        <v>2E-3</v>
      </c>
      <c r="M2054" s="2">
        <v>0</v>
      </c>
      <c r="N2054" s="2">
        <f t="shared" si="105"/>
        <v>0</v>
      </c>
    </row>
    <row r="2055" spans="1:16" x14ac:dyDescent="0.25">
      <c r="A2055" s="12" t="s">
        <v>1849</v>
      </c>
      <c r="C2055">
        <v>432</v>
      </c>
      <c r="D2055">
        <v>1</v>
      </c>
      <c r="F2055">
        <v>0.02</v>
      </c>
      <c r="H2055">
        <v>113</v>
      </c>
      <c r="J2055">
        <f>IF(NOT(ISBLANK(F2055)),SQRT((F2055^2*1/H2055)/(F2055^2*1/H2055+1)),IF(NOT(ISBLANK(G2055)),SQRT((G2055*H2055/I2055)/(G2055*H2055/I2055+1)*SQRT(1/H2055))))</f>
        <v>1.8814384067906604E-3</v>
      </c>
      <c r="K2055" s="2">
        <v>0.99</v>
      </c>
      <c r="L2055" s="17">
        <v>0.99</v>
      </c>
      <c r="M2055" s="2">
        <v>0</v>
      </c>
      <c r="N2055" s="2">
        <f t="shared" si="105"/>
        <v>0</v>
      </c>
    </row>
    <row r="2056" spans="1:16" x14ac:dyDescent="0.25">
      <c r="A2056" s="12" t="s">
        <v>1850</v>
      </c>
      <c r="C2056">
        <v>432</v>
      </c>
      <c r="D2056">
        <v>1</v>
      </c>
      <c r="J2056">
        <v>0.38</v>
      </c>
      <c r="K2056" s="2" t="s">
        <v>2517</v>
      </c>
      <c r="L2056" s="17">
        <v>1E-3</v>
      </c>
      <c r="P2056" s="2" t="s">
        <v>2560</v>
      </c>
    </row>
    <row r="2057" spans="1:16" x14ac:dyDescent="0.25">
      <c r="A2057" s="12" t="s">
        <v>1851</v>
      </c>
      <c r="C2057">
        <v>432</v>
      </c>
      <c r="D2057">
        <v>1</v>
      </c>
      <c r="E2057">
        <v>0</v>
      </c>
      <c r="J2057" t="b">
        <f t="shared" ref="J2057:J2088" si="108">IF(NOT(ISBLANK(F2057)),SQRT((F2057^2*1/H2057)/(F2057^2*1/H2057+1)),IF(NOT(ISBLANK(G2057)),SQRT((G2057*H2057/I2057)/(G2057*H2057/I2057+1)*SQRT(1/H2057))))</f>
        <v>0</v>
      </c>
      <c r="K2057" s="2">
        <v>0.86</v>
      </c>
      <c r="L2057" s="17">
        <v>0.86</v>
      </c>
    </row>
    <row r="2058" spans="1:16" x14ac:dyDescent="0.25">
      <c r="A2058" s="12" t="s">
        <v>1852</v>
      </c>
      <c r="C2058">
        <v>433</v>
      </c>
      <c r="D2058">
        <v>1</v>
      </c>
      <c r="J2058" t="b">
        <f t="shared" si="108"/>
        <v>0</v>
      </c>
      <c r="K2058" s="2" t="s">
        <v>2525</v>
      </c>
      <c r="L2058" s="17">
        <v>4.9000000000000002E-2</v>
      </c>
      <c r="M2058" s="2" t="s">
        <v>2558</v>
      </c>
      <c r="N2058" s="2" t="s">
        <v>2558</v>
      </c>
    </row>
    <row r="2059" spans="1:16" x14ac:dyDescent="0.25">
      <c r="A2059" s="12" t="s">
        <v>1853</v>
      </c>
      <c r="C2059">
        <v>433</v>
      </c>
      <c r="D2059">
        <v>1</v>
      </c>
      <c r="J2059" t="b">
        <f t="shared" si="108"/>
        <v>0</v>
      </c>
      <c r="K2059" s="2" t="s">
        <v>2525</v>
      </c>
      <c r="L2059" s="17">
        <v>4.9000000000000002E-2</v>
      </c>
      <c r="M2059" s="2" t="s">
        <v>2558</v>
      </c>
      <c r="N2059" s="2" t="s">
        <v>2558</v>
      </c>
    </row>
    <row r="2060" spans="1:16" x14ac:dyDescent="0.25">
      <c r="A2060" s="12" t="s">
        <v>1854</v>
      </c>
      <c r="C2060">
        <v>433</v>
      </c>
      <c r="D2060">
        <v>1</v>
      </c>
      <c r="F2060">
        <v>2.74</v>
      </c>
      <c r="H2060">
        <v>39</v>
      </c>
      <c r="J2060">
        <f t="shared" si="108"/>
        <v>0.40178026284410034</v>
      </c>
      <c r="K2060" s="2" t="s">
        <v>2520</v>
      </c>
      <c r="L2060" s="17">
        <v>0.01</v>
      </c>
      <c r="M2060" s="2">
        <v>0</v>
      </c>
      <c r="N2060" s="2">
        <f t="shared" si="105"/>
        <v>0</v>
      </c>
    </row>
    <row r="2061" spans="1:16" x14ac:dyDescent="0.25">
      <c r="A2061" s="12" t="s">
        <v>1855</v>
      </c>
      <c r="C2061">
        <v>433</v>
      </c>
      <c r="D2061">
        <v>1</v>
      </c>
      <c r="F2061">
        <v>0.8</v>
      </c>
      <c r="H2061">
        <v>38</v>
      </c>
      <c r="J2061">
        <f t="shared" si="108"/>
        <v>0.12869789041755739</v>
      </c>
      <c r="K2061" s="2">
        <v>0.43</v>
      </c>
      <c r="L2061" s="17">
        <v>0.43</v>
      </c>
      <c r="M2061" s="2">
        <v>0</v>
      </c>
      <c r="N2061" s="2">
        <f t="shared" ref="N2061:N2114" si="109">IF(M2061=0, 0)</f>
        <v>0</v>
      </c>
    </row>
    <row r="2062" spans="1:16" x14ac:dyDescent="0.25">
      <c r="A2062" s="12" t="s">
        <v>1856</v>
      </c>
      <c r="C2062">
        <v>434</v>
      </c>
      <c r="D2062">
        <v>1</v>
      </c>
      <c r="G2062">
        <v>10.483000000000001</v>
      </c>
      <c r="H2062">
        <v>1</v>
      </c>
      <c r="I2062">
        <v>543</v>
      </c>
      <c r="J2062">
        <f t="shared" si="108"/>
        <v>0.13762288247073012</v>
      </c>
      <c r="K2062" s="2">
        <v>1E-3</v>
      </c>
      <c r="L2062" s="17">
        <v>1E-3</v>
      </c>
      <c r="M2062" s="2">
        <v>0</v>
      </c>
      <c r="N2062" s="2">
        <f t="shared" si="109"/>
        <v>0</v>
      </c>
    </row>
    <row r="2063" spans="1:16" x14ac:dyDescent="0.25">
      <c r="A2063" s="12" t="s">
        <v>1857</v>
      </c>
      <c r="C2063">
        <v>434</v>
      </c>
      <c r="D2063">
        <v>1</v>
      </c>
      <c r="G2063">
        <v>1.875</v>
      </c>
      <c r="H2063">
        <v>1</v>
      </c>
      <c r="I2063">
        <v>543</v>
      </c>
      <c r="J2063">
        <f t="shared" si="108"/>
        <v>5.8661369132443311E-2</v>
      </c>
      <c r="K2063" s="2">
        <v>0.17199999999999999</v>
      </c>
      <c r="L2063" s="17">
        <v>0.17199999999999999</v>
      </c>
      <c r="M2063" s="2">
        <v>0</v>
      </c>
      <c r="N2063" s="2">
        <f t="shared" si="109"/>
        <v>0</v>
      </c>
    </row>
    <row r="2064" spans="1:16" x14ac:dyDescent="0.25">
      <c r="A2064" s="12" t="s">
        <v>1858</v>
      </c>
      <c r="C2064">
        <v>434</v>
      </c>
      <c r="D2064">
        <v>1</v>
      </c>
      <c r="G2064">
        <v>5.0679999999999996</v>
      </c>
      <c r="H2064">
        <v>1</v>
      </c>
      <c r="I2064">
        <v>543</v>
      </c>
      <c r="J2064">
        <f t="shared" si="108"/>
        <v>9.6161467028551634E-2</v>
      </c>
      <c r="K2064" s="2">
        <v>2.5000000000000001E-2</v>
      </c>
      <c r="L2064" s="17">
        <v>2.5000000000000001E-2</v>
      </c>
      <c r="M2064" s="2">
        <v>0</v>
      </c>
      <c r="N2064" s="2">
        <f t="shared" si="109"/>
        <v>0</v>
      </c>
    </row>
    <row r="2065" spans="1:15" x14ac:dyDescent="0.25">
      <c r="A2065" s="12" t="s">
        <v>1859</v>
      </c>
      <c r="C2065">
        <v>434</v>
      </c>
      <c r="D2065">
        <v>1</v>
      </c>
      <c r="F2065">
        <v>4.0060000000000002</v>
      </c>
      <c r="H2065">
        <v>270</v>
      </c>
      <c r="J2065">
        <f t="shared" si="108"/>
        <v>0.23685985540961407</v>
      </c>
      <c r="K2065" s="2" t="s">
        <v>2517</v>
      </c>
      <c r="L2065" s="17">
        <v>1E-3</v>
      </c>
      <c r="M2065" s="2">
        <v>0</v>
      </c>
      <c r="N2065" s="2">
        <f t="shared" si="109"/>
        <v>0</v>
      </c>
    </row>
    <row r="2066" spans="1:15" x14ac:dyDescent="0.25">
      <c r="A2066" s="12" t="s">
        <v>1860</v>
      </c>
      <c r="C2066">
        <v>434</v>
      </c>
      <c r="D2066">
        <v>1</v>
      </c>
      <c r="F2066">
        <v>0.67700000000000005</v>
      </c>
      <c r="H2066">
        <v>272</v>
      </c>
      <c r="J2066">
        <f t="shared" si="108"/>
        <v>4.1014613591432769E-2</v>
      </c>
      <c r="K2066" s="2">
        <v>0.499</v>
      </c>
      <c r="L2066" s="17">
        <v>0.499</v>
      </c>
      <c r="M2066" s="2">
        <v>0</v>
      </c>
      <c r="N2066" s="2">
        <f t="shared" si="109"/>
        <v>0</v>
      </c>
    </row>
    <row r="2067" spans="1:15" x14ac:dyDescent="0.25">
      <c r="A2067" s="12" t="s">
        <v>1861</v>
      </c>
      <c r="C2067">
        <v>434</v>
      </c>
      <c r="D2067">
        <v>1</v>
      </c>
      <c r="F2067">
        <v>29.02</v>
      </c>
      <c r="H2067">
        <v>11.23</v>
      </c>
      <c r="J2067">
        <f t="shared" si="108"/>
        <v>0.99339857246555241</v>
      </c>
      <c r="K2067" s="2" t="s">
        <v>2517</v>
      </c>
      <c r="L2067" s="17">
        <v>1E-3</v>
      </c>
      <c r="M2067" s="2" t="s">
        <v>2558</v>
      </c>
      <c r="N2067" s="2" t="s">
        <v>2558</v>
      </c>
      <c r="O2067" t="s">
        <v>2135</v>
      </c>
    </row>
    <row r="2068" spans="1:15" x14ac:dyDescent="0.25">
      <c r="A2068" s="12" t="s">
        <v>1862</v>
      </c>
      <c r="C2068">
        <v>434</v>
      </c>
      <c r="D2068">
        <v>1</v>
      </c>
      <c r="F2068">
        <v>-2.66</v>
      </c>
      <c r="H2068">
        <v>2.96</v>
      </c>
      <c r="J2068">
        <f t="shared" si="108"/>
        <v>0.8396725682800158</v>
      </c>
      <c r="K2068" s="2">
        <v>7.8E-2</v>
      </c>
      <c r="L2068" s="17">
        <v>7.8E-2</v>
      </c>
      <c r="M2068" s="2" t="s">
        <v>2558</v>
      </c>
      <c r="N2068" s="2" t="s">
        <v>2558</v>
      </c>
      <c r="O2068" t="s">
        <v>2135</v>
      </c>
    </row>
    <row r="2069" spans="1:15" x14ac:dyDescent="0.25">
      <c r="A2069" s="12" t="s">
        <v>1863</v>
      </c>
      <c r="C2069">
        <v>434</v>
      </c>
      <c r="D2069">
        <v>1</v>
      </c>
      <c r="F2069">
        <v>-3.65</v>
      </c>
      <c r="H2069">
        <v>4552.8599999999997</v>
      </c>
      <c r="J2069">
        <f t="shared" si="108"/>
        <v>5.4015230266046904E-2</v>
      </c>
      <c r="K2069" s="2" t="s">
        <v>2517</v>
      </c>
      <c r="L2069" s="17">
        <v>1E-3</v>
      </c>
      <c r="M2069" s="2" t="s">
        <v>2558</v>
      </c>
      <c r="N2069" s="2" t="s">
        <v>2558</v>
      </c>
      <c r="O2069" t="s">
        <v>2135</v>
      </c>
    </row>
    <row r="2070" spans="1:15" x14ac:dyDescent="0.25">
      <c r="A2070" s="12" t="s">
        <v>1864</v>
      </c>
      <c r="C2070">
        <v>434</v>
      </c>
      <c r="D2070">
        <v>1</v>
      </c>
      <c r="F2070">
        <v>-2.16</v>
      </c>
      <c r="H2070">
        <v>4552.8999999999996</v>
      </c>
      <c r="J2070">
        <f t="shared" si="108"/>
        <v>3.1995381060608584E-2</v>
      </c>
      <c r="K2070" s="2">
        <v>3.1E-2</v>
      </c>
      <c r="L2070" s="17">
        <v>3.1E-2</v>
      </c>
      <c r="M2070" s="2" t="s">
        <v>2558</v>
      </c>
      <c r="N2070" s="2" t="s">
        <v>2558</v>
      </c>
      <c r="O2070" t="s">
        <v>2135</v>
      </c>
    </row>
    <row r="2071" spans="1:15" x14ac:dyDescent="0.25">
      <c r="A2071" s="12" t="s">
        <v>1865</v>
      </c>
      <c r="C2071">
        <v>434</v>
      </c>
      <c r="D2071">
        <v>1</v>
      </c>
      <c r="F2071">
        <v>-3.9649999999999999</v>
      </c>
      <c r="H2071">
        <v>3412.17</v>
      </c>
      <c r="J2071">
        <f t="shared" si="108"/>
        <v>6.7721984418890019E-2</v>
      </c>
      <c r="K2071" s="2" t="s">
        <v>2517</v>
      </c>
      <c r="L2071" s="17">
        <v>1E-3</v>
      </c>
      <c r="M2071" s="2" t="s">
        <v>2558</v>
      </c>
      <c r="N2071" s="2" t="s">
        <v>2558</v>
      </c>
      <c r="O2071" t="s">
        <v>2135</v>
      </c>
    </row>
    <row r="2072" spans="1:15" x14ac:dyDescent="0.25">
      <c r="A2072" s="12" t="s">
        <v>1866</v>
      </c>
      <c r="C2072">
        <v>434</v>
      </c>
      <c r="D2072">
        <v>2</v>
      </c>
      <c r="F2072">
        <v>-1.05</v>
      </c>
      <c r="H2072">
        <v>327.52</v>
      </c>
      <c r="J2072">
        <f t="shared" si="108"/>
        <v>5.7921613516780712E-2</v>
      </c>
      <c r="K2072" s="2">
        <v>0.29699999999999999</v>
      </c>
      <c r="L2072" s="17">
        <v>0.29699999999999999</v>
      </c>
      <c r="M2072" s="2" t="s">
        <v>2558</v>
      </c>
      <c r="N2072" s="2" t="s">
        <v>2558</v>
      </c>
      <c r="O2072" t="s">
        <v>2296</v>
      </c>
    </row>
    <row r="2073" spans="1:15" x14ac:dyDescent="0.25">
      <c r="A2073" s="12" t="s">
        <v>1867</v>
      </c>
      <c r="C2073">
        <v>437</v>
      </c>
      <c r="D2073">
        <v>1</v>
      </c>
      <c r="E2073">
        <v>0</v>
      </c>
      <c r="J2073" t="b">
        <f t="shared" si="108"/>
        <v>0</v>
      </c>
      <c r="K2073" s="2" t="s">
        <v>2517</v>
      </c>
      <c r="L2073" s="17">
        <v>1E-3</v>
      </c>
    </row>
    <row r="2074" spans="1:15" x14ac:dyDescent="0.25">
      <c r="A2074" s="12" t="s">
        <v>1868</v>
      </c>
      <c r="C2074">
        <v>437</v>
      </c>
      <c r="D2074">
        <v>1</v>
      </c>
      <c r="E2074">
        <v>0</v>
      </c>
      <c r="J2074" t="b">
        <f t="shared" si="108"/>
        <v>0</v>
      </c>
      <c r="K2074" s="2" t="s">
        <v>2517</v>
      </c>
      <c r="L2074" s="17">
        <v>1E-3</v>
      </c>
    </row>
    <row r="2075" spans="1:15" x14ac:dyDescent="0.25">
      <c r="A2075" s="12" t="s">
        <v>1869</v>
      </c>
      <c r="C2075">
        <v>437</v>
      </c>
      <c r="D2075">
        <v>1</v>
      </c>
      <c r="E2075">
        <v>0</v>
      </c>
      <c r="J2075" t="b">
        <f t="shared" si="108"/>
        <v>0</v>
      </c>
      <c r="K2075" s="2" t="s">
        <v>2517</v>
      </c>
      <c r="L2075" s="17">
        <v>1E-3</v>
      </c>
    </row>
    <row r="2076" spans="1:15" x14ac:dyDescent="0.25">
      <c r="A2076" s="12" t="s">
        <v>1870</v>
      </c>
      <c r="C2076">
        <v>437</v>
      </c>
      <c r="D2076">
        <v>1</v>
      </c>
      <c r="E2076">
        <v>0</v>
      </c>
      <c r="J2076" t="b">
        <f t="shared" si="108"/>
        <v>0</v>
      </c>
      <c r="K2076" s="2" t="s">
        <v>2517</v>
      </c>
      <c r="L2076" s="17">
        <v>1E-3</v>
      </c>
    </row>
    <row r="2077" spans="1:15" x14ac:dyDescent="0.25">
      <c r="A2077" s="12" t="s">
        <v>1871</v>
      </c>
      <c r="C2077">
        <v>437</v>
      </c>
      <c r="D2077">
        <v>0</v>
      </c>
      <c r="J2077" t="b">
        <f t="shared" si="108"/>
        <v>0</v>
      </c>
    </row>
    <row r="2078" spans="1:15" x14ac:dyDescent="0.25">
      <c r="A2078" s="12" t="s">
        <v>1872</v>
      </c>
      <c r="C2078">
        <v>437</v>
      </c>
      <c r="D2078">
        <v>1</v>
      </c>
      <c r="E2078">
        <v>0</v>
      </c>
      <c r="J2078" t="b">
        <f t="shared" si="108"/>
        <v>0</v>
      </c>
      <c r="K2078" s="2">
        <v>7.5999999999999998E-2</v>
      </c>
      <c r="L2078" s="17">
        <v>7.5999999999999998E-2</v>
      </c>
    </row>
    <row r="2079" spans="1:15" x14ac:dyDescent="0.25">
      <c r="A2079" s="12" t="s">
        <v>1873</v>
      </c>
      <c r="C2079">
        <v>437</v>
      </c>
      <c r="D2079">
        <v>1</v>
      </c>
      <c r="E2079">
        <v>0</v>
      </c>
      <c r="J2079" t="b">
        <f t="shared" si="108"/>
        <v>0</v>
      </c>
    </row>
    <row r="2080" spans="1:15" x14ac:dyDescent="0.25">
      <c r="A2080" s="12" t="s">
        <v>1874</v>
      </c>
      <c r="C2080">
        <v>437</v>
      </c>
      <c r="D2080">
        <v>1</v>
      </c>
      <c r="E2080">
        <v>0</v>
      </c>
      <c r="J2080" t="b">
        <f t="shared" si="108"/>
        <v>0</v>
      </c>
      <c r="K2080" s="2">
        <v>1.2999999999999999E-2</v>
      </c>
      <c r="L2080" s="17">
        <v>1.2999999999999999E-2</v>
      </c>
    </row>
    <row r="2081" spans="1:15" x14ac:dyDescent="0.25">
      <c r="A2081" s="12" t="s">
        <v>1875</v>
      </c>
      <c r="C2081">
        <v>437</v>
      </c>
      <c r="D2081">
        <v>1</v>
      </c>
      <c r="E2081">
        <v>0</v>
      </c>
      <c r="J2081" t="b">
        <f t="shared" si="108"/>
        <v>0</v>
      </c>
      <c r="K2081" s="2">
        <v>1E-3</v>
      </c>
      <c r="L2081" s="17">
        <v>1E-3</v>
      </c>
    </row>
    <row r="2082" spans="1:15" x14ac:dyDescent="0.25">
      <c r="A2082" s="12" t="s">
        <v>1876</v>
      </c>
      <c r="C2082">
        <v>437</v>
      </c>
      <c r="D2082">
        <v>1</v>
      </c>
      <c r="E2082">
        <v>0</v>
      </c>
      <c r="J2082" t="b">
        <f t="shared" si="108"/>
        <v>0</v>
      </c>
      <c r="K2082" s="2">
        <v>0.71299999999999997</v>
      </c>
      <c r="L2082" s="17">
        <v>0.71299999999999997</v>
      </c>
    </row>
    <row r="2083" spans="1:15" x14ac:dyDescent="0.25">
      <c r="A2083" s="12" t="s">
        <v>1877</v>
      </c>
      <c r="C2083">
        <v>437</v>
      </c>
      <c r="D2083">
        <v>1</v>
      </c>
      <c r="E2083">
        <v>0</v>
      </c>
      <c r="J2083" t="b">
        <f t="shared" si="108"/>
        <v>0</v>
      </c>
      <c r="K2083" s="2">
        <v>1E-3</v>
      </c>
      <c r="L2083" s="17">
        <v>1E-3</v>
      </c>
    </row>
    <row r="2084" spans="1:15" x14ac:dyDescent="0.25">
      <c r="A2084" s="12" t="s">
        <v>1878</v>
      </c>
      <c r="C2084">
        <v>437</v>
      </c>
      <c r="D2084">
        <v>2</v>
      </c>
      <c r="E2084">
        <v>0</v>
      </c>
      <c r="J2084" t="b">
        <f t="shared" si="108"/>
        <v>0</v>
      </c>
      <c r="K2084" s="2" t="s">
        <v>2519</v>
      </c>
      <c r="L2084" s="17">
        <v>1E-3</v>
      </c>
      <c r="O2084" t="s">
        <v>2297</v>
      </c>
    </row>
    <row r="2085" spans="1:15" x14ac:dyDescent="0.25">
      <c r="A2085" s="12" t="s">
        <v>1879</v>
      </c>
      <c r="C2085">
        <v>437</v>
      </c>
      <c r="D2085">
        <v>1</v>
      </c>
      <c r="E2085">
        <v>0</v>
      </c>
      <c r="J2085" t="b">
        <f t="shared" si="108"/>
        <v>0</v>
      </c>
      <c r="K2085" s="2">
        <v>0.55700000000000005</v>
      </c>
      <c r="L2085" s="17">
        <v>0.55700000000000005</v>
      </c>
    </row>
    <row r="2086" spans="1:15" x14ac:dyDescent="0.25">
      <c r="A2086" s="12" t="s">
        <v>1880</v>
      </c>
      <c r="C2086">
        <v>437</v>
      </c>
      <c r="D2086">
        <v>1</v>
      </c>
      <c r="E2086">
        <v>0</v>
      </c>
      <c r="J2086" t="b">
        <f t="shared" si="108"/>
        <v>0</v>
      </c>
      <c r="K2086" s="2">
        <v>4.0000000000000001E-3</v>
      </c>
      <c r="L2086" s="17">
        <v>4.0000000000000001E-3</v>
      </c>
    </row>
    <row r="2087" spans="1:15" x14ac:dyDescent="0.25">
      <c r="A2087" s="12" t="s">
        <v>1881</v>
      </c>
      <c r="C2087">
        <v>437</v>
      </c>
      <c r="D2087">
        <v>1</v>
      </c>
      <c r="E2087">
        <v>0</v>
      </c>
      <c r="J2087" t="b">
        <f t="shared" si="108"/>
        <v>0</v>
      </c>
      <c r="K2087" s="2">
        <v>1E-3</v>
      </c>
      <c r="L2087" s="17">
        <v>1E-3</v>
      </c>
    </row>
    <row r="2088" spans="1:15" x14ac:dyDescent="0.25">
      <c r="A2088" s="12" t="s">
        <v>1882</v>
      </c>
      <c r="C2088">
        <v>437</v>
      </c>
      <c r="D2088">
        <v>1</v>
      </c>
      <c r="E2088">
        <v>0</v>
      </c>
      <c r="J2088" t="b">
        <f t="shared" si="108"/>
        <v>0</v>
      </c>
      <c r="K2088" s="2">
        <v>0.47799999999999998</v>
      </c>
      <c r="L2088" s="17">
        <v>0.47799999999999998</v>
      </c>
    </row>
    <row r="2089" spans="1:15" x14ac:dyDescent="0.25">
      <c r="A2089" s="12" t="s">
        <v>1883</v>
      </c>
      <c r="C2089">
        <v>437</v>
      </c>
      <c r="D2089">
        <v>1</v>
      </c>
      <c r="E2089">
        <v>0</v>
      </c>
      <c r="J2089" t="b">
        <f t="shared" ref="J2089:J2118" si="110">IF(NOT(ISBLANK(F2089)),SQRT((F2089^2*1/H2089)/(F2089^2*1/H2089+1)),IF(NOT(ISBLANK(G2089)),SQRT((G2089*H2089/I2089)/(G2089*H2089/I2089+1)*SQRT(1/H2089))))</f>
        <v>0</v>
      </c>
      <c r="K2089" s="2">
        <v>3.6999999999999998E-2</v>
      </c>
      <c r="L2089" s="17">
        <v>3.6999999999999998E-2</v>
      </c>
    </row>
    <row r="2090" spans="1:15" x14ac:dyDescent="0.25">
      <c r="A2090" s="12" t="s">
        <v>1884</v>
      </c>
      <c r="C2090">
        <v>437</v>
      </c>
      <c r="D2090">
        <v>0</v>
      </c>
      <c r="J2090" t="b">
        <f t="shared" si="110"/>
        <v>0</v>
      </c>
    </row>
    <row r="2091" spans="1:15" x14ac:dyDescent="0.25">
      <c r="A2091" s="12" t="s">
        <v>1885</v>
      </c>
      <c r="C2091">
        <v>437</v>
      </c>
      <c r="D2091">
        <v>1</v>
      </c>
      <c r="E2091">
        <v>0</v>
      </c>
      <c r="J2091" t="b">
        <f t="shared" si="110"/>
        <v>0</v>
      </c>
      <c r="K2091" s="2">
        <v>8.4000000000000005E-2</v>
      </c>
      <c r="L2091" s="17">
        <v>8.4000000000000005E-2</v>
      </c>
    </row>
    <row r="2092" spans="1:15" x14ac:dyDescent="0.25">
      <c r="A2092" s="12" t="s">
        <v>1886</v>
      </c>
      <c r="C2092">
        <v>438</v>
      </c>
      <c r="D2092">
        <v>1</v>
      </c>
      <c r="F2092">
        <v>2.4500000000000002</v>
      </c>
      <c r="H2092">
        <v>20.05</v>
      </c>
      <c r="J2092">
        <f t="shared" si="110"/>
        <v>0.48000015993344108</v>
      </c>
      <c r="K2092" s="2">
        <v>2.5000000000000001E-2</v>
      </c>
      <c r="L2092" s="17">
        <v>2.5000000000000001E-2</v>
      </c>
      <c r="M2092" s="2" t="s">
        <v>2558</v>
      </c>
      <c r="N2092" s="2" t="s">
        <v>2558</v>
      </c>
      <c r="O2092" t="s">
        <v>2264</v>
      </c>
    </row>
    <row r="2093" spans="1:15" x14ac:dyDescent="0.25">
      <c r="A2093" s="12" t="s">
        <v>1887</v>
      </c>
      <c r="C2093">
        <v>438</v>
      </c>
      <c r="D2093">
        <v>0</v>
      </c>
      <c r="J2093" t="b">
        <f t="shared" si="110"/>
        <v>0</v>
      </c>
    </row>
    <row r="2094" spans="1:15" x14ac:dyDescent="0.25">
      <c r="A2094" s="12" t="s">
        <v>1888</v>
      </c>
      <c r="C2094">
        <v>442</v>
      </c>
      <c r="D2094">
        <v>1</v>
      </c>
      <c r="G2094">
        <v>5.5949999999999998</v>
      </c>
      <c r="H2094">
        <v>2</v>
      </c>
      <c r="I2094">
        <v>110</v>
      </c>
      <c r="J2094">
        <f t="shared" si="110"/>
        <v>0.25551956039027035</v>
      </c>
      <c r="K2094" s="2">
        <v>4.8500000000000001E-3</v>
      </c>
      <c r="L2094" s="17">
        <v>4.8500000000000001E-3</v>
      </c>
      <c r="M2094" s="2">
        <v>1</v>
      </c>
      <c r="N2094" s="2">
        <v>0</v>
      </c>
    </row>
    <row r="2095" spans="1:15" x14ac:dyDescent="0.25">
      <c r="A2095" s="12" t="s">
        <v>1889</v>
      </c>
      <c r="C2095">
        <v>442</v>
      </c>
      <c r="D2095">
        <v>1</v>
      </c>
      <c r="G2095">
        <v>4.42</v>
      </c>
      <c r="H2095">
        <v>2</v>
      </c>
      <c r="I2095">
        <v>110</v>
      </c>
      <c r="J2095">
        <f t="shared" si="110"/>
        <v>0.2293439626302822</v>
      </c>
      <c r="K2095" s="2">
        <v>0.01</v>
      </c>
      <c r="L2095" s="17">
        <v>0.01</v>
      </c>
      <c r="M2095" s="2">
        <v>0</v>
      </c>
      <c r="N2095" s="2">
        <f t="shared" si="109"/>
        <v>0</v>
      </c>
    </row>
    <row r="2096" spans="1:15" x14ac:dyDescent="0.25">
      <c r="A2096" s="12" t="s">
        <v>1890</v>
      </c>
      <c r="C2096">
        <v>442</v>
      </c>
      <c r="D2096">
        <v>1</v>
      </c>
      <c r="G2096">
        <v>49.81</v>
      </c>
      <c r="H2096">
        <v>3</v>
      </c>
      <c r="I2096">
        <v>53</v>
      </c>
      <c r="J2096">
        <f t="shared" si="110"/>
        <v>0.65283156831413325</v>
      </c>
      <c r="K2096" s="2" t="s">
        <v>2161</v>
      </c>
      <c r="L2096" s="17">
        <v>1E-4</v>
      </c>
      <c r="M2096" s="2" t="s">
        <v>2558</v>
      </c>
      <c r="N2096" s="2" t="s">
        <v>2558</v>
      </c>
      <c r="O2096" t="s">
        <v>2135</v>
      </c>
    </row>
    <row r="2097" spans="1:15" x14ac:dyDescent="0.25">
      <c r="A2097" s="12" t="s">
        <v>1891</v>
      </c>
      <c r="C2097">
        <v>442</v>
      </c>
      <c r="D2097">
        <v>0</v>
      </c>
      <c r="J2097" t="b">
        <f t="shared" si="110"/>
        <v>0</v>
      </c>
    </row>
    <row r="2098" spans="1:15" x14ac:dyDescent="0.25">
      <c r="A2098" s="12" t="s">
        <v>1892</v>
      </c>
      <c r="C2098">
        <v>442</v>
      </c>
      <c r="D2098">
        <v>0</v>
      </c>
      <c r="J2098" t="b">
        <f t="shared" si="110"/>
        <v>0</v>
      </c>
    </row>
    <row r="2099" spans="1:15" x14ac:dyDescent="0.25">
      <c r="A2099" s="12" t="s">
        <v>1893</v>
      </c>
      <c r="C2099">
        <v>442</v>
      </c>
      <c r="D2099">
        <v>1</v>
      </c>
      <c r="G2099">
        <v>36.799999999999997</v>
      </c>
      <c r="H2099">
        <v>3</v>
      </c>
      <c r="I2099">
        <v>53</v>
      </c>
      <c r="J2099">
        <f t="shared" si="110"/>
        <v>0.6245657963881468</v>
      </c>
      <c r="K2099" s="2" t="s">
        <v>2161</v>
      </c>
      <c r="L2099" s="17">
        <v>1E-4</v>
      </c>
      <c r="M2099" s="2" t="s">
        <v>2558</v>
      </c>
      <c r="N2099" s="2" t="s">
        <v>2558</v>
      </c>
      <c r="O2099" t="s">
        <v>2135</v>
      </c>
    </row>
    <row r="2100" spans="1:15" x14ac:dyDescent="0.25">
      <c r="A2100" s="12" t="s">
        <v>1894</v>
      </c>
      <c r="C2100">
        <v>442</v>
      </c>
      <c r="D2100">
        <v>0</v>
      </c>
      <c r="J2100" t="b">
        <f t="shared" si="110"/>
        <v>0</v>
      </c>
    </row>
    <row r="2101" spans="1:15" x14ac:dyDescent="0.25">
      <c r="A2101" s="12" t="s">
        <v>1895</v>
      </c>
      <c r="C2101">
        <v>442</v>
      </c>
      <c r="D2101">
        <v>0</v>
      </c>
      <c r="J2101" t="b">
        <f t="shared" si="110"/>
        <v>0</v>
      </c>
    </row>
    <row r="2102" spans="1:15" x14ac:dyDescent="0.25">
      <c r="A2102" s="12" t="s">
        <v>1896</v>
      </c>
      <c r="C2102">
        <v>442</v>
      </c>
      <c r="D2102">
        <v>1</v>
      </c>
      <c r="G2102">
        <v>2.75</v>
      </c>
      <c r="H2102">
        <v>2</v>
      </c>
      <c r="I2102">
        <v>110</v>
      </c>
      <c r="J2102">
        <f t="shared" si="110"/>
        <v>0.18349864164367455</v>
      </c>
      <c r="K2102" s="2">
        <v>7.0000000000000007E-2</v>
      </c>
      <c r="L2102" s="17">
        <v>7.0000000000000007E-2</v>
      </c>
      <c r="M2102" s="2">
        <v>0</v>
      </c>
      <c r="N2102" s="2">
        <f t="shared" si="109"/>
        <v>0</v>
      </c>
    </row>
    <row r="2103" spans="1:15" x14ac:dyDescent="0.25">
      <c r="A2103" s="12" t="s">
        <v>1897</v>
      </c>
      <c r="C2103">
        <v>442</v>
      </c>
      <c r="D2103">
        <v>1</v>
      </c>
      <c r="G2103">
        <v>5.19</v>
      </c>
      <c r="H2103">
        <v>2</v>
      </c>
      <c r="I2103">
        <v>110</v>
      </c>
      <c r="J2103">
        <f t="shared" si="110"/>
        <v>0.24692440067844668</v>
      </c>
      <c r="K2103" s="2">
        <v>0.01</v>
      </c>
      <c r="L2103" s="17">
        <v>0.01</v>
      </c>
      <c r="M2103" s="2">
        <v>0</v>
      </c>
      <c r="N2103" s="2">
        <f t="shared" si="109"/>
        <v>0</v>
      </c>
    </row>
    <row r="2104" spans="1:15" x14ac:dyDescent="0.25">
      <c r="A2104" s="12" t="s">
        <v>1898</v>
      </c>
      <c r="C2104">
        <v>442</v>
      </c>
      <c r="D2104">
        <v>1</v>
      </c>
      <c r="F2104">
        <v>1.85</v>
      </c>
      <c r="H2104">
        <v>84</v>
      </c>
      <c r="J2104">
        <f t="shared" si="110"/>
        <v>0.19786096256684493</v>
      </c>
      <c r="M2104" s="2" t="s">
        <v>2558</v>
      </c>
      <c r="N2104" s="2" t="s">
        <v>2558</v>
      </c>
      <c r="O2104" t="s">
        <v>2292</v>
      </c>
    </row>
    <row r="2105" spans="1:15" x14ac:dyDescent="0.25">
      <c r="A2105" s="12" t="s">
        <v>1899</v>
      </c>
      <c r="C2105">
        <v>442</v>
      </c>
      <c r="D2105">
        <v>0</v>
      </c>
      <c r="J2105" t="b">
        <f t="shared" si="110"/>
        <v>0</v>
      </c>
    </row>
    <row r="2106" spans="1:15" x14ac:dyDescent="0.25">
      <c r="A2106" s="12" t="s">
        <v>1900</v>
      </c>
      <c r="C2106">
        <v>442</v>
      </c>
      <c r="D2106" s="2">
        <v>1</v>
      </c>
      <c r="G2106">
        <v>52.49</v>
      </c>
      <c r="H2106">
        <v>4</v>
      </c>
      <c r="I2106">
        <v>54</v>
      </c>
      <c r="J2106">
        <f t="shared" si="110"/>
        <v>0.63064393639461058</v>
      </c>
      <c r="K2106" s="2" t="s">
        <v>2161</v>
      </c>
      <c r="L2106" s="17">
        <v>1E-4</v>
      </c>
      <c r="M2106" s="2" t="s">
        <v>2558</v>
      </c>
      <c r="N2106" s="2" t="s">
        <v>2558</v>
      </c>
      <c r="O2106" t="s">
        <v>2135</v>
      </c>
    </row>
    <row r="2107" spans="1:15" x14ac:dyDescent="0.25">
      <c r="A2107" s="12" t="s">
        <v>1901</v>
      </c>
      <c r="C2107">
        <v>442</v>
      </c>
      <c r="D2107">
        <v>0</v>
      </c>
      <c r="J2107" t="b">
        <f t="shared" si="110"/>
        <v>0</v>
      </c>
    </row>
    <row r="2108" spans="1:15" x14ac:dyDescent="0.25">
      <c r="A2108" s="12" t="s">
        <v>1902</v>
      </c>
      <c r="C2108">
        <v>442</v>
      </c>
      <c r="D2108">
        <v>1</v>
      </c>
      <c r="G2108">
        <v>0.34</v>
      </c>
      <c r="H2108">
        <v>2</v>
      </c>
      <c r="I2108">
        <v>112</v>
      </c>
      <c r="J2108">
        <f t="shared" si="110"/>
        <v>6.5324115539809102E-2</v>
      </c>
      <c r="K2108" s="2">
        <v>0.71250000000000002</v>
      </c>
      <c r="L2108" s="17">
        <v>0.71250000000000002</v>
      </c>
      <c r="M2108" s="2">
        <v>1</v>
      </c>
      <c r="N2108" s="2">
        <v>0</v>
      </c>
    </row>
    <row r="2109" spans="1:15" x14ac:dyDescent="0.25">
      <c r="A2109" s="12" t="s">
        <v>1903</v>
      </c>
      <c r="C2109">
        <v>442</v>
      </c>
      <c r="D2109">
        <v>1</v>
      </c>
      <c r="G2109">
        <v>0.28000000000000003</v>
      </c>
      <c r="H2109">
        <v>2</v>
      </c>
      <c r="I2109">
        <v>112</v>
      </c>
      <c r="J2109">
        <f t="shared" si="110"/>
        <v>5.9312259989041896E-2</v>
      </c>
      <c r="K2109" s="2">
        <v>0.75631000000000004</v>
      </c>
      <c r="L2109" s="17">
        <v>0.75631000000000004</v>
      </c>
      <c r="M2109" s="2">
        <v>1</v>
      </c>
      <c r="N2109" s="2">
        <v>0</v>
      </c>
    </row>
    <row r="2110" spans="1:15" x14ac:dyDescent="0.25">
      <c r="A2110" s="12" t="s">
        <v>1904</v>
      </c>
      <c r="C2110">
        <v>442</v>
      </c>
      <c r="D2110">
        <v>1</v>
      </c>
      <c r="G2110">
        <v>1.89</v>
      </c>
      <c r="H2110">
        <v>2</v>
      </c>
      <c r="I2110">
        <v>112</v>
      </c>
      <c r="J2110">
        <f t="shared" si="110"/>
        <v>0.15193982728342662</v>
      </c>
      <c r="K2110" s="2">
        <v>0.15586</v>
      </c>
      <c r="L2110" s="17">
        <v>0.15586</v>
      </c>
      <c r="M2110" s="2">
        <v>1</v>
      </c>
      <c r="N2110" s="2">
        <v>0</v>
      </c>
    </row>
    <row r="2111" spans="1:15" x14ac:dyDescent="0.25">
      <c r="A2111" s="12" t="s">
        <v>1905</v>
      </c>
      <c r="C2111">
        <v>442</v>
      </c>
      <c r="D2111">
        <v>1</v>
      </c>
      <c r="G2111">
        <v>7.22</v>
      </c>
      <c r="H2111">
        <v>2</v>
      </c>
      <c r="I2111">
        <v>110</v>
      </c>
      <c r="J2111">
        <f t="shared" si="110"/>
        <v>0.28644819929651039</v>
      </c>
      <c r="K2111" s="2">
        <v>1E-3</v>
      </c>
      <c r="L2111" s="17">
        <v>1E-3</v>
      </c>
      <c r="M2111" s="2">
        <v>0</v>
      </c>
      <c r="N2111" s="2">
        <f t="shared" si="109"/>
        <v>0</v>
      </c>
    </row>
    <row r="2112" spans="1:15" x14ac:dyDescent="0.25">
      <c r="A2112" s="12" t="s">
        <v>1906</v>
      </c>
      <c r="C2112">
        <v>442</v>
      </c>
      <c r="D2112">
        <v>1</v>
      </c>
      <c r="G2112">
        <v>6.77</v>
      </c>
      <c r="H2112">
        <v>1</v>
      </c>
      <c r="I2112">
        <v>55</v>
      </c>
      <c r="J2112">
        <f t="shared" si="110"/>
        <v>0.33105910274860051</v>
      </c>
      <c r="K2112" s="2">
        <v>0.01</v>
      </c>
      <c r="L2112" s="17">
        <v>0.01</v>
      </c>
      <c r="M2112" s="2">
        <v>0</v>
      </c>
      <c r="N2112" s="2">
        <f t="shared" si="109"/>
        <v>0</v>
      </c>
    </row>
    <row r="2113" spans="1:15" x14ac:dyDescent="0.25">
      <c r="A2113" s="12" t="s">
        <v>1907</v>
      </c>
      <c r="C2113">
        <v>442</v>
      </c>
      <c r="D2113">
        <v>1</v>
      </c>
      <c r="G2113">
        <v>11.57</v>
      </c>
      <c r="H2113">
        <v>1</v>
      </c>
      <c r="I2113">
        <v>55</v>
      </c>
      <c r="J2113">
        <f t="shared" si="110"/>
        <v>0.41689568589604303</v>
      </c>
      <c r="K2113" s="2">
        <v>1E-3</v>
      </c>
      <c r="L2113" s="17">
        <v>1E-3</v>
      </c>
      <c r="M2113" s="2">
        <v>0</v>
      </c>
      <c r="N2113" s="2">
        <f t="shared" si="109"/>
        <v>0</v>
      </c>
    </row>
    <row r="2114" spans="1:15" x14ac:dyDescent="0.25">
      <c r="A2114" s="12" t="s">
        <v>1908</v>
      </c>
      <c r="C2114">
        <v>442</v>
      </c>
      <c r="D2114">
        <v>1</v>
      </c>
      <c r="G2114">
        <v>0.41</v>
      </c>
      <c r="H2114">
        <v>2</v>
      </c>
      <c r="I2114">
        <v>110</v>
      </c>
      <c r="J2114">
        <f t="shared" si="110"/>
        <v>7.2333645661259882E-2</v>
      </c>
      <c r="K2114" s="2">
        <v>0.66</v>
      </c>
      <c r="L2114" s="17">
        <v>0.66</v>
      </c>
      <c r="M2114" s="2">
        <v>0</v>
      </c>
      <c r="N2114" s="2">
        <f t="shared" si="109"/>
        <v>0</v>
      </c>
    </row>
    <row r="2115" spans="1:15" x14ac:dyDescent="0.25">
      <c r="A2115" s="12" t="s">
        <v>1909</v>
      </c>
      <c r="C2115">
        <v>442</v>
      </c>
      <c r="D2115">
        <v>1</v>
      </c>
      <c r="G2115">
        <v>3.47</v>
      </c>
      <c r="H2115">
        <v>2</v>
      </c>
      <c r="I2115">
        <v>110</v>
      </c>
      <c r="J2115">
        <f t="shared" si="110"/>
        <v>0.20485222790640215</v>
      </c>
      <c r="K2115" s="2">
        <v>3.456E-2</v>
      </c>
      <c r="L2115" s="17">
        <v>3.456E-2</v>
      </c>
      <c r="M2115" s="2">
        <v>1</v>
      </c>
      <c r="N2115" s="2">
        <v>0</v>
      </c>
    </row>
    <row r="2116" spans="1:15" x14ac:dyDescent="0.25">
      <c r="A2116" s="12" t="s">
        <v>1910</v>
      </c>
      <c r="C2116">
        <v>442</v>
      </c>
      <c r="D2116">
        <v>1</v>
      </c>
      <c r="G2116">
        <v>3.2629999999999999</v>
      </c>
      <c r="H2116">
        <v>2</v>
      </c>
      <c r="I2116">
        <v>110</v>
      </c>
      <c r="J2116">
        <f t="shared" si="110"/>
        <v>0.19900070568859135</v>
      </c>
      <c r="K2116" s="2">
        <v>4.2009999999999999E-2</v>
      </c>
      <c r="L2116" s="17">
        <v>4.2009999999999999E-2</v>
      </c>
      <c r="M2116" s="2">
        <v>1</v>
      </c>
      <c r="N2116" s="2">
        <v>1</v>
      </c>
    </row>
    <row r="2117" spans="1:15" x14ac:dyDescent="0.25">
      <c r="A2117" s="12" t="s">
        <v>1911</v>
      </c>
      <c r="C2117">
        <v>445</v>
      </c>
      <c r="D2117">
        <v>1</v>
      </c>
      <c r="E2117">
        <v>0</v>
      </c>
      <c r="J2117" t="b">
        <f t="shared" si="110"/>
        <v>0</v>
      </c>
      <c r="K2117" s="2" t="s">
        <v>2517</v>
      </c>
      <c r="L2117" s="17">
        <v>1E-3</v>
      </c>
      <c r="M2117" s="2" t="s">
        <v>2558</v>
      </c>
      <c r="N2117" s="2" t="s">
        <v>2558</v>
      </c>
      <c r="O2117" t="s">
        <v>2264</v>
      </c>
    </row>
    <row r="2118" spans="1:15" x14ac:dyDescent="0.25">
      <c r="A2118" s="12" t="s">
        <v>1912</v>
      </c>
      <c r="C2118">
        <v>445</v>
      </c>
      <c r="D2118">
        <v>1</v>
      </c>
      <c r="E2118">
        <v>0</v>
      </c>
      <c r="J2118" t="b">
        <f t="shared" si="110"/>
        <v>0</v>
      </c>
      <c r="K2118" s="2" t="s">
        <v>2517</v>
      </c>
      <c r="L2118" s="17">
        <v>1E-3</v>
      </c>
    </row>
    <row r="2119" spans="1:15" x14ac:dyDescent="0.25">
      <c r="A2119" s="12" t="s">
        <v>1913</v>
      </c>
      <c r="C2119">
        <v>445</v>
      </c>
      <c r="D2119">
        <v>1</v>
      </c>
      <c r="E2119">
        <v>0</v>
      </c>
      <c r="J2119" t="b">
        <f t="shared" ref="J2119:J2131" si="111">IF(NOT(ISBLANK(F2119)),SQRT((F2119^2*1/H2119)/(F2119^2*1/H2119+1)),IF(NOT(ISBLANK(G2119)),SQRT((G2119*H2119/I2119)/(G2119*H2119/I2119+1)*SQRT(1/H2119))))</f>
        <v>0</v>
      </c>
      <c r="K2119" s="2" t="s">
        <v>2517</v>
      </c>
      <c r="L2119" s="17">
        <v>1E-3</v>
      </c>
    </row>
    <row r="2120" spans="1:15" x14ac:dyDescent="0.25">
      <c r="A2120" s="12" t="s">
        <v>1914</v>
      </c>
      <c r="C2120">
        <v>445</v>
      </c>
      <c r="D2120">
        <v>1</v>
      </c>
      <c r="E2120">
        <v>0</v>
      </c>
      <c r="J2120" t="b">
        <f t="shared" si="111"/>
        <v>0</v>
      </c>
      <c r="K2120" s="2" t="s">
        <v>2517</v>
      </c>
      <c r="L2120" s="17">
        <v>1E-3</v>
      </c>
    </row>
    <row r="2121" spans="1:15" x14ac:dyDescent="0.25">
      <c r="A2121" s="12" t="s">
        <v>1915</v>
      </c>
      <c r="C2121">
        <v>446</v>
      </c>
      <c r="D2121">
        <v>1</v>
      </c>
      <c r="G2121">
        <v>31.02</v>
      </c>
      <c r="H2121">
        <v>1</v>
      </c>
      <c r="I2121">
        <v>158</v>
      </c>
      <c r="J2121">
        <f t="shared" si="111"/>
        <v>0.40510445323377786</v>
      </c>
      <c r="K2121" s="2" t="s">
        <v>2517</v>
      </c>
      <c r="L2121" s="17">
        <v>1E-3</v>
      </c>
      <c r="M2121" s="2" t="s">
        <v>2558</v>
      </c>
      <c r="N2121" s="2" t="s">
        <v>2558</v>
      </c>
      <c r="O2121" t="s">
        <v>2264</v>
      </c>
    </row>
    <row r="2122" spans="1:15" x14ac:dyDescent="0.25">
      <c r="A2122" s="12" t="s">
        <v>1916</v>
      </c>
      <c r="C2122">
        <v>446</v>
      </c>
      <c r="D2122">
        <v>1</v>
      </c>
      <c r="E2122">
        <v>0</v>
      </c>
      <c r="J2122" t="b">
        <f t="shared" si="111"/>
        <v>0</v>
      </c>
      <c r="K2122" s="2" t="s">
        <v>2517</v>
      </c>
      <c r="L2122" s="17">
        <v>1E-3</v>
      </c>
    </row>
    <row r="2123" spans="1:15" x14ac:dyDescent="0.25">
      <c r="A2123" s="12" t="s">
        <v>1917</v>
      </c>
      <c r="C2123">
        <v>446</v>
      </c>
      <c r="D2123">
        <v>1</v>
      </c>
      <c r="E2123">
        <v>0</v>
      </c>
      <c r="J2123" t="b">
        <f t="shared" si="111"/>
        <v>0</v>
      </c>
      <c r="K2123" s="2">
        <v>0.03</v>
      </c>
      <c r="L2123" s="17">
        <v>0.03</v>
      </c>
    </row>
    <row r="2124" spans="1:15" x14ac:dyDescent="0.25">
      <c r="A2124" s="12" t="s">
        <v>1918</v>
      </c>
      <c r="C2124">
        <v>446</v>
      </c>
      <c r="D2124">
        <v>0</v>
      </c>
      <c r="J2124" t="b">
        <f t="shared" si="111"/>
        <v>0</v>
      </c>
    </row>
    <row r="2125" spans="1:15" x14ac:dyDescent="0.25">
      <c r="A2125" s="12" t="s">
        <v>1919</v>
      </c>
      <c r="C2125">
        <v>446</v>
      </c>
      <c r="D2125">
        <v>2</v>
      </c>
      <c r="G2125">
        <v>0.09</v>
      </c>
      <c r="H2125">
        <v>1</v>
      </c>
      <c r="I2125">
        <v>158</v>
      </c>
      <c r="J2125">
        <f t="shared" si="111"/>
        <v>2.3859923944757871E-2</v>
      </c>
      <c r="K2125" s="2">
        <v>0.77</v>
      </c>
      <c r="L2125" s="17">
        <v>0.77</v>
      </c>
      <c r="M2125" s="2" t="s">
        <v>2558</v>
      </c>
      <c r="N2125" s="2" t="s">
        <v>2558</v>
      </c>
      <c r="O2125" t="s">
        <v>2298</v>
      </c>
    </row>
    <row r="2126" spans="1:15" x14ac:dyDescent="0.25">
      <c r="A2126" s="12" t="s">
        <v>1920</v>
      </c>
      <c r="C2126">
        <v>446</v>
      </c>
      <c r="D2126">
        <v>1</v>
      </c>
      <c r="G2126">
        <v>0.33</v>
      </c>
      <c r="H2126">
        <v>2</v>
      </c>
      <c r="I2126">
        <v>157</v>
      </c>
      <c r="J2126">
        <f t="shared" si="111"/>
        <v>5.4406865723203218E-2</v>
      </c>
      <c r="K2126" s="2">
        <v>0.72</v>
      </c>
      <c r="L2126" s="17">
        <v>0.72</v>
      </c>
      <c r="M2126" s="2" t="s">
        <v>2558</v>
      </c>
      <c r="N2126" s="2" t="s">
        <v>2558</v>
      </c>
    </row>
    <row r="2127" spans="1:15" x14ac:dyDescent="0.25">
      <c r="A2127" s="12" t="s">
        <v>1921</v>
      </c>
      <c r="C2127">
        <v>446</v>
      </c>
      <c r="D2127">
        <v>1</v>
      </c>
      <c r="F2127">
        <v>2.82</v>
      </c>
      <c r="H2127">
        <v>78</v>
      </c>
      <c r="J2127">
        <f t="shared" si="111"/>
        <v>0.30417261008620311</v>
      </c>
      <c r="K2127" s="2">
        <v>6.0000000000000001E-3</v>
      </c>
      <c r="L2127" s="17">
        <v>6.0000000000000001E-3</v>
      </c>
      <c r="M2127" s="2" t="s">
        <v>2558</v>
      </c>
      <c r="N2127" s="2" t="s">
        <v>2558</v>
      </c>
    </row>
    <row r="2128" spans="1:15" x14ac:dyDescent="0.25">
      <c r="A2128" s="12" t="s">
        <v>1922</v>
      </c>
      <c r="C2128">
        <v>446</v>
      </c>
      <c r="D2128">
        <v>1</v>
      </c>
      <c r="F2128">
        <v>2.68</v>
      </c>
      <c r="H2128">
        <v>80</v>
      </c>
      <c r="J2128">
        <f t="shared" si="111"/>
        <v>0.28702543503965922</v>
      </c>
      <c r="K2128" s="2">
        <v>8.9999999999999993E-3</v>
      </c>
      <c r="L2128" s="17">
        <v>8.9999999999999993E-3</v>
      </c>
      <c r="M2128" s="2" t="s">
        <v>2558</v>
      </c>
      <c r="N2128" s="2" t="s">
        <v>2558</v>
      </c>
    </row>
    <row r="2129" spans="1:15" x14ac:dyDescent="0.25">
      <c r="A2129" s="12" t="s">
        <v>1923</v>
      </c>
      <c r="C2129">
        <v>446</v>
      </c>
      <c r="D2129">
        <v>1</v>
      </c>
      <c r="F2129">
        <v>8.17</v>
      </c>
      <c r="H2129">
        <v>80</v>
      </c>
      <c r="J2129">
        <f t="shared" si="111"/>
        <v>0.67442650423637307</v>
      </c>
      <c r="K2129" s="2" t="s">
        <v>2517</v>
      </c>
      <c r="L2129" s="17">
        <v>1E-3</v>
      </c>
      <c r="M2129" s="2" t="s">
        <v>2558</v>
      </c>
      <c r="N2129" s="2" t="s">
        <v>2558</v>
      </c>
    </row>
    <row r="2130" spans="1:15" x14ac:dyDescent="0.25">
      <c r="A2130" s="12" t="s">
        <v>1924</v>
      </c>
      <c r="C2130">
        <v>446</v>
      </c>
      <c r="D2130">
        <v>1</v>
      </c>
      <c r="F2130">
        <v>9.27</v>
      </c>
      <c r="H2130">
        <v>80</v>
      </c>
      <c r="J2130">
        <f t="shared" si="111"/>
        <v>0.71963699673681092</v>
      </c>
      <c r="K2130" s="2" t="s">
        <v>2519</v>
      </c>
      <c r="L2130" s="17">
        <v>1E-3</v>
      </c>
      <c r="M2130" s="2" t="s">
        <v>2558</v>
      </c>
      <c r="N2130" s="2" t="s">
        <v>2558</v>
      </c>
    </row>
    <row r="2131" spans="1:15" x14ac:dyDescent="0.25">
      <c r="A2131" s="12" t="s">
        <v>1925</v>
      </c>
      <c r="C2131">
        <v>446</v>
      </c>
      <c r="D2131">
        <v>1</v>
      </c>
      <c r="F2131">
        <v>2.17</v>
      </c>
      <c r="H2131">
        <v>80</v>
      </c>
      <c r="J2131">
        <f t="shared" si="111"/>
        <v>0.23577362064128118</v>
      </c>
      <c r="K2131" s="2">
        <v>3.3000000000000002E-2</v>
      </c>
      <c r="L2131" s="17">
        <v>3.3000000000000002E-2</v>
      </c>
      <c r="M2131" s="2" t="s">
        <v>2558</v>
      </c>
      <c r="N2131" s="2" t="s">
        <v>2558</v>
      </c>
    </row>
    <row r="2132" spans="1:15" x14ac:dyDescent="0.25">
      <c r="A2132" s="12" t="s">
        <v>2613</v>
      </c>
      <c r="C2132">
        <v>448</v>
      </c>
      <c r="D2132">
        <v>1</v>
      </c>
      <c r="G2132">
        <v>6.4109999999999996</v>
      </c>
      <c r="H2132">
        <v>1</v>
      </c>
      <c r="I2132">
        <v>67</v>
      </c>
      <c r="K2132" s="2">
        <v>1.7999999999999999E-2</v>
      </c>
      <c r="L2132" s="17">
        <v>1.7999999999999999E-2</v>
      </c>
      <c r="M2132" s="2">
        <v>0</v>
      </c>
      <c r="N2132" s="2">
        <v>0</v>
      </c>
    </row>
    <row r="2133" spans="1:15" x14ac:dyDescent="0.25">
      <c r="A2133" s="12" t="s">
        <v>2614</v>
      </c>
      <c r="C2133">
        <v>448</v>
      </c>
      <c r="D2133">
        <v>1</v>
      </c>
      <c r="F2133">
        <v>-2.4300000000000002</v>
      </c>
      <c r="K2133" s="2">
        <v>0.13900000000000001</v>
      </c>
      <c r="L2133" s="17">
        <v>0.13900000000000001</v>
      </c>
      <c r="M2133" s="2" t="s">
        <v>2558</v>
      </c>
      <c r="N2133" s="2" t="s">
        <v>2558</v>
      </c>
    </row>
    <row r="2134" spans="1:15" x14ac:dyDescent="0.25">
      <c r="A2134" s="12" t="s">
        <v>2615</v>
      </c>
      <c r="C2134">
        <v>448</v>
      </c>
      <c r="D2134">
        <v>1</v>
      </c>
      <c r="F2134">
        <v>3.367</v>
      </c>
      <c r="K2134" s="2">
        <v>1E-3</v>
      </c>
      <c r="L2134" s="17">
        <v>1E-3</v>
      </c>
      <c r="M2134" s="2" t="s">
        <v>2558</v>
      </c>
      <c r="N2134" s="2" t="s">
        <v>2558</v>
      </c>
    </row>
    <row r="2135" spans="1:15" x14ac:dyDescent="0.25">
      <c r="A2135" s="12" t="s">
        <v>2616</v>
      </c>
      <c r="C2135">
        <v>448</v>
      </c>
      <c r="D2135">
        <v>1</v>
      </c>
      <c r="F2135">
        <v>-2.105</v>
      </c>
      <c r="K2135" s="2">
        <v>3.9E-2</v>
      </c>
      <c r="L2135" s="17">
        <v>3.9E-2</v>
      </c>
      <c r="M2135" s="2" t="s">
        <v>2558</v>
      </c>
      <c r="N2135" s="2" t="s">
        <v>2558</v>
      </c>
    </row>
    <row r="2136" spans="1:15" x14ac:dyDescent="0.25">
      <c r="A2136" s="12" t="s">
        <v>2617</v>
      </c>
      <c r="C2136">
        <v>448</v>
      </c>
      <c r="D2136">
        <v>1</v>
      </c>
      <c r="F2136">
        <v>-1.496</v>
      </c>
      <c r="K2136" s="2">
        <v>0.13900000000000001</v>
      </c>
      <c r="L2136" s="17">
        <v>0.13900000000000001</v>
      </c>
      <c r="M2136" s="2" t="s">
        <v>2558</v>
      </c>
      <c r="N2136" s="2" t="s">
        <v>2558</v>
      </c>
    </row>
    <row r="2137" spans="1:15" x14ac:dyDescent="0.25">
      <c r="A2137" s="12" t="s">
        <v>1926</v>
      </c>
      <c r="C2137">
        <v>449</v>
      </c>
      <c r="D2137">
        <v>1</v>
      </c>
      <c r="G2137">
        <v>87.73</v>
      </c>
      <c r="H2137">
        <v>2</v>
      </c>
      <c r="I2137">
        <v>162</v>
      </c>
      <c r="J2137">
        <f t="shared" ref="J2137:J2153" si="112">IF(NOT(ISBLANK(F2137)),SQRT((F2137^2*1/H2137)/(F2137^2*1/H2137+1)),IF(NOT(ISBLANK(G2137)),SQRT((G2137*H2137/I2137)/(G2137*H2137/I2137+1)*SQRT(1/H2137))))</f>
        <v>0.60634585421996967</v>
      </c>
      <c r="K2137" s="2">
        <v>1E-3</v>
      </c>
      <c r="L2137" s="17">
        <v>1E-3</v>
      </c>
      <c r="M2137" s="2" t="s">
        <v>2558</v>
      </c>
      <c r="N2137" s="2" t="s">
        <v>2558</v>
      </c>
      <c r="O2137" t="s">
        <v>2264</v>
      </c>
    </row>
    <row r="2138" spans="1:15" x14ac:dyDescent="0.25">
      <c r="A2138" s="12" t="s">
        <v>1927</v>
      </c>
      <c r="C2138">
        <v>449</v>
      </c>
      <c r="D2138">
        <v>1</v>
      </c>
      <c r="G2138">
        <v>135.26</v>
      </c>
      <c r="H2138">
        <v>1</v>
      </c>
      <c r="I2138">
        <v>81</v>
      </c>
      <c r="J2138">
        <f t="shared" si="112"/>
        <v>0.79085450381447764</v>
      </c>
      <c r="K2138" s="2">
        <v>1E-3</v>
      </c>
      <c r="L2138" s="17">
        <v>1E-3</v>
      </c>
      <c r="M2138" s="2" t="s">
        <v>2558</v>
      </c>
      <c r="N2138" s="2" t="s">
        <v>2558</v>
      </c>
    </row>
    <row r="2139" spans="1:15" x14ac:dyDescent="0.25">
      <c r="A2139" s="12" t="s">
        <v>1928</v>
      </c>
      <c r="C2139">
        <v>449</v>
      </c>
      <c r="D2139">
        <v>1</v>
      </c>
      <c r="G2139">
        <v>4.05</v>
      </c>
      <c r="H2139">
        <v>1</v>
      </c>
      <c r="I2139">
        <v>81</v>
      </c>
      <c r="J2139">
        <f t="shared" si="112"/>
        <v>0.21821789023599236</v>
      </c>
      <c r="K2139" s="2">
        <v>4.7E-2</v>
      </c>
      <c r="L2139" s="17">
        <v>4.7E-2</v>
      </c>
      <c r="M2139" s="2" t="s">
        <v>2558</v>
      </c>
      <c r="N2139" s="2" t="s">
        <v>2558</v>
      </c>
    </row>
    <row r="2140" spans="1:15" x14ac:dyDescent="0.25">
      <c r="A2140" s="12" t="s">
        <v>1929</v>
      </c>
      <c r="C2140">
        <v>449</v>
      </c>
      <c r="D2140">
        <v>1</v>
      </c>
      <c r="G2140">
        <v>7.54</v>
      </c>
      <c r="H2140">
        <v>1</v>
      </c>
      <c r="I2140">
        <v>81</v>
      </c>
      <c r="J2140">
        <f t="shared" si="112"/>
        <v>0.29182057853494781</v>
      </c>
      <c r="K2140" s="2">
        <v>7.0000000000000001E-3</v>
      </c>
      <c r="L2140" s="17">
        <v>7.0000000000000001E-3</v>
      </c>
      <c r="M2140" s="2" t="s">
        <v>2558</v>
      </c>
      <c r="N2140" s="2" t="s">
        <v>2558</v>
      </c>
    </row>
    <row r="2141" spans="1:15" x14ac:dyDescent="0.25">
      <c r="A2141" s="12" t="s">
        <v>1930</v>
      </c>
      <c r="C2141">
        <v>449</v>
      </c>
      <c r="D2141">
        <v>2</v>
      </c>
      <c r="G2141">
        <v>0.01</v>
      </c>
      <c r="H2141">
        <v>1</v>
      </c>
      <c r="I2141">
        <v>81</v>
      </c>
      <c r="J2141">
        <f t="shared" si="112"/>
        <v>1.1110425303554916E-2</v>
      </c>
      <c r="K2141" s="2">
        <v>0.90800000000000003</v>
      </c>
      <c r="L2141" s="17">
        <v>0.90800000000000003</v>
      </c>
      <c r="M2141" s="2" t="s">
        <v>2558</v>
      </c>
      <c r="N2141" s="2" t="s">
        <v>2558</v>
      </c>
    </row>
    <row r="2142" spans="1:15" x14ac:dyDescent="0.25">
      <c r="A2142" s="12" t="s">
        <v>1931</v>
      </c>
      <c r="C2142">
        <v>449</v>
      </c>
      <c r="D2142">
        <v>1</v>
      </c>
      <c r="G2142">
        <v>11.61</v>
      </c>
      <c r="H2142">
        <v>1</v>
      </c>
      <c r="I2142">
        <v>81</v>
      </c>
      <c r="J2142">
        <f t="shared" si="112"/>
        <v>0.35406839944688717</v>
      </c>
      <c r="K2142" s="2">
        <v>1E-3</v>
      </c>
      <c r="L2142" s="17">
        <v>1E-3</v>
      </c>
      <c r="M2142" s="2" t="s">
        <v>2558</v>
      </c>
      <c r="N2142" s="2" t="s">
        <v>2558</v>
      </c>
    </row>
    <row r="2143" spans="1:15" x14ac:dyDescent="0.25">
      <c r="A2143" s="12" t="s">
        <v>1932</v>
      </c>
      <c r="C2143">
        <v>449</v>
      </c>
      <c r="D2143">
        <v>1</v>
      </c>
      <c r="G2143">
        <v>8.1999999999999993</v>
      </c>
      <c r="H2143">
        <v>1</v>
      </c>
      <c r="I2143">
        <v>81</v>
      </c>
      <c r="J2143">
        <f t="shared" si="112"/>
        <v>0.30319672016873173</v>
      </c>
      <c r="K2143" s="2">
        <v>5.0000000000000001E-3</v>
      </c>
      <c r="L2143" s="17">
        <v>5.0000000000000001E-3</v>
      </c>
      <c r="M2143" s="2" t="s">
        <v>2558</v>
      </c>
      <c r="N2143" s="2" t="s">
        <v>2558</v>
      </c>
    </row>
    <row r="2144" spans="1:15" x14ac:dyDescent="0.25">
      <c r="A2144" s="12" t="s">
        <v>1933</v>
      </c>
      <c r="C2144">
        <v>449</v>
      </c>
      <c r="D2144">
        <v>1</v>
      </c>
      <c r="G2144">
        <v>3.84</v>
      </c>
      <c r="H2144">
        <v>1</v>
      </c>
      <c r="I2144">
        <v>81</v>
      </c>
      <c r="J2144">
        <f t="shared" si="112"/>
        <v>0.21274790016365674</v>
      </c>
      <c r="K2144" s="2">
        <v>5.2999999999999999E-2</v>
      </c>
      <c r="L2144" s="17">
        <v>5.2999999999999999E-2</v>
      </c>
      <c r="M2144" s="2" t="s">
        <v>2558</v>
      </c>
      <c r="N2144" s="2" t="s">
        <v>2558</v>
      </c>
    </row>
    <row r="2145" spans="1:16" x14ac:dyDescent="0.25">
      <c r="A2145" s="12" t="s">
        <v>1934</v>
      </c>
      <c r="C2145">
        <v>451</v>
      </c>
      <c r="D2145">
        <v>1</v>
      </c>
      <c r="G2145">
        <v>28.241</v>
      </c>
      <c r="H2145">
        <v>1</v>
      </c>
      <c r="I2145">
        <v>247</v>
      </c>
      <c r="J2145">
        <f t="shared" si="112"/>
        <v>0.3203195693225222</v>
      </c>
      <c r="K2145" s="2" t="s">
        <v>2528</v>
      </c>
      <c r="L2145" s="17">
        <v>4.9000000000000002E-2</v>
      </c>
      <c r="M2145" s="2">
        <v>0</v>
      </c>
      <c r="N2145" s="2">
        <f t="shared" ref="N2145:N2175" si="113">IF(M2145=0, 0)</f>
        <v>0</v>
      </c>
    </row>
    <row r="2146" spans="1:16" x14ac:dyDescent="0.25">
      <c r="A2146" s="12" t="s">
        <v>1935</v>
      </c>
      <c r="C2146">
        <v>451</v>
      </c>
      <c r="D2146">
        <v>1</v>
      </c>
      <c r="G2146">
        <v>4.806</v>
      </c>
      <c r="H2146">
        <v>1</v>
      </c>
      <c r="I2146">
        <v>247</v>
      </c>
      <c r="J2146">
        <f t="shared" si="112"/>
        <v>0.13815253112308265</v>
      </c>
      <c r="K2146" s="2" t="s">
        <v>2528</v>
      </c>
      <c r="L2146" s="17">
        <v>4.9000000000000002E-2</v>
      </c>
      <c r="M2146" s="2">
        <v>0</v>
      </c>
      <c r="N2146" s="2">
        <f t="shared" si="113"/>
        <v>0</v>
      </c>
    </row>
    <row r="2147" spans="1:16" x14ac:dyDescent="0.25">
      <c r="A2147" s="12" t="s">
        <v>1936</v>
      </c>
      <c r="C2147">
        <v>451</v>
      </c>
      <c r="D2147">
        <v>1</v>
      </c>
      <c r="G2147">
        <v>3.98</v>
      </c>
      <c r="H2147">
        <v>1</v>
      </c>
      <c r="I2147">
        <v>246</v>
      </c>
      <c r="J2147">
        <f t="shared" si="112"/>
        <v>0.12617952964683357</v>
      </c>
      <c r="K2147" s="2" t="s">
        <v>2528</v>
      </c>
      <c r="L2147" s="17">
        <v>4.9000000000000002E-2</v>
      </c>
      <c r="M2147" s="2">
        <v>0</v>
      </c>
      <c r="N2147" s="2">
        <f t="shared" si="113"/>
        <v>0</v>
      </c>
    </row>
    <row r="2148" spans="1:16" x14ac:dyDescent="0.25">
      <c r="A2148" s="12" t="s">
        <v>1937</v>
      </c>
      <c r="C2148">
        <v>451</v>
      </c>
      <c r="D2148">
        <v>1</v>
      </c>
      <c r="G2148">
        <v>4.8899999999999997</v>
      </c>
      <c r="H2148">
        <v>1</v>
      </c>
      <c r="I2148">
        <v>246</v>
      </c>
      <c r="J2148">
        <f t="shared" si="112"/>
        <v>0.13960878703089644</v>
      </c>
      <c r="K2148" s="2" t="s">
        <v>2528</v>
      </c>
      <c r="L2148" s="17">
        <v>4.9000000000000002E-2</v>
      </c>
      <c r="M2148" s="2">
        <v>0</v>
      </c>
      <c r="N2148" s="2">
        <f t="shared" si="113"/>
        <v>0</v>
      </c>
    </row>
    <row r="2149" spans="1:16" x14ac:dyDescent="0.25">
      <c r="A2149" s="12" t="s">
        <v>1938</v>
      </c>
      <c r="C2149">
        <v>452</v>
      </c>
      <c r="D2149">
        <v>1</v>
      </c>
      <c r="E2149">
        <v>0</v>
      </c>
      <c r="J2149" t="b">
        <f t="shared" si="112"/>
        <v>0</v>
      </c>
      <c r="K2149" s="2">
        <v>0.629</v>
      </c>
      <c r="L2149" s="17">
        <v>0.629</v>
      </c>
    </row>
    <row r="2150" spans="1:16" x14ac:dyDescent="0.25">
      <c r="A2150" s="12" t="s">
        <v>1939</v>
      </c>
      <c r="C2150">
        <v>452</v>
      </c>
      <c r="D2150">
        <v>1</v>
      </c>
      <c r="E2150">
        <v>0</v>
      </c>
      <c r="J2150" t="b">
        <f t="shared" si="112"/>
        <v>0</v>
      </c>
      <c r="K2150" s="2">
        <v>0.77300000000000002</v>
      </c>
      <c r="L2150" s="17">
        <v>0.77300000000000002</v>
      </c>
    </row>
    <row r="2151" spans="1:16" x14ac:dyDescent="0.25">
      <c r="A2151" s="12" t="s">
        <v>1940</v>
      </c>
      <c r="C2151">
        <v>452</v>
      </c>
      <c r="D2151">
        <v>1</v>
      </c>
      <c r="F2151">
        <v>3.6</v>
      </c>
      <c r="H2151">
        <v>41</v>
      </c>
      <c r="J2151">
        <f t="shared" si="112"/>
        <v>0.49007949310559706</v>
      </c>
      <c r="K2151" s="2">
        <v>1E-3</v>
      </c>
      <c r="L2151" s="17">
        <v>1E-3</v>
      </c>
      <c r="M2151" s="2">
        <v>0</v>
      </c>
      <c r="N2151" s="2">
        <f t="shared" si="113"/>
        <v>0</v>
      </c>
    </row>
    <row r="2152" spans="1:16" x14ac:dyDescent="0.25">
      <c r="A2152" s="12" t="s">
        <v>1941</v>
      </c>
      <c r="C2152">
        <v>452</v>
      </c>
      <c r="D2152">
        <v>1</v>
      </c>
      <c r="F2152">
        <v>9.69</v>
      </c>
      <c r="H2152">
        <v>41</v>
      </c>
      <c r="J2152">
        <f t="shared" si="112"/>
        <v>0.83430352803760588</v>
      </c>
      <c r="K2152" s="2" t="s">
        <v>2139</v>
      </c>
      <c r="L2152" s="17">
        <v>1E-3</v>
      </c>
      <c r="M2152" s="2">
        <v>0</v>
      </c>
      <c r="N2152" s="2">
        <f t="shared" si="113"/>
        <v>0</v>
      </c>
    </row>
    <row r="2153" spans="1:16" x14ac:dyDescent="0.25">
      <c r="A2153" s="12" t="s">
        <v>1942</v>
      </c>
      <c r="C2153">
        <v>452</v>
      </c>
      <c r="D2153">
        <v>1</v>
      </c>
      <c r="F2153">
        <v>2.4900000000000002</v>
      </c>
      <c r="H2153">
        <v>40</v>
      </c>
      <c r="J2153">
        <f t="shared" si="112"/>
        <v>0.36633455777871399</v>
      </c>
      <c r="K2153" s="2">
        <v>1.7000000000000001E-2</v>
      </c>
      <c r="L2153" s="17">
        <v>1.7000000000000001E-2</v>
      </c>
      <c r="M2153" s="2">
        <v>0</v>
      </c>
      <c r="N2153" s="2">
        <f t="shared" si="113"/>
        <v>0</v>
      </c>
    </row>
    <row r="2154" spans="1:16" x14ac:dyDescent="0.25">
      <c r="A2154" s="12" t="s">
        <v>1943</v>
      </c>
      <c r="C2154">
        <v>452</v>
      </c>
      <c r="D2154">
        <v>1</v>
      </c>
      <c r="J2154">
        <v>0.37</v>
      </c>
      <c r="K2154" s="2" t="s">
        <v>2528</v>
      </c>
      <c r="L2154" s="17">
        <v>4.9000000000000002E-2</v>
      </c>
      <c r="O2154" t="s">
        <v>2299</v>
      </c>
      <c r="P2154" s="2" t="s">
        <v>2560</v>
      </c>
    </row>
    <row r="2155" spans="1:16" x14ac:dyDescent="0.25">
      <c r="A2155" s="12" t="s">
        <v>1944</v>
      </c>
      <c r="C2155">
        <v>452</v>
      </c>
      <c r="D2155">
        <v>4</v>
      </c>
      <c r="J2155">
        <v>0.44</v>
      </c>
      <c r="K2155" s="2" t="s">
        <v>2528</v>
      </c>
      <c r="L2155" s="17">
        <v>4.9000000000000002E-2</v>
      </c>
      <c r="P2155" s="2" t="s">
        <v>2560</v>
      </c>
    </row>
    <row r="2156" spans="1:16" x14ac:dyDescent="0.25">
      <c r="A2156" s="12" t="s">
        <v>1945</v>
      </c>
      <c r="C2156">
        <v>452</v>
      </c>
      <c r="D2156">
        <v>1</v>
      </c>
      <c r="J2156">
        <v>0.4</v>
      </c>
      <c r="K2156" s="2" t="s">
        <v>2528</v>
      </c>
      <c r="L2156" s="17">
        <v>4.9000000000000002E-2</v>
      </c>
      <c r="P2156" s="2" t="s">
        <v>2560</v>
      </c>
    </row>
    <row r="2157" spans="1:16" x14ac:dyDescent="0.25">
      <c r="A2157" s="12" t="s">
        <v>1946</v>
      </c>
      <c r="C2157">
        <v>452</v>
      </c>
      <c r="D2157">
        <v>1</v>
      </c>
      <c r="J2157">
        <v>0.41</v>
      </c>
      <c r="K2157" s="2" t="s">
        <v>2528</v>
      </c>
      <c r="L2157" s="17">
        <v>4.9000000000000002E-2</v>
      </c>
      <c r="P2157" s="2" t="s">
        <v>2560</v>
      </c>
    </row>
    <row r="2158" spans="1:16" x14ac:dyDescent="0.25">
      <c r="A2158" s="12" t="s">
        <v>1947</v>
      </c>
      <c r="C2158">
        <v>452</v>
      </c>
      <c r="D2158">
        <v>1</v>
      </c>
      <c r="F2158">
        <v>9.7100000000000009</v>
      </c>
      <c r="H2158">
        <v>41</v>
      </c>
      <c r="J2158">
        <f>IF(NOT(ISBLANK(F2158)),SQRT((F2158^2*1/H2158)/(F2158^2*1/H2158+1)),IF(NOT(ISBLANK(G2158)),SQRT((G2158*H2158/I2158)/(G2158*H2158/I2158+1)*SQRT(1/H2158))))</f>
        <v>0.834825779240433</v>
      </c>
      <c r="K2158" s="2" t="s">
        <v>2141</v>
      </c>
      <c r="L2158" s="17">
        <v>1E-3</v>
      </c>
      <c r="M2158" s="2">
        <v>0</v>
      </c>
      <c r="N2158" s="2">
        <f t="shared" si="113"/>
        <v>0</v>
      </c>
    </row>
    <row r="2159" spans="1:16" x14ac:dyDescent="0.25">
      <c r="A2159" s="12" t="s">
        <v>1948</v>
      </c>
      <c r="C2159">
        <v>452</v>
      </c>
      <c r="D2159">
        <v>1</v>
      </c>
      <c r="F2159">
        <v>7.91</v>
      </c>
      <c r="H2159">
        <v>41</v>
      </c>
      <c r="J2159">
        <f>IF(NOT(ISBLANK(F2159)),SQRT((F2159^2*1/H2159)/(F2159^2*1/H2159+1)),IF(NOT(ISBLANK(G2159)),SQRT((G2159*H2159/I2159)/(G2159*H2159/I2159+1)*SQRT(1/H2159))))</f>
        <v>0.77725491856773299</v>
      </c>
      <c r="K2159" s="2" t="s">
        <v>2141</v>
      </c>
      <c r="L2159" s="17">
        <v>1E-3</v>
      </c>
      <c r="M2159" s="2">
        <v>0</v>
      </c>
      <c r="N2159" s="2">
        <f t="shared" si="113"/>
        <v>0</v>
      </c>
    </row>
    <row r="2160" spans="1:16" x14ac:dyDescent="0.25">
      <c r="A2160" s="12" t="s">
        <v>1949</v>
      </c>
      <c r="C2160">
        <v>452</v>
      </c>
      <c r="D2160">
        <v>1</v>
      </c>
      <c r="F2160">
        <v>13.23</v>
      </c>
      <c r="H2160">
        <v>41</v>
      </c>
      <c r="J2160">
        <f>IF(NOT(ISBLANK(F2160)),SQRT((F2160^2*1/H2160)/(F2160^2*1/H2160+1)),IF(NOT(ISBLANK(G2160)),SQRT((G2160*H2160/I2160)/(G2160*H2160/I2160+1)*SQRT(1/H2160))))</f>
        <v>0.90011893235869511</v>
      </c>
      <c r="K2160" s="2" t="s">
        <v>2139</v>
      </c>
      <c r="L2160" s="17">
        <v>1E-3</v>
      </c>
      <c r="M2160" s="2">
        <v>0</v>
      </c>
      <c r="N2160" s="2">
        <f t="shared" si="113"/>
        <v>0</v>
      </c>
    </row>
    <row r="2161" spans="1:16" x14ac:dyDescent="0.25">
      <c r="A2161" s="12" t="s">
        <v>1950</v>
      </c>
      <c r="C2161">
        <v>452</v>
      </c>
      <c r="D2161">
        <v>1</v>
      </c>
      <c r="F2161">
        <v>3.56</v>
      </c>
      <c r="H2161">
        <v>41</v>
      </c>
      <c r="J2161">
        <f>IF(NOT(ISBLANK(F2161)),SQRT((F2161^2*1/H2161)/(F2161^2*1/H2161+1)),IF(NOT(ISBLANK(G2161)),SQRT((G2161*H2161/I2161)/(G2161*H2161/I2161+1)*SQRT(1/H2161))))</f>
        <v>0.48592543858774312</v>
      </c>
      <c r="K2161" s="2" t="s">
        <v>2139</v>
      </c>
      <c r="L2161" s="17">
        <v>1E-3</v>
      </c>
      <c r="M2161" s="2">
        <v>0</v>
      </c>
      <c r="N2161" s="2">
        <f t="shared" si="113"/>
        <v>0</v>
      </c>
    </row>
    <row r="2162" spans="1:16" x14ac:dyDescent="0.25">
      <c r="A2162" s="12" t="s">
        <v>1951</v>
      </c>
      <c r="C2162">
        <v>452</v>
      </c>
      <c r="D2162">
        <v>1</v>
      </c>
      <c r="J2162">
        <v>0.3</v>
      </c>
      <c r="K2162" s="2">
        <v>5.7000000000000002E-2</v>
      </c>
      <c r="L2162" s="17">
        <v>5.7000000000000002E-2</v>
      </c>
      <c r="P2162" s="2" t="s">
        <v>2560</v>
      </c>
    </row>
    <row r="2163" spans="1:16" x14ac:dyDescent="0.25">
      <c r="A2163" s="12" t="s">
        <v>1952</v>
      </c>
      <c r="C2163">
        <v>452</v>
      </c>
      <c r="D2163">
        <v>1</v>
      </c>
      <c r="J2163">
        <v>0.09</v>
      </c>
      <c r="K2163" s="2">
        <v>0.57199999999999995</v>
      </c>
      <c r="L2163" s="17">
        <v>0.57199999999999995</v>
      </c>
      <c r="P2163" s="2" t="s">
        <v>2560</v>
      </c>
    </row>
    <row r="2164" spans="1:16" x14ac:dyDescent="0.25">
      <c r="A2164" s="12" t="s">
        <v>1953</v>
      </c>
      <c r="C2164">
        <v>453</v>
      </c>
      <c r="D2164">
        <v>1</v>
      </c>
      <c r="J2164">
        <v>0.25</v>
      </c>
      <c r="K2164" s="2">
        <v>3.0000000000000001E-3</v>
      </c>
      <c r="L2164" s="17">
        <v>3.0000000000000001E-3</v>
      </c>
      <c r="P2164" s="2" t="s">
        <v>2560</v>
      </c>
    </row>
    <row r="2165" spans="1:16" x14ac:dyDescent="0.25">
      <c r="A2165" s="12" t="s">
        <v>1954</v>
      </c>
      <c r="C2165">
        <v>453</v>
      </c>
      <c r="D2165">
        <v>1</v>
      </c>
      <c r="J2165">
        <v>0.14000000000000001</v>
      </c>
      <c r="K2165" s="2">
        <v>0.126</v>
      </c>
      <c r="L2165" s="17">
        <v>0.126</v>
      </c>
      <c r="P2165" s="2" t="s">
        <v>2560</v>
      </c>
    </row>
    <row r="2166" spans="1:16" x14ac:dyDescent="0.25">
      <c r="A2166" s="12" t="s">
        <v>1955</v>
      </c>
      <c r="C2166">
        <v>453</v>
      </c>
      <c r="D2166">
        <v>2</v>
      </c>
      <c r="J2166">
        <v>-0.13</v>
      </c>
      <c r="K2166" s="2">
        <v>0.13600000000000001</v>
      </c>
      <c r="L2166" s="17">
        <v>0.13600000000000001</v>
      </c>
      <c r="O2166" t="s">
        <v>2273</v>
      </c>
      <c r="P2166" s="2" t="s">
        <v>2560</v>
      </c>
    </row>
    <row r="2167" spans="1:16" x14ac:dyDescent="0.25">
      <c r="A2167" s="12" t="s">
        <v>2371</v>
      </c>
      <c r="C2167">
        <v>455</v>
      </c>
      <c r="D2167">
        <v>1</v>
      </c>
      <c r="G2167">
        <v>93.54</v>
      </c>
      <c r="H2167">
        <v>1</v>
      </c>
      <c r="I2167">
        <v>20</v>
      </c>
      <c r="J2167">
        <f>IF(NOT(ISBLANK(F2167)),SQRT((F2167^2*1/H2167)/(F2167^2*1/H2167+1)),IF(NOT(ISBLANK(G2167)),SQRT((G2167*H2167/I2167)/(G2167*H2167/I2167+1)*SQRT(1/H2167))))</f>
        <v>0.90766217577371822</v>
      </c>
      <c r="K2167" s="2" t="s">
        <v>2174</v>
      </c>
      <c r="L2167" s="17">
        <v>1E-3</v>
      </c>
      <c r="M2167" s="2">
        <v>0</v>
      </c>
      <c r="N2167" s="2">
        <f t="shared" si="113"/>
        <v>0</v>
      </c>
    </row>
    <row r="2168" spans="1:16" x14ac:dyDescent="0.25">
      <c r="A2168" s="12" t="s">
        <v>2372</v>
      </c>
      <c r="C2168">
        <v>455</v>
      </c>
      <c r="D2168">
        <v>1</v>
      </c>
      <c r="H2168">
        <v>10</v>
      </c>
      <c r="I2168">
        <v>200</v>
      </c>
      <c r="J2168" t="b">
        <f>IF(NOT(ISBLANK(F2168)),SQRT((F2168^2*1/H2168)/(F2168^2*1/H2168+1)),IF(NOT(ISBLANK(G2168)),SQRT((G2168*H2168/I2168)/(G2168*H2168/I2168+1)*SQRT(1/H2168))))</f>
        <v>0</v>
      </c>
      <c r="K2168" s="2" t="s">
        <v>2174</v>
      </c>
      <c r="L2168" s="17">
        <v>1E-3</v>
      </c>
      <c r="M2168" s="2">
        <v>0</v>
      </c>
      <c r="N2168" s="2">
        <f t="shared" si="113"/>
        <v>0</v>
      </c>
    </row>
    <row r="2169" spans="1:16" x14ac:dyDescent="0.25">
      <c r="A2169" s="12" t="s">
        <v>2373</v>
      </c>
      <c r="C2169">
        <v>455</v>
      </c>
      <c r="D2169">
        <v>1</v>
      </c>
      <c r="H2169">
        <v>10</v>
      </c>
      <c r="I2169">
        <v>200</v>
      </c>
      <c r="J2169" t="b">
        <f>IF(NOT(ISBLANK(F2169)),SQRT((F2169^2*1/H2169)/(F2169^2*1/H2169+1)),IF(NOT(ISBLANK(G2169)),SQRT((G2169*H2169/I2169)/(G2169*H2169/I2169+1)*SQRT(1/H2169))))</f>
        <v>0</v>
      </c>
      <c r="K2169" s="2" t="s">
        <v>2174</v>
      </c>
      <c r="L2169" s="17">
        <v>1E-3</v>
      </c>
      <c r="M2169" s="2">
        <v>0</v>
      </c>
      <c r="N2169" s="2">
        <f t="shared" si="113"/>
        <v>0</v>
      </c>
    </row>
    <row r="2170" spans="1:16" x14ac:dyDescent="0.25">
      <c r="A2170" s="12" t="s">
        <v>2374</v>
      </c>
      <c r="C2170">
        <v>455</v>
      </c>
      <c r="D2170">
        <v>1</v>
      </c>
      <c r="F2170">
        <v>2.71</v>
      </c>
      <c r="H2170">
        <v>20</v>
      </c>
      <c r="J2170">
        <f>IF(NOT(ISBLANK(F2170)),SQRT((F2170^2*1/H2170)/(F2170^2*1/H2170+1)),IF(NOT(ISBLANK(G2170)),SQRT((G2170*H2170/I2170)/(G2170*H2170/I2170+1)*SQRT(1/H2170))))</f>
        <v>0.51824780823203398</v>
      </c>
      <c r="K2170" s="2" t="s">
        <v>2534</v>
      </c>
      <c r="L2170" s="17">
        <v>0.01</v>
      </c>
      <c r="M2170" s="2">
        <v>1</v>
      </c>
      <c r="N2170" s="2">
        <v>0</v>
      </c>
      <c r="O2170" t="s">
        <v>2312</v>
      </c>
    </row>
    <row r="2171" spans="1:16" x14ac:dyDescent="0.25">
      <c r="A2171" s="12" t="s">
        <v>2375</v>
      </c>
      <c r="C2171">
        <v>455</v>
      </c>
      <c r="D2171">
        <v>1</v>
      </c>
      <c r="J2171">
        <v>0.53</v>
      </c>
      <c r="K2171" s="2" t="s">
        <v>2556</v>
      </c>
      <c r="L2171" s="17">
        <v>0.02</v>
      </c>
      <c r="P2171" s="2" t="s">
        <v>2560</v>
      </c>
    </row>
    <row r="2172" spans="1:16" x14ac:dyDescent="0.25">
      <c r="A2172" s="12" t="s">
        <v>2376</v>
      </c>
      <c r="C2172">
        <v>455</v>
      </c>
      <c r="D2172">
        <v>1</v>
      </c>
      <c r="J2172">
        <v>0.8</v>
      </c>
      <c r="K2172" s="2" t="s">
        <v>2174</v>
      </c>
      <c r="L2172" s="17">
        <v>1E-3</v>
      </c>
      <c r="P2172" s="2" t="s">
        <v>2560</v>
      </c>
    </row>
    <row r="2173" spans="1:16" x14ac:dyDescent="0.25">
      <c r="A2173" s="12" t="s">
        <v>2377</v>
      </c>
      <c r="C2173">
        <v>455</v>
      </c>
      <c r="D2173">
        <v>1</v>
      </c>
      <c r="J2173">
        <v>-0.56000000000000005</v>
      </c>
      <c r="K2173" s="2" t="s">
        <v>2556</v>
      </c>
      <c r="L2173" s="17">
        <v>0.02</v>
      </c>
      <c r="P2173" s="2" t="s">
        <v>2560</v>
      </c>
    </row>
    <row r="2174" spans="1:16" x14ac:dyDescent="0.25">
      <c r="A2174" s="12" t="s">
        <v>1956</v>
      </c>
      <c r="C2174">
        <v>457</v>
      </c>
      <c r="D2174">
        <v>2</v>
      </c>
      <c r="F2174">
        <v>-0.46</v>
      </c>
      <c r="H2174">
        <v>13</v>
      </c>
      <c r="J2174">
        <f t="shared" ref="J2174:J2182" si="114">IF(NOT(ISBLANK(F2174)),SQRT((F2174^2*1/H2174)/(F2174^2*1/H2174+1)),IF(NOT(ISBLANK(G2174)),SQRT((G2174*H2174/I2174)/(G2174*H2174/I2174+1)*SQRT(1/H2174))))</f>
        <v>0.1265552375965901</v>
      </c>
      <c r="K2174" s="2">
        <v>0.65</v>
      </c>
      <c r="L2174" s="17">
        <v>0.65</v>
      </c>
      <c r="M2174" s="2">
        <v>0</v>
      </c>
      <c r="N2174" s="2">
        <f t="shared" si="113"/>
        <v>0</v>
      </c>
    </row>
    <row r="2175" spans="1:16" x14ac:dyDescent="0.25">
      <c r="A2175" s="12" t="s">
        <v>1957</v>
      </c>
      <c r="C2175">
        <v>457</v>
      </c>
      <c r="D2175">
        <v>1</v>
      </c>
      <c r="F2175">
        <v>-0.82599999999999996</v>
      </c>
      <c r="H2175">
        <v>13</v>
      </c>
      <c r="J2175">
        <f t="shared" si="114"/>
        <v>0.22330624765574378</v>
      </c>
      <c r="K2175" s="2">
        <v>0.42</v>
      </c>
      <c r="L2175" s="17">
        <v>0.42</v>
      </c>
      <c r="M2175" s="2">
        <v>0</v>
      </c>
      <c r="N2175" s="2">
        <f t="shared" si="113"/>
        <v>0</v>
      </c>
    </row>
    <row r="2176" spans="1:16" x14ac:dyDescent="0.25">
      <c r="A2176" s="12" t="s">
        <v>1958</v>
      </c>
      <c r="C2176">
        <v>457</v>
      </c>
      <c r="D2176">
        <v>1</v>
      </c>
      <c r="F2176">
        <v>-0.19400000000000001</v>
      </c>
      <c r="H2176">
        <v>13</v>
      </c>
      <c r="J2176">
        <f t="shared" si="114"/>
        <v>5.3728201604386905E-2</v>
      </c>
      <c r="K2176" s="2">
        <v>0.85</v>
      </c>
      <c r="L2176" s="17">
        <v>0.85</v>
      </c>
      <c r="M2176" s="2">
        <v>0</v>
      </c>
      <c r="N2176" s="2">
        <f t="shared" ref="N2176:N2239" si="115">IF(M2176=0, 0)</f>
        <v>0</v>
      </c>
    </row>
    <row r="2177" spans="1:16" x14ac:dyDescent="0.25">
      <c r="A2177" s="12" t="s">
        <v>1959</v>
      </c>
      <c r="C2177">
        <v>457</v>
      </c>
      <c r="D2177">
        <v>2</v>
      </c>
      <c r="G2177">
        <v>81.25</v>
      </c>
      <c r="H2177">
        <v>1</v>
      </c>
      <c r="I2177">
        <v>27</v>
      </c>
      <c r="J2177">
        <f t="shared" si="114"/>
        <v>0.866358682766868</v>
      </c>
      <c r="K2177" s="2" t="s">
        <v>2139</v>
      </c>
      <c r="L2177" s="17">
        <v>1E-3</v>
      </c>
      <c r="M2177" s="2">
        <v>0</v>
      </c>
      <c r="N2177" s="2">
        <f t="shared" si="115"/>
        <v>0</v>
      </c>
    </row>
    <row r="2178" spans="1:16" x14ac:dyDescent="0.25">
      <c r="A2178" s="12" t="s">
        <v>1960</v>
      </c>
      <c r="C2178">
        <v>457</v>
      </c>
      <c r="D2178">
        <v>1</v>
      </c>
      <c r="G2178">
        <v>41.28</v>
      </c>
      <c r="H2178">
        <v>2</v>
      </c>
      <c r="I2178">
        <v>54</v>
      </c>
      <c r="J2178">
        <f t="shared" si="114"/>
        <v>0.65383112238931573</v>
      </c>
      <c r="K2178" s="2" t="s">
        <v>2141</v>
      </c>
      <c r="L2178" s="17">
        <v>1E-3</v>
      </c>
      <c r="M2178" s="2">
        <v>0</v>
      </c>
      <c r="N2178" s="2">
        <f t="shared" si="115"/>
        <v>0</v>
      </c>
    </row>
    <row r="2179" spans="1:16" x14ac:dyDescent="0.25">
      <c r="A2179" s="12" t="s">
        <v>1961</v>
      </c>
      <c r="C2179">
        <v>457</v>
      </c>
      <c r="D2179">
        <v>1</v>
      </c>
      <c r="G2179">
        <v>14.25</v>
      </c>
      <c r="H2179">
        <v>2</v>
      </c>
      <c r="I2179">
        <v>54</v>
      </c>
      <c r="J2179">
        <f t="shared" si="114"/>
        <v>0.49424007494599781</v>
      </c>
      <c r="K2179" s="2" t="s">
        <v>2141</v>
      </c>
      <c r="L2179" s="17">
        <v>1E-3</v>
      </c>
      <c r="M2179" s="2">
        <v>0</v>
      </c>
      <c r="N2179" s="2">
        <f t="shared" si="115"/>
        <v>0</v>
      </c>
    </row>
    <row r="2180" spans="1:16" x14ac:dyDescent="0.25">
      <c r="A2180" s="12" t="s">
        <v>1962</v>
      </c>
      <c r="C2180">
        <v>457</v>
      </c>
      <c r="D2180">
        <v>1</v>
      </c>
      <c r="F2180">
        <v>8.5299999999999994</v>
      </c>
      <c r="H2180">
        <v>27</v>
      </c>
      <c r="J2180">
        <f t="shared" si="114"/>
        <v>0.85402159383860876</v>
      </c>
      <c r="K2180" s="2" t="s">
        <v>2141</v>
      </c>
      <c r="L2180" s="17">
        <v>1E-3</v>
      </c>
      <c r="M2180" s="2">
        <v>0</v>
      </c>
      <c r="N2180" s="2">
        <f t="shared" si="115"/>
        <v>0</v>
      </c>
    </row>
    <row r="2181" spans="1:16" x14ac:dyDescent="0.25">
      <c r="A2181" s="12" t="s">
        <v>1963</v>
      </c>
      <c r="C2181">
        <v>457</v>
      </c>
      <c r="D2181">
        <v>1</v>
      </c>
      <c r="F2181">
        <v>4.47</v>
      </c>
      <c r="H2181">
        <v>27</v>
      </c>
      <c r="J2181">
        <f t="shared" si="114"/>
        <v>0.65214903659492374</v>
      </c>
      <c r="K2181" s="2" t="s">
        <v>2141</v>
      </c>
      <c r="L2181" s="17">
        <v>1E-3</v>
      </c>
      <c r="M2181" s="2">
        <v>0</v>
      </c>
      <c r="N2181" s="2">
        <f t="shared" si="115"/>
        <v>0</v>
      </c>
    </row>
    <row r="2182" spans="1:16" x14ac:dyDescent="0.25">
      <c r="A2182" s="12" t="s">
        <v>1964</v>
      </c>
      <c r="C2182">
        <v>457</v>
      </c>
      <c r="D2182">
        <v>1</v>
      </c>
      <c r="F2182">
        <v>5.12</v>
      </c>
      <c r="H2182">
        <v>27</v>
      </c>
      <c r="J2182">
        <f t="shared" si="114"/>
        <v>0.70186789308439967</v>
      </c>
      <c r="K2182" s="2" t="s">
        <v>2141</v>
      </c>
      <c r="L2182" s="17">
        <v>1E-3</v>
      </c>
      <c r="M2182" s="2">
        <v>0</v>
      </c>
      <c r="N2182" s="2">
        <f t="shared" si="115"/>
        <v>0</v>
      </c>
    </row>
    <row r="2183" spans="1:16" x14ac:dyDescent="0.25">
      <c r="A2183" s="12" t="s">
        <v>1965</v>
      </c>
      <c r="C2183">
        <v>457</v>
      </c>
      <c r="D2183">
        <v>1</v>
      </c>
      <c r="J2183">
        <v>-0.44</v>
      </c>
      <c r="K2183" s="2">
        <v>0.01</v>
      </c>
      <c r="L2183" s="17">
        <v>0.01</v>
      </c>
      <c r="P2183" s="2" t="s">
        <v>2560</v>
      </c>
    </row>
    <row r="2184" spans="1:16" x14ac:dyDescent="0.25">
      <c r="A2184" s="12" t="s">
        <v>1966</v>
      </c>
      <c r="C2184">
        <v>457</v>
      </c>
      <c r="D2184">
        <v>2</v>
      </c>
      <c r="J2184">
        <v>-0.33</v>
      </c>
      <c r="K2184" s="2">
        <v>7.492E-2</v>
      </c>
      <c r="L2184" s="17">
        <v>7.492E-2</v>
      </c>
      <c r="O2184" t="s">
        <v>2300</v>
      </c>
      <c r="P2184" s="2" t="s">
        <v>2560</v>
      </c>
    </row>
    <row r="2185" spans="1:16" x14ac:dyDescent="0.25">
      <c r="A2185" s="12" t="s">
        <v>1967</v>
      </c>
      <c r="C2185">
        <v>457</v>
      </c>
      <c r="D2185">
        <v>1</v>
      </c>
      <c r="E2185">
        <v>0</v>
      </c>
      <c r="J2185" t="b">
        <f>IF(NOT(ISBLANK(F2185)),SQRT((F2185^2*1/H2185)/(F2185^2*1/H2185+1)),IF(NOT(ISBLANK(G2185)),SQRT((G2185*H2185/I2185)/(G2185*H2185/I2185+1)*SQRT(1/H2185))))</f>
        <v>0</v>
      </c>
      <c r="K2185" s="2">
        <v>0.28000000000000003</v>
      </c>
      <c r="L2185" s="17">
        <v>0.28000000000000003</v>
      </c>
      <c r="M2185" s="2">
        <v>1</v>
      </c>
      <c r="N2185" s="2">
        <v>0</v>
      </c>
      <c r="P2185" s="2" t="s">
        <v>2570</v>
      </c>
    </row>
    <row r="2186" spans="1:16" x14ac:dyDescent="0.25">
      <c r="A2186" s="12" t="s">
        <v>1968</v>
      </c>
      <c r="C2186">
        <v>457</v>
      </c>
      <c r="D2186">
        <v>1</v>
      </c>
      <c r="J2186">
        <v>-0.3</v>
      </c>
      <c r="K2186" s="2">
        <v>0.10725</v>
      </c>
      <c r="L2186" s="17">
        <v>0.10725</v>
      </c>
      <c r="P2186" t="s">
        <v>2560</v>
      </c>
    </row>
    <row r="2187" spans="1:16" x14ac:dyDescent="0.25">
      <c r="A2187" s="12" t="s">
        <v>1969</v>
      </c>
      <c r="C2187">
        <v>457</v>
      </c>
      <c r="D2187">
        <v>1</v>
      </c>
      <c r="E2187">
        <v>0</v>
      </c>
      <c r="J2187" t="b">
        <f>IF(NOT(ISBLANK(F2187)),SQRT((F2187^2*1/H2187)/(F2187^2*1/H2187+1)),IF(NOT(ISBLANK(G2187)),SQRT((G2187*H2187/I2187)/(G2187*H2187/I2187+1)*SQRT(1/H2187))))</f>
        <v>0</v>
      </c>
      <c r="K2187" s="2">
        <v>0.24</v>
      </c>
      <c r="L2187" s="17">
        <v>0.24</v>
      </c>
      <c r="M2187" s="2">
        <v>1</v>
      </c>
      <c r="N2187" s="2">
        <v>0</v>
      </c>
      <c r="P2187" s="2" t="s">
        <v>2570</v>
      </c>
    </row>
    <row r="2188" spans="1:16" x14ac:dyDescent="0.25">
      <c r="A2188" s="12" t="s">
        <v>1970</v>
      </c>
      <c r="C2188">
        <v>457</v>
      </c>
      <c r="D2188">
        <v>1</v>
      </c>
      <c r="E2188">
        <v>0</v>
      </c>
      <c r="J2188" t="b">
        <f>IF(NOT(ISBLANK(F2188)),SQRT((F2188^2*1/H2188)/(F2188^2*1/H2188+1)),IF(NOT(ISBLANK(G2188)),SQRT((G2188*H2188/I2188)/(G2188*H2188/I2188+1)*SQRT(1/H2188))))</f>
        <v>0</v>
      </c>
      <c r="K2188" s="2">
        <v>0.44</v>
      </c>
      <c r="L2188" s="17">
        <v>0.44</v>
      </c>
      <c r="M2188" s="2">
        <v>1</v>
      </c>
      <c r="N2188" s="2">
        <v>0</v>
      </c>
      <c r="P2188" s="2" t="s">
        <v>2570</v>
      </c>
    </row>
    <row r="2189" spans="1:16" x14ac:dyDescent="0.25">
      <c r="A2189" s="12" t="s">
        <v>1971</v>
      </c>
      <c r="C2189">
        <v>457</v>
      </c>
      <c r="D2189">
        <v>1</v>
      </c>
      <c r="J2189">
        <v>-0.40899999999999997</v>
      </c>
      <c r="K2189" s="2">
        <v>2.4819999999999998E-2</v>
      </c>
      <c r="L2189" s="17">
        <v>2.4819999999999998E-2</v>
      </c>
      <c r="M2189" s="2">
        <v>1</v>
      </c>
      <c r="P2189" s="2" t="s">
        <v>2560</v>
      </c>
    </row>
    <row r="2190" spans="1:16" x14ac:dyDescent="0.25">
      <c r="A2190" s="12" t="s">
        <v>1972</v>
      </c>
      <c r="C2190">
        <v>457</v>
      </c>
      <c r="D2190">
        <v>1</v>
      </c>
      <c r="J2190">
        <v>-0.27800000000000002</v>
      </c>
      <c r="K2190" s="2">
        <v>0.13689000000000001</v>
      </c>
      <c r="L2190" s="17">
        <v>0.13689000000000001</v>
      </c>
      <c r="M2190" s="2">
        <v>1</v>
      </c>
      <c r="P2190" s="2" t="s">
        <v>2560</v>
      </c>
    </row>
    <row r="2191" spans="1:16" x14ac:dyDescent="0.25">
      <c r="A2191" s="12" t="s">
        <v>1973</v>
      </c>
      <c r="C2191">
        <v>457</v>
      </c>
      <c r="D2191">
        <v>1</v>
      </c>
      <c r="J2191">
        <v>-0.05</v>
      </c>
      <c r="K2191" s="2">
        <v>0.79301999999999995</v>
      </c>
      <c r="L2191" s="17">
        <v>0.79301999999999995</v>
      </c>
      <c r="M2191" s="2">
        <v>1</v>
      </c>
      <c r="P2191" s="2" t="s">
        <v>2560</v>
      </c>
    </row>
    <row r="2192" spans="1:16" x14ac:dyDescent="0.25">
      <c r="A2192" s="12" t="s">
        <v>1974</v>
      </c>
      <c r="C2192">
        <v>457</v>
      </c>
      <c r="D2192">
        <v>1</v>
      </c>
      <c r="J2192" t="b">
        <f t="shared" ref="J2192:J2203" si="116">IF(NOT(ISBLANK(F2192)),SQRT((F2192^2*1/H2192)/(F2192^2*1/H2192+1)),IF(NOT(ISBLANK(G2192)),SQRT((G2192*H2192/I2192)/(G2192*H2192/I2192+1)*SQRT(1/H2192))))</f>
        <v>0</v>
      </c>
      <c r="K2192" s="2">
        <v>0.50924999999999998</v>
      </c>
      <c r="L2192" s="17">
        <v>0.50924999999999998</v>
      </c>
      <c r="M2192" s="2">
        <v>1</v>
      </c>
      <c r="N2192" s="2">
        <v>0</v>
      </c>
      <c r="P2192" s="2" t="s">
        <v>2570</v>
      </c>
    </row>
    <row r="2193" spans="1:16" x14ac:dyDescent="0.25">
      <c r="A2193" s="12" t="s">
        <v>1975</v>
      </c>
      <c r="C2193">
        <v>457</v>
      </c>
      <c r="D2193">
        <v>2</v>
      </c>
      <c r="J2193" t="b">
        <f t="shared" si="116"/>
        <v>0</v>
      </c>
      <c r="K2193" s="2">
        <v>9.894E-2</v>
      </c>
      <c r="L2193" s="17">
        <v>9.894E-2</v>
      </c>
      <c r="M2193" s="2">
        <v>1</v>
      </c>
      <c r="N2193" s="2">
        <v>0</v>
      </c>
      <c r="O2193" t="s">
        <v>2301</v>
      </c>
      <c r="P2193" s="2" t="s">
        <v>2570</v>
      </c>
    </row>
    <row r="2194" spans="1:16" x14ac:dyDescent="0.25">
      <c r="A2194" s="12" t="s">
        <v>1976</v>
      </c>
      <c r="C2194">
        <v>457</v>
      </c>
      <c r="D2194">
        <v>1</v>
      </c>
      <c r="J2194" t="b">
        <f t="shared" si="116"/>
        <v>0</v>
      </c>
      <c r="K2194" s="2">
        <v>0.17702000000000001</v>
      </c>
      <c r="L2194" s="17">
        <v>0.17702000000000001</v>
      </c>
      <c r="M2194" s="2">
        <v>1</v>
      </c>
      <c r="N2194" s="2">
        <v>0</v>
      </c>
      <c r="P2194" s="2" t="s">
        <v>2570</v>
      </c>
    </row>
    <row r="2195" spans="1:16" x14ac:dyDescent="0.25">
      <c r="A2195" s="12" t="s">
        <v>1977</v>
      </c>
      <c r="C2195">
        <v>458</v>
      </c>
      <c r="D2195">
        <v>1</v>
      </c>
      <c r="F2195">
        <v>2.2400000000000002</v>
      </c>
      <c r="H2195">
        <v>19</v>
      </c>
      <c r="J2195">
        <f t="shared" si="116"/>
        <v>0.45707052350827571</v>
      </c>
      <c r="K2195" s="2">
        <v>3.6999999999999998E-2</v>
      </c>
      <c r="L2195" s="17">
        <v>3.6999999999999998E-2</v>
      </c>
      <c r="M2195" s="2" t="s">
        <v>2558</v>
      </c>
      <c r="N2195" s="2" t="s">
        <v>2558</v>
      </c>
      <c r="O2195" t="s">
        <v>2304</v>
      </c>
    </row>
    <row r="2196" spans="1:16" x14ac:dyDescent="0.25">
      <c r="A2196" s="12" t="s">
        <v>1978</v>
      </c>
      <c r="C2196">
        <v>458</v>
      </c>
      <c r="D2196">
        <v>1</v>
      </c>
      <c r="F2196">
        <v>2.13</v>
      </c>
      <c r="H2196">
        <v>19</v>
      </c>
      <c r="J2196">
        <f t="shared" si="116"/>
        <v>0.43904089230383442</v>
      </c>
      <c r="K2196" s="2">
        <v>4.5999999999999999E-2</v>
      </c>
      <c r="L2196" s="17">
        <v>4.5999999999999999E-2</v>
      </c>
      <c r="M2196" s="2" t="s">
        <v>2558</v>
      </c>
      <c r="N2196" s="2" t="s">
        <v>2558</v>
      </c>
    </row>
    <row r="2197" spans="1:16" x14ac:dyDescent="0.25">
      <c r="A2197" s="12" t="s">
        <v>1979</v>
      </c>
      <c r="C2197">
        <v>458</v>
      </c>
      <c r="D2197">
        <v>1</v>
      </c>
      <c r="F2197">
        <v>1.99</v>
      </c>
      <c r="H2197">
        <v>19</v>
      </c>
      <c r="J2197">
        <f t="shared" si="116"/>
        <v>0.4153040714801805</v>
      </c>
      <c r="K2197" s="2">
        <v>6.2E-2</v>
      </c>
      <c r="L2197" s="17">
        <v>6.2E-2</v>
      </c>
      <c r="M2197" s="2" t="s">
        <v>2558</v>
      </c>
      <c r="N2197" s="2" t="s">
        <v>2558</v>
      </c>
    </row>
    <row r="2198" spans="1:16" x14ac:dyDescent="0.25">
      <c r="A2198" s="12" t="s">
        <v>1980</v>
      </c>
      <c r="C2198">
        <v>458</v>
      </c>
      <c r="D2198">
        <v>1</v>
      </c>
      <c r="F2198">
        <v>4.1500000000000004</v>
      </c>
      <c r="H2198">
        <v>19</v>
      </c>
      <c r="J2198">
        <f t="shared" si="116"/>
        <v>0.68953908171590272</v>
      </c>
      <c r="K2198" s="2">
        <v>1E-3</v>
      </c>
      <c r="L2198" s="17">
        <v>1E-3</v>
      </c>
      <c r="M2198" s="2" t="s">
        <v>2558</v>
      </c>
      <c r="N2198" s="2" t="s">
        <v>2558</v>
      </c>
    </row>
    <row r="2199" spans="1:16" x14ac:dyDescent="0.25">
      <c r="A2199" s="12" t="s">
        <v>1981</v>
      </c>
      <c r="C2199">
        <v>458</v>
      </c>
      <c r="D2199">
        <v>1</v>
      </c>
      <c r="F2199">
        <v>10.97</v>
      </c>
      <c r="H2199">
        <v>19</v>
      </c>
      <c r="J2199">
        <f t="shared" si="116"/>
        <v>0.92932436136575902</v>
      </c>
      <c r="K2199" s="2">
        <v>1E-3</v>
      </c>
      <c r="L2199" s="17">
        <v>1E-3</v>
      </c>
      <c r="M2199" s="2" t="s">
        <v>2558</v>
      </c>
      <c r="N2199" s="2" t="s">
        <v>2558</v>
      </c>
    </row>
    <row r="2200" spans="1:16" x14ac:dyDescent="0.25">
      <c r="A2200" s="12" t="s">
        <v>1982</v>
      </c>
      <c r="C2200">
        <v>458</v>
      </c>
      <c r="D2200">
        <v>1</v>
      </c>
      <c r="G2200">
        <v>1.3</v>
      </c>
      <c r="H2200">
        <v>2</v>
      </c>
      <c r="I2200">
        <v>38</v>
      </c>
      <c r="J2200">
        <f t="shared" si="116"/>
        <v>0.21279732205323953</v>
      </c>
      <c r="K2200" s="2">
        <v>0.27300000000000002</v>
      </c>
      <c r="L2200" s="17">
        <v>0.27300000000000002</v>
      </c>
      <c r="M2200" s="2" t="s">
        <v>2558</v>
      </c>
      <c r="N2200" s="2" t="s">
        <v>2558</v>
      </c>
    </row>
    <row r="2201" spans="1:16" x14ac:dyDescent="0.25">
      <c r="A2201" s="12" t="s">
        <v>1983</v>
      </c>
      <c r="C2201">
        <v>458</v>
      </c>
      <c r="D2201">
        <v>1</v>
      </c>
      <c r="F2201">
        <v>2.66</v>
      </c>
      <c r="H2201">
        <v>19</v>
      </c>
      <c r="J2201">
        <f t="shared" si="116"/>
        <v>0.52091214307078793</v>
      </c>
      <c r="K2201" s="2" t="s">
        <v>2557</v>
      </c>
      <c r="L2201" s="17">
        <v>1.6E-2</v>
      </c>
      <c r="M2201" s="2" t="s">
        <v>2558</v>
      </c>
      <c r="N2201" s="2" t="s">
        <v>2558</v>
      </c>
    </row>
    <row r="2202" spans="1:16" x14ac:dyDescent="0.25">
      <c r="A2202" s="12" t="s">
        <v>1984</v>
      </c>
      <c r="C2202">
        <v>458</v>
      </c>
      <c r="D2202">
        <v>1</v>
      </c>
      <c r="F2202">
        <v>1.91</v>
      </c>
      <c r="H2202">
        <v>18</v>
      </c>
      <c r="J2202">
        <f t="shared" si="116"/>
        <v>0.41050974815954233</v>
      </c>
      <c r="K2202" s="2">
        <v>7.1999999999999995E-2</v>
      </c>
      <c r="L2202" s="17">
        <v>7.1999999999999995E-2</v>
      </c>
      <c r="M2202" s="2" t="s">
        <v>2558</v>
      </c>
      <c r="N2202" s="2" t="s">
        <v>2558</v>
      </c>
    </row>
    <row r="2203" spans="1:16" x14ac:dyDescent="0.25">
      <c r="A2203" s="12" t="s">
        <v>1985</v>
      </c>
      <c r="C2203">
        <v>458</v>
      </c>
      <c r="D2203">
        <v>1</v>
      </c>
      <c r="F2203">
        <v>3.11</v>
      </c>
      <c r="H2203">
        <v>19</v>
      </c>
      <c r="J2203">
        <f t="shared" si="116"/>
        <v>0.58080538950509508</v>
      </c>
      <c r="K2203" s="2">
        <v>6.0000000000000001E-3</v>
      </c>
      <c r="L2203" s="17">
        <v>6.0000000000000001E-3</v>
      </c>
      <c r="M2203" s="2" t="s">
        <v>2558</v>
      </c>
      <c r="N2203" s="2" t="s">
        <v>2558</v>
      </c>
      <c r="O2203" t="s">
        <v>2302</v>
      </c>
    </row>
    <row r="2204" spans="1:16" x14ac:dyDescent="0.25">
      <c r="A2204" s="12" t="s">
        <v>1986</v>
      </c>
      <c r="C2204">
        <v>458</v>
      </c>
      <c r="D2204">
        <v>1</v>
      </c>
      <c r="J2204">
        <v>0.71</v>
      </c>
      <c r="K2204" s="2">
        <v>4.2999999999999999E-4</v>
      </c>
      <c r="L2204" s="17">
        <v>4.2999999999999999E-4</v>
      </c>
      <c r="P2204" s="2" t="s">
        <v>2560</v>
      </c>
    </row>
    <row r="2205" spans="1:16" x14ac:dyDescent="0.25">
      <c r="A2205" s="12" t="s">
        <v>1987</v>
      </c>
      <c r="C2205">
        <v>458</v>
      </c>
      <c r="D2205">
        <v>1</v>
      </c>
      <c r="J2205">
        <v>0.09</v>
      </c>
      <c r="K2205" s="2">
        <v>0.69699999999999995</v>
      </c>
      <c r="L2205" s="17">
        <v>0.69699999999999995</v>
      </c>
      <c r="P2205" s="2" t="s">
        <v>2560</v>
      </c>
    </row>
    <row r="2206" spans="1:16" x14ac:dyDescent="0.25">
      <c r="A2206" s="12" t="s">
        <v>1988</v>
      </c>
      <c r="C2206">
        <v>458</v>
      </c>
      <c r="D2206">
        <v>1</v>
      </c>
      <c r="G2206">
        <v>6.41</v>
      </c>
      <c r="H2206">
        <v>2</v>
      </c>
      <c r="I2206">
        <v>38</v>
      </c>
      <c r="J2206">
        <f>IF(NOT(ISBLANK(F2206)),SQRT((F2206^2*1/H2206)/(F2206^2*1/H2206+1)),IF(NOT(ISBLANK(G2206)),SQRT((G2206*H2206/I2206)/(G2206*H2206/I2206+1)*SQRT(1/H2206))))</f>
        <v>0.42234677599044446</v>
      </c>
      <c r="K2206" s="2">
        <v>4.0000000000000001E-3</v>
      </c>
      <c r="L2206" s="17">
        <v>4.0000000000000001E-3</v>
      </c>
      <c r="M2206" s="2" t="s">
        <v>2558</v>
      </c>
      <c r="N2206" s="2" t="s">
        <v>2558</v>
      </c>
    </row>
    <row r="2207" spans="1:16" x14ac:dyDescent="0.25">
      <c r="A2207" s="12" t="s">
        <v>1989</v>
      </c>
      <c r="C2207">
        <v>458</v>
      </c>
      <c r="D2207">
        <v>1</v>
      </c>
      <c r="G2207">
        <v>8.08</v>
      </c>
      <c r="H2207">
        <v>2</v>
      </c>
      <c r="I2207">
        <v>38</v>
      </c>
      <c r="J2207">
        <f>IF(NOT(ISBLANK(F2207)),SQRT((F2207^2*1/H2207)/(F2207^2*1/H2207+1)),IF(NOT(ISBLANK(G2207)),SQRT((G2207*H2207/I2207)/(G2207*H2207/I2207+1)*SQRT(1/H2207))))</f>
        <v>0.45932898492844459</v>
      </c>
      <c r="K2207" s="2" t="s">
        <v>2519</v>
      </c>
      <c r="L2207" s="17">
        <v>1E-3</v>
      </c>
      <c r="M2207" s="2" t="s">
        <v>2558</v>
      </c>
      <c r="N2207" s="2" t="s">
        <v>2558</v>
      </c>
    </row>
    <row r="2208" spans="1:16" x14ac:dyDescent="0.25">
      <c r="A2208" s="12" t="s">
        <v>1990</v>
      </c>
      <c r="C2208">
        <v>458</v>
      </c>
      <c r="D2208">
        <v>1</v>
      </c>
      <c r="J2208">
        <v>0.20899999999999999</v>
      </c>
      <c r="K2208" s="2">
        <v>0.108</v>
      </c>
      <c r="L2208" s="17">
        <v>0.108</v>
      </c>
      <c r="P2208" s="2" t="s">
        <v>2560</v>
      </c>
    </row>
    <row r="2209" spans="1:16" x14ac:dyDescent="0.25">
      <c r="A2209" s="12" t="s">
        <v>1991</v>
      </c>
      <c r="C2209">
        <v>458</v>
      </c>
      <c r="D2209">
        <v>1</v>
      </c>
      <c r="J2209">
        <v>3.3000000000000002E-2</v>
      </c>
      <c r="K2209" s="2">
        <v>0.80300000000000005</v>
      </c>
      <c r="L2209" s="17">
        <v>0.80300000000000005</v>
      </c>
      <c r="P2209" s="2" t="s">
        <v>2560</v>
      </c>
    </row>
    <row r="2210" spans="1:16" x14ac:dyDescent="0.25">
      <c r="A2210" s="12" t="s">
        <v>1992</v>
      </c>
      <c r="C2210">
        <v>458</v>
      </c>
      <c r="D2210">
        <v>1</v>
      </c>
      <c r="G2210">
        <v>0.74</v>
      </c>
      <c r="H2210">
        <v>2</v>
      </c>
      <c r="I2210">
        <v>38</v>
      </c>
      <c r="J2210">
        <f t="shared" ref="J2210:J2257" si="117">IF(NOT(ISBLANK(F2210)),SQRT((F2210^2*1/H2210)/(F2210^2*1/H2210+1)),IF(NOT(ISBLANK(G2210)),SQRT((G2210*H2210/I2210)/(G2210*H2210/I2210+1)*SQRT(1/H2210))))</f>
        <v>0.16281139100640654</v>
      </c>
      <c r="K2210" s="2">
        <v>0.48599999999999999</v>
      </c>
      <c r="L2210" s="17">
        <v>0.48599999999999999</v>
      </c>
      <c r="M2210" s="2" t="s">
        <v>2558</v>
      </c>
      <c r="N2210" s="2" t="s">
        <v>2558</v>
      </c>
    </row>
    <row r="2211" spans="1:16" x14ac:dyDescent="0.25">
      <c r="A2211" s="12" t="s">
        <v>1993</v>
      </c>
      <c r="C2211">
        <v>458</v>
      </c>
      <c r="D2211">
        <v>1</v>
      </c>
      <c r="F2211">
        <v>3.53</v>
      </c>
      <c r="H2211">
        <v>19</v>
      </c>
      <c r="J2211">
        <f t="shared" si="117"/>
        <v>0.62934550438109504</v>
      </c>
      <c r="K2211" s="2">
        <v>2E-3</v>
      </c>
      <c r="L2211" s="17">
        <v>2E-3</v>
      </c>
      <c r="M2211" s="2" t="s">
        <v>2558</v>
      </c>
      <c r="N2211" s="2" t="s">
        <v>2558</v>
      </c>
    </row>
    <row r="2212" spans="1:16" x14ac:dyDescent="0.25">
      <c r="A2212" s="12" t="s">
        <v>1994</v>
      </c>
      <c r="C2212">
        <v>459</v>
      </c>
      <c r="D2212">
        <v>1</v>
      </c>
      <c r="G2212">
        <v>19.489999999999998</v>
      </c>
      <c r="H2212">
        <v>2</v>
      </c>
      <c r="I2212">
        <v>46</v>
      </c>
      <c r="J2212">
        <f t="shared" si="117"/>
        <v>0.5695148531245976</v>
      </c>
      <c r="K2212" s="2" t="s">
        <v>2519</v>
      </c>
      <c r="L2212" s="17">
        <v>1E-3</v>
      </c>
      <c r="M2212" s="2">
        <v>0</v>
      </c>
      <c r="N2212" s="2">
        <f t="shared" si="115"/>
        <v>0</v>
      </c>
    </row>
    <row r="2213" spans="1:16" x14ac:dyDescent="0.25">
      <c r="A2213" s="12" t="s">
        <v>1995</v>
      </c>
      <c r="B2213" s="4" t="s">
        <v>2303</v>
      </c>
      <c r="C2213">
        <v>459</v>
      </c>
      <c r="D2213">
        <v>1</v>
      </c>
      <c r="G2213">
        <v>30.27</v>
      </c>
      <c r="H2213">
        <v>1</v>
      </c>
      <c r="I2213">
        <v>47</v>
      </c>
      <c r="J2213">
        <f t="shared" si="117"/>
        <v>0.62589395107848367</v>
      </c>
      <c r="K2213" s="2" t="s">
        <v>2517</v>
      </c>
      <c r="L2213" s="17">
        <v>1E-3</v>
      </c>
      <c r="M2213" s="2">
        <v>0</v>
      </c>
      <c r="N2213" s="2">
        <f t="shared" si="115"/>
        <v>0</v>
      </c>
    </row>
    <row r="2214" spans="1:16" x14ac:dyDescent="0.25">
      <c r="A2214" s="12" t="s">
        <v>1996</v>
      </c>
      <c r="C2214">
        <v>459</v>
      </c>
      <c r="D2214">
        <v>1</v>
      </c>
      <c r="F2214">
        <v>3.44</v>
      </c>
      <c r="H2214">
        <v>23</v>
      </c>
      <c r="J2214">
        <f t="shared" si="117"/>
        <v>0.58285330354294207</v>
      </c>
      <c r="K2214" s="2">
        <v>2E-3</v>
      </c>
      <c r="L2214" s="17">
        <v>2E-3</v>
      </c>
      <c r="M2214" s="2">
        <v>0</v>
      </c>
      <c r="N2214" s="2">
        <f t="shared" si="115"/>
        <v>0</v>
      </c>
    </row>
    <row r="2215" spans="1:16" x14ac:dyDescent="0.25">
      <c r="A2215" s="12" t="s">
        <v>1997</v>
      </c>
      <c r="C2215">
        <v>459</v>
      </c>
      <c r="D2215">
        <v>1</v>
      </c>
      <c r="F2215">
        <v>4.47</v>
      </c>
      <c r="H2215">
        <v>24</v>
      </c>
      <c r="J2215">
        <f t="shared" si="117"/>
        <v>0.67402416489220307</v>
      </c>
      <c r="K2215" s="2" t="s">
        <v>2519</v>
      </c>
      <c r="L2215" s="17">
        <v>1E-3</v>
      </c>
      <c r="M2215" s="2">
        <v>0</v>
      </c>
      <c r="N2215" s="2">
        <f t="shared" si="115"/>
        <v>0</v>
      </c>
    </row>
    <row r="2216" spans="1:16" x14ac:dyDescent="0.25">
      <c r="A2216" s="12" t="s">
        <v>1998</v>
      </c>
      <c r="C2216">
        <v>459</v>
      </c>
      <c r="D2216">
        <v>1</v>
      </c>
      <c r="F2216">
        <v>7.23</v>
      </c>
      <c r="H2216">
        <v>24</v>
      </c>
      <c r="J2216">
        <f t="shared" si="117"/>
        <v>0.82785288710351168</v>
      </c>
      <c r="K2216" s="2" t="s">
        <v>2519</v>
      </c>
      <c r="L2216" s="17">
        <v>1E-3</v>
      </c>
      <c r="M2216" s="2">
        <v>0</v>
      </c>
      <c r="N2216" s="2">
        <f t="shared" si="115"/>
        <v>0</v>
      </c>
    </row>
    <row r="2217" spans="1:16" x14ac:dyDescent="0.25">
      <c r="A2217" s="12" t="s">
        <v>1999</v>
      </c>
      <c r="C2217">
        <v>459</v>
      </c>
      <c r="D2217">
        <v>1</v>
      </c>
      <c r="F2217">
        <v>0.7</v>
      </c>
      <c r="H2217">
        <v>23</v>
      </c>
      <c r="J2217">
        <f t="shared" si="117"/>
        <v>0.14442970747104031</v>
      </c>
      <c r="K2217" s="2">
        <v>0.48899999999999999</v>
      </c>
      <c r="L2217" s="17">
        <v>0.48899999999999999</v>
      </c>
      <c r="M2217" s="2">
        <v>0</v>
      </c>
      <c r="N2217" s="2">
        <f t="shared" si="115"/>
        <v>0</v>
      </c>
    </row>
    <row r="2218" spans="1:16" x14ac:dyDescent="0.25">
      <c r="A2218" s="12" t="s">
        <v>2000</v>
      </c>
      <c r="C2218">
        <v>462</v>
      </c>
      <c r="D2218">
        <v>1</v>
      </c>
      <c r="G2218">
        <v>44.04</v>
      </c>
      <c r="H2218">
        <v>1</v>
      </c>
      <c r="I2218">
        <v>73</v>
      </c>
      <c r="J2218">
        <f t="shared" si="117"/>
        <v>0.61341797587266578</v>
      </c>
      <c r="K2218" s="2" t="s">
        <v>2139</v>
      </c>
      <c r="L2218" s="17">
        <v>1E-3</v>
      </c>
      <c r="M2218" s="2" t="s">
        <v>2558</v>
      </c>
      <c r="N2218" s="2" t="s">
        <v>2558</v>
      </c>
      <c r="O2218" t="s">
        <v>2135</v>
      </c>
    </row>
    <row r="2219" spans="1:16" x14ac:dyDescent="0.25">
      <c r="A2219" s="12" t="s">
        <v>2001</v>
      </c>
      <c r="C2219">
        <v>462</v>
      </c>
      <c r="D2219">
        <v>1</v>
      </c>
      <c r="F2219">
        <v>-2.35</v>
      </c>
      <c r="H2219">
        <v>71</v>
      </c>
      <c r="J2219">
        <f t="shared" si="117"/>
        <v>0.26864161350806498</v>
      </c>
      <c r="K2219" s="2">
        <v>2.1100000000000001E-2</v>
      </c>
      <c r="L2219" s="17">
        <v>2.1100000000000001E-2</v>
      </c>
      <c r="M2219" s="2">
        <v>0</v>
      </c>
      <c r="N2219" s="2">
        <f t="shared" si="115"/>
        <v>0</v>
      </c>
    </row>
    <row r="2220" spans="1:16" x14ac:dyDescent="0.25">
      <c r="A2220" s="12" t="s">
        <v>2002</v>
      </c>
      <c r="C2220">
        <v>462</v>
      </c>
      <c r="D2220">
        <v>2</v>
      </c>
      <c r="F2220">
        <v>2.1</v>
      </c>
      <c r="H2220">
        <v>71</v>
      </c>
      <c r="J2220">
        <f t="shared" si="117"/>
        <v>0.2418270201021902</v>
      </c>
      <c r="K2220" s="2">
        <v>3.9E-2</v>
      </c>
      <c r="L2220" s="17">
        <v>3.9E-2</v>
      </c>
      <c r="M2220" s="2">
        <v>0</v>
      </c>
      <c r="N2220" s="2">
        <f t="shared" si="115"/>
        <v>0</v>
      </c>
    </row>
    <row r="2221" spans="1:16" x14ac:dyDescent="0.25">
      <c r="A2221" s="12" t="s">
        <v>2003</v>
      </c>
      <c r="C2221">
        <v>462</v>
      </c>
      <c r="D2221">
        <v>1</v>
      </c>
      <c r="F2221">
        <v>1.94</v>
      </c>
      <c r="H2221">
        <v>70</v>
      </c>
      <c r="J2221">
        <f t="shared" si="117"/>
        <v>0.22588150769832135</v>
      </c>
      <c r="K2221" s="2">
        <v>5.7000000000000002E-2</v>
      </c>
      <c r="L2221" s="17">
        <v>5.7000000000000002E-2</v>
      </c>
      <c r="M2221" s="2" t="s">
        <v>2558</v>
      </c>
      <c r="N2221" s="2" t="s">
        <v>2558</v>
      </c>
      <c r="O2221" t="s">
        <v>2135</v>
      </c>
    </row>
    <row r="2222" spans="1:16" x14ac:dyDescent="0.25">
      <c r="A2222" s="12" t="s">
        <v>2004</v>
      </c>
      <c r="C2222">
        <v>462</v>
      </c>
      <c r="D2222">
        <v>1</v>
      </c>
      <c r="F2222">
        <v>-3.06</v>
      </c>
      <c r="H2222">
        <v>70</v>
      </c>
      <c r="J2222">
        <f t="shared" si="117"/>
        <v>0.34348734942286269</v>
      </c>
      <c r="K2222" s="2">
        <v>3.0000000000000001E-3</v>
      </c>
      <c r="L2222" s="17">
        <v>3.0000000000000001E-3</v>
      </c>
      <c r="M2222" s="2">
        <v>0</v>
      </c>
      <c r="N2222" s="2">
        <f t="shared" si="115"/>
        <v>0</v>
      </c>
    </row>
    <row r="2223" spans="1:16" x14ac:dyDescent="0.25">
      <c r="A2223" s="12" t="s">
        <v>2005</v>
      </c>
      <c r="C2223">
        <v>462</v>
      </c>
      <c r="D2223">
        <v>1</v>
      </c>
      <c r="F2223">
        <v>-0.28999999999999998</v>
      </c>
      <c r="H2223">
        <v>70</v>
      </c>
      <c r="J2223">
        <f t="shared" si="117"/>
        <v>3.4640826677695108E-2</v>
      </c>
      <c r="K2223" s="2">
        <v>0.77100000000000002</v>
      </c>
      <c r="L2223" s="17">
        <v>0.77100000000000002</v>
      </c>
      <c r="M2223" s="2">
        <v>0</v>
      </c>
      <c r="N2223" s="2">
        <f t="shared" si="115"/>
        <v>0</v>
      </c>
    </row>
    <row r="2224" spans="1:16" x14ac:dyDescent="0.25">
      <c r="A2224" s="12" t="s">
        <v>2006</v>
      </c>
      <c r="C2224">
        <v>462</v>
      </c>
      <c r="D2224">
        <v>1</v>
      </c>
      <c r="F2224">
        <v>-0.32</v>
      </c>
      <c r="H2224">
        <v>71</v>
      </c>
      <c r="J2224">
        <f t="shared" si="117"/>
        <v>3.7949656409665258E-2</v>
      </c>
      <c r="K2224" s="2">
        <v>0.749</v>
      </c>
      <c r="L2224" s="17">
        <v>0.749</v>
      </c>
      <c r="M2224" s="2">
        <v>0</v>
      </c>
      <c r="N2224" s="2">
        <f t="shared" si="115"/>
        <v>0</v>
      </c>
    </row>
    <row r="2225" spans="1:15" x14ac:dyDescent="0.25">
      <c r="A2225" s="12" t="s">
        <v>2007</v>
      </c>
      <c r="C2225">
        <v>462</v>
      </c>
      <c r="D2225">
        <v>1</v>
      </c>
      <c r="F2225">
        <v>0.5</v>
      </c>
      <c r="H2225">
        <v>71</v>
      </c>
      <c r="J2225">
        <f t="shared" si="117"/>
        <v>5.9234887775909233E-2</v>
      </c>
      <c r="K2225" s="2">
        <v>0.61499999999999999</v>
      </c>
      <c r="L2225" s="17">
        <v>0.61499999999999999</v>
      </c>
      <c r="M2225" s="2">
        <v>0</v>
      </c>
      <c r="N2225" s="2">
        <f t="shared" si="115"/>
        <v>0</v>
      </c>
    </row>
    <row r="2226" spans="1:15" x14ac:dyDescent="0.25">
      <c r="A2226" s="12" t="s">
        <v>2008</v>
      </c>
      <c r="C2226">
        <v>462</v>
      </c>
      <c r="D2226">
        <v>1</v>
      </c>
      <c r="F2226">
        <v>-2.61</v>
      </c>
      <c r="H2226">
        <v>70</v>
      </c>
      <c r="J2226">
        <f t="shared" si="117"/>
        <v>0.29780068200845261</v>
      </c>
      <c r="K2226" s="2">
        <v>1.0999999999999999E-2</v>
      </c>
      <c r="L2226" s="17">
        <v>1.0999999999999999E-2</v>
      </c>
      <c r="M2226" s="2">
        <v>0</v>
      </c>
      <c r="N2226" s="2">
        <f t="shared" si="115"/>
        <v>0</v>
      </c>
    </row>
    <row r="2227" spans="1:15" x14ac:dyDescent="0.25">
      <c r="A2227" s="12" t="s">
        <v>2009</v>
      </c>
      <c r="C2227">
        <v>462</v>
      </c>
      <c r="D2227">
        <v>1</v>
      </c>
      <c r="F2227">
        <v>-2.1</v>
      </c>
      <c r="H2227">
        <v>70</v>
      </c>
      <c r="J2227">
        <f t="shared" si="117"/>
        <v>0.24344656016787938</v>
      </c>
      <c r="K2227" s="2">
        <v>3.9E-2</v>
      </c>
      <c r="L2227" s="17">
        <v>3.9E-2</v>
      </c>
      <c r="M2227" s="2">
        <v>0</v>
      </c>
      <c r="N2227" s="2">
        <f t="shared" si="115"/>
        <v>0</v>
      </c>
    </row>
    <row r="2228" spans="1:15" x14ac:dyDescent="0.25">
      <c r="A2228" s="12" t="s">
        <v>2010</v>
      </c>
      <c r="C2228">
        <v>462</v>
      </c>
      <c r="D2228">
        <v>1</v>
      </c>
      <c r="F2228">
        <v>1.63</v>
      </c>
      <c r="H2228">
        <v>70</v>
      </c>
      <c r="J2228">
        <f t="shared" si="117"/>
        <v>0.19122698260884632</v>
      </c>
      <c r="K2228" s="2">
        <v>0.107</v>
      </c>
      <c r="L2228" s="17">
        <v>0.107</v>
      </c>
      <c r="M2228" s="2">
        <v>0</v>
      </c>
      <c r="N2228" s="2">
        <f t="shared" si="115"/>
        <v>0</v>
      </c>
    </row>
    <row r="2229" spans="1:15" x14ac:dyDescent="0.25">
      <c r="A2229" s="12" t="s">
        <v>2011</v>
      </c>
      <c r="C2229">
        <v>462</v>
      </c>
      <c r="D2229">
        <v>1</v>
      </c>
      <c r="F2229">
        <v>2.34</v>
      </c>
      <c r="H2229">
        <v>70</v>
      </c>
      <c r="J2229">
        <f t="shared" si="117"/>
        <v>0.26934726520056346</v>
      </c>
      <c r="K2229" s="2">
        <v>2.1999999999999999E-2</v>
      </c>
      <c r="L2229" s="17">
        <v>2.1999999999999999E-2</v>
      </c>
      <c r="M2229" s="2">
        <v>0</v>
      </c>
      <c r="N2229" s="2">
        <f t="shared" si="115"/>
        <v>0</v>
      </c>
    </row>
    <row r="2230" spans="1:15" x14ac:dyDescent="0.25">
      <c r="A2230" s="12" t="s">
        <v>2012</v>
      </c>
      <c r="C2230">
        <v>462</v>
      </c>
      <c r="D2230">
        <v>1</v>
      </c>
      <c r="F2230">
        <v>-1.27</v>
      </c>
      <c r="H2230">
        <v>70</v>
      </c>
      <c r="J2230">
        <f t="shared" si="117"/>
        <v>0.15007490960185027</v>
      </c>
      <c r="K2230" s="2">
        <v>0.20799999999999999</v>
      </c>
      <c r="L2230" s="17">
        <v>0.20799999999999999</v>
      </c>
      <c r="M2230" s="2">
        <v>0</v>
      </c>
      <c r="N2230" s="2">
        <f t="shared" si="115"/>
        <v>0</v>
      </c>
    </row>
    <row r="2231" spans="1:15" x14ac:dyDescent="0.25">
      <c r="A2231" s="12" t="s">
        <v>2013</v>
      </c>
      <c r="C2231">
        <v>462</v>
      </c>
      <c r="D2231">
        <v>1</v>
      </c>
      <c r="F2231">
        <v>-0.62</v>
      </c>
      <c r="H2231">
        <v>71</v>
      </c>
      <c r="J2231">
        <f t="shared" si="117"/>
        <v>7.3382082559281414E-2</v>
      </c>
      <c r="K2231" s="2">
        <v>0.53600000000000003</v>
      </c>
      <c r="L2231" s="17">
        <v>0.53600000000000003</v>
      </c>
      <c r="M2231" s="2">
        <v>0</v>
      </c>
      <c r="N2231" s="2">
        <f t="shared" si="115"/>
        <v>0</v>
      </c>
    </row>
    <row r="2232" spans="1:15" x14ac:dyDescent="0.25">
      <c r="A2232" s="12" t="s">
        <v>2014</v>
      </c>
      <c r="C2232">
        <v>462</v>
      </c>
      <c r="D2232">
        <v>2</v>
      </c>
      <c r="F2232">
        <v>-2.64</v>
      </c>
      <c r="H2232">
        <v>71</v>
      </c>
      <c r="J2232">
        <f t="shared" si="117"/>
        <v>0.2989794053455031</v>
      </c>
      <c r="K2232" s="2">
        <v>0.01</v>
      </c>
      <c r="L2232" s="17">
        <v>0.01</v>
      </c>
      <c r="M2232" s="2">
        <v>0</v>
      </c>
      <c r="N2232" s="2">
        <f t="shared" si="115"/>
        <v>0</v>
      </c>
    </row>
    <row r="2233" spans="1:15" x14ac:dyDescent="0.25">
      <c r="A2233" s="12" t="s">
        <v>2015</v>
      </c>
      <c r="C2233">
        <v>462</v>
      </c>
      <c r="D2233">
        <v>1</v>
      </c>
      <c r="F2233">
        <v>1.93</v>
      </c>
      <c r="H2233">
        <v>70</v>
      </c>
      <c r="J2233">
        <f t="shared" si="117"/>
        <v>0.22477614205632843</v>
      </c>
      <c r="K2233" s="2">
        <v>5.8000000000000003E-2</v>
      </c>
      <c r="L2233" s="17">
        <v>5.8000000000000003E-2</v>
      </c>
      <c r="M2233" s="2">
        <v>0</v>
      </c>
      <c r="N2233" s="2">
        <f t="shared" si="115"/>
        <v>0</v>
      </c>
    </row>
    <row r="2234" spans="1:15" x14ac:dyDescent="0.25">
      <c r="A2234" s="12" t="s">
        <v>2016</v>
      </c>
      <c r="C2234">
        <v>462</v>
      </c>
      <c r="D2234">
        <v>1</v>
      </c>
      <c r="F2234">
        <v>-1.82</v>
      </c>
      <c r="H2234">
        <v>70</v>
      </c>
      <c r="J2234">
        <f t="shared" si="117"/>
        <v>0.21256055210934022</v>
      </c>
      <c r="K2234" s="2">
        <v>7.2999999999999995E-2</v>
      </c>
      <c r="L2234" s="17">
        <v>7.2999999999999995E-2</v>
      </c>
      <c r="M2234" s="2">
        <v>0</v>
      </c>
      <c r="N2234" s="2">
        <f t="shared" si="115"/>
        <v>0</v>
      </c>
    </row>
    <row r="2235" spans="1:15" x14ac:dyDescent="0.25">
      <c r="A2235" s="12" t="s">
        <v>2017</v>
      </c>
      <c r="C2235">
        <v>462</v>
      </c>
      <c r="D2235">
        <v>1</v>
      </c>
      <c r="F2235">
        <v>0.93</v>
      </c>
      <c r="H2235">
        <v>70</v>
      </c>
      <c r="J2235">
        <f t="shared" si="117"/>
        <v>0.11047585191892756</v>
      </c>
      <c r="K2235" s="2">
        <v>0.35399999999999998</v>
      </c>
      <c r="L2235" s="17">
        <v>0.35399999999999998</v>
      </c>
      <c r="M2235" s="2">
        <v>0</v>
      </c>
      <c r="N2235" s="2">
        <f t="shared" si="115"/>
        <v>0</v>
      </c>
    </row>
    <row r="2236" spans="1:15" x14ac:dyDescent="0.25">
      <c r="A2236" s="12" t="s">
        <v>2018</v>
      </c>
      <c r="C2236">
        <v>462</v>
      </c>
      <c r="D2236">
        <v>2</v>
      </c>
      <c r="F2236">
        <v>-3.21</v>
      </c>
      <c r="H2236">
        <v>70</v>
      </c>
      <c r="J2236">
        <f t="shared" si="117"/>
        <v>0.35820873567590711</v>
      </c>
      <c r="K2236" s="2">
        <v>2E-3</v>
      </c>
      <c r="L2236" s="17">
        <v>2E-3</v>
      </c>
      <c r="M2236" s="2">
        <v>0</v>
      </c>
      <c r="N2236" s="2">
        <f t="shared" si="115"/>
        <v>0</v>
      </c>
    </row>
    <row r="2237" spans="1:15" x14ac:dyDescent="0.25">
      <c r="A2237" s="12" t="s">
        <v>2019</v>
      </c>
      <c r="C2237">
        <v>462</v>
      </c>
      <c r="D2237">
        <v>1</v>
      </c>
      <c r="F2237">
        <v>-0.41</v>
      </c>
      <c r="H2237">
        <v>70</v>
      </c>
      <c r="J2237">
        <f t="shared" si="117"/>
        <v>4.8945638495869227E-2</v>
      </c>
      <c r="K2237" s="2">
        <v>0.68306</v>
      </c>
      <c r="L2237" s="17">
        <v>0.68306</v>
      </c>
      <c r="M2237" s="2">
        <v>1</v>
      </c>
      <c r="N2237" s="2">
        <v>0</v>
      </c>
    </row>
    <row r="2238" spans="1:15" x14ac:dyDescent="0.25">
      <c r="A2238" s="12" t="s">
        <v>2020</v>
      </c>
      <c r="C2238">
        <v>462</v>
      </c>
      <c r="D2238">
        <v>1</v>
      </c>
      <c r="F2238">
        <v>-0.11</v>
      </c>
      <c r="H2238">
        <v>71</v>
      </c>
      <c r="J2238">
        <f t="shared" si="117"/>
        <v>1.3053485983431449E-2</v>
      </c>
      <c r="K2238" s="2">
        <v>0.91</v>
      </c>
      <c r="L2238" s="17">
        <v>0.91</v>
      </c>
      <c r="M2238" s="2">
        <v>0</v>
      </c>
      <c r="N2238" s="2">
        <f t="shared" si="115"/>
        <v>0</v>
      </c>
    </row>
    <row r="2239" spans="1:15" x14ac:dyDescent="0.25">
      <c r="A2239" s="12" t="s">
        <v>2021</v>
      </c>
      <c r="C2239">
        <v>462</v>
      </c>
      <c r="D2239">
        <v>1</v>
      </c>
      <c r="F2239">
        <v>-0.5</v>
      </c>
      <c r="H2239">
        <v>71</v>
      </c>
      <c r="J2239">
        <f t="shared" si="117"/>
        <v>5.9234887775909233E-2</v>
      </c>
      <c r="K2239" s="2">
        <v>0.61799999999999999</v>
      </c>
      <c r="L2239" s="17">
        <v>0.61799999999999999</v>
      </c>
      <c r="M2239" s="2">
        <v>0</v>
      </c>
      <c r="N2239" s="2">
        <f t="shared" si="115"/>
        <v>0</v>
      </c>
    </row>
    <row r="2240" spans="1:15" x14ac:dyDescent="0.25">
      <c r="A2240" s="12" t="s">
        <v>2022</v>
      </c>
      <c r="C2240">
        <v>462</v>
      </c>
      <c r="D2240">
        <v>2</v>
      </c>
      <c r="F2240">
        <v>2.5299999999999998</v>
      </c>
      <c r="H2240">
        <v>70</v>
      </c>
      <c r="J2240">
        <f t="shared" si="117"/>
        <v>0.28944848707562187</v>
      </c>
      <c r="K2240" s="2">
        <v>1.4E-2</v>
      </c>
      <c r="L2240" s="17">
        <v>1.4E-2</v>
      </c>
      <c r="M2240" s="2">
        <v>0</v>
      </c>
      <c r="N2240" s="2">
        <f t="shared" ref="N2240:N2293" si="118">IF(M2240=0, 0)</f>
        <v>0</v>
      </c>
      <c r="O2240" t="s">
        <v>2296</v>
      </c>
    </row>
    <row r="2241" spans="1:15" x14ac:dyDescent="0.25">
      <c r="A2241" s="12" t="s">
        <v>2023</v>
      </c>
      <c r="C2241">
        <v>462</v>
      </c>
      <c r="D2241">
        <v>1</v>
      </c>
      <c r="F2241">
        <v>-1.89</v>
      </c>
      <c r="H2241">
        <v>70</v>
      </c>
      <c r="J2241">
        <f t="shared" si="117"/>
        <v>0.22034602886065213</v>
      </c>
      <c r="K2241" s="2">
        <v>6.2E-2</v>
      </c>
      <c r="L2241" s="17">
        <v>6.2E-2</v>
      </c>
      <c r="M2241" s="2">
        <v>0</v>
      </c>
      <c r="N2241" s="2">
        <f t="shared" si="118"/>
        <v>0</v>
      </c>
    </row>
    <row r="2242" spans="1:15" x14ac:dyDescent="0.25">
      <c r="A2242" s="12" t="s">
        <v>2024</v>
      </c>
      <c r="C2242">
        <v>462</v>
      </c>
      <c r="D2242">
        <v>1</v>
      </c>
      <c r="F2242">
        <v>1.73</v>
      </c>
      <c r="H2242">
        <v>70</v>
      </c>
      <c r="J2242">
        <f t="shared" si="117"/>
        <v>0.20249103205537941</v>
      </c>
      <c r="K2242" s="2">
        <v>8.7999999999999995E-2</v>
      </c>
      <c r="L2242" s="17">
        <v>8.7999999999999995E-2</v>
      </c>
      <c r="M2242" s="2">
        <v>0</v>
      </c>
      <c r="N2242" s="2">
        <f t="shared" si="118"/>
        <v>0</v>
      </c>
    </row>
    <row r="2243" spans="1:15" x14ac:dyDescent="0.25">
      <c r="A2243" s="12" t="s">
        <v>2025</v>
      </c>
      <c r="C2243">
        <v>462</v>
      </c>
      <c r="D2243">
        <v>1</v>
      </c>
      <c r="F2243">
        <v>-2.2799999999999998</v>
      </c>
      <c r="H2243">
        <v>70</v>
      </c>
      <c r="J2243">
        <f t="shared" si="117"/>
        <v>0.26292419136897599</v>
      </c>
      <c r="K2243" s="2">
        <v>2.5999999999999999E-2</v>
      </c>
      <c r="L2243" s="17">
        <v>2.5999999999999999E-2</v>
      </c>
      <c r="M2243" s="2">
        <v>0</v>
      </c>
      <c r="N2243" s="2">
        <f t="shared" si="118"/>
        <v>0</v>
      </c>
    </row>
    <row r="2244" spans="1:15" x14ac:dyDescent="0.25">
      <c r="A2244" s="12" t="s">
        <v>2026</v>
      </c>
      <c r="C2244">
        <v>462</v>
      </c>
      <c r="D2244">
        <v>1</v>
      </c>
      <c r="F2244">
        <v>0.57999999999999996</v>
      </c>
      <c r="H2244">
        <v>71</v>
      </c>
      <c r="J2244">
        <f t="shared" si="117"/>
        <v>6.8670846216418141E-2</v>
      </c>
      <c r="K2244" s="2">
        <v>0.56299999999999994</v>
      </c>
      <c r="L2244" s="17">
        <v>0.56299999999999994</v>
      </c>
      <c r="M2244" s="2">
        <v>0</v>
      </c>
      <c r="N2244" s="2">
        <f t="shared" si="118"/>
        <v>0</v>
      </c>
    </row>
    <row r="2245" spans="1:15" x14ac:dyDescent="0.25">
      <c r="A2245" s="12" t="s">
        <v>2027</v>
      </c>
      <c r="C2245">
        <v>462</v>
      </c>
      <c r="D2245">
        <v>1</v>
      </c>
      <c r="F2245">
        <v>-2.0499999999999998</v>
      </c>
      <c r="H2245">
        <v>71</v>
      </c>
      <c r="J2245">
        <f t="shared" si="117"/>
        <v>0.23639469265700333</v>
      </c>
      <c r="K2245" s="2">
        <v>4.3999999999999997E-2</v>
      </c>
      <c r="L2245" s="17">
        <v>4.3999999999999997E-2</v>
      </c>
      <c r="M2245" s="2">
        <v>0</v>
      </c>
      <c r="N2245" s="2">
        <f t="shared" si="118"/>
        <v>0</v>
      </c>
      <c r="O2245" t="s">
        <v>2296</v>
      </c>
    </row>
    <row r="2246" spans="1:15" x14ac:dyDescent="0.25">
      <c r="A2246" s="12" t="s">
        <v>2028</v>
      </c>
      <c r="C2246">
        <v>462</v>
      </c>
      <c r="D2246">
        <v>1</v>
      </c>
      <c r="F2246">
        <v>3.06</v>
      </c>
      <c r="H2246">
        <v>70</v>
      </c>
      <c r="J2246">
        <f t="shared" si="117"/>
        <v>0.34348734942286269</v>
      </c>
      <c r="K2246" s="2">
        <v>3.0000000000000001E-3</v>
      </c>
      <c r="L2246" s="17">
        <v>3.0000000000000001E-3</v>
      </c>
      <c r="M2246" s="2">
        <v>0</v>
      </c>
      <c r="N2246" s="2">
        <f t="shared" si="118"/>
        <v>0</v>
      </c>
    </row>
    <row r="2247" spans="1:15" x14ac:dyDescent="0.25">
      <c r="A2247" s="12" t="s">
        <v>2029</v>
      </c>
      <c r="C2247">
        <v>462</v>
      </c>
      <c r="D2247">
        <v>1</v>
      </c>
      <c r="F2247">
        <v>-1.76</v>
      </c>
      <c r="H2247">
        <v>70</v>
      </c>
      <c r="J2247">
        <f t="shared" si="117"/>
        <v>0.2058548524720808</v>
      </c>
      <c r="K2247" s="2">
        <v>8.3000000000000004E-2</v>
      </c>
      <c r="L2247" s="17">
        <v>8.3000000000000004E-2</v>
      </c>
      <c r="M2247" s="2">
        <v>0</v>
      </c>
      <c r="N2247" s="2">
        <f t="shared" si="118"/>
        <v>0</v>
      </c>
    </row>
    <row r="2248" spans="1:15" x14ac:dyDescent="0.25">
      <c r="A2248" s="12" t="s">
        <v>2030</v>
      </c>
      <c r="C2248">
        <v>462</v>
      </c>
      <c r="D2248">
        <v>1</v>
      </c>
      <c r="F2248">
        <v>2.62</v>
      </c>
      <c r="H2248">
        <v>70</v>
      </c>
      <c r="J2248">
        <f t="shared" si="117"/>
        <v>0.2988399606807926</v>
      </c>
      <c r="K2248" s="2">
        <v>1.0999999999999999E-2</v>
      </c>
      <c r="L2248" s="17">
        <v>1.0999999999999999E-2</v>
      </c>
      <c r="M2248" s="2">
        <v>0</v>
      </c>
      <c r="N2248" s="2">
        <f t="shared" si="118"/>
        <v>0</v>
      </c>
    </row>
    <row r="2249" spans="1:15" x14ac:dyDescent="0.25">
      <c r="A2249" s="12" t="s">
        <v>2031</v>
      </c>
      <c r="C2249">
        <v>462</v>
      </c>
      <c r="D2249">
        <v>2</v>
      </c>
      <c r="F2249">
        <v>-3.74</v>
      </c>
      <c r="H2249">
        <v>70</v>
      </c>
      <c r="J2249">
        <f t="shared" si="117"/>
        <v>0.40809757734086555</v>
      </c>
      <c r="K2249" s="2">
        <v>4.0000000000000002E-4</v>
      </c>
      <c r="L2249" s="17">
        <v>4.0000000000000002E-4</v>
      </c>
      <c r="M2249" s="2">
        <v>0</v>
      </c>
      <c r="N2249" s="2">
        <f t="shared" si="118"/>
        <v>0</v>
      </c>
    </row>
    <row r="2250" spans="1:15" x14ac:dyDescent="0.25">
      <c r="A2250" s="12" t="s">
        <v>2032</v>
      </c>
      <c r="C2250">
        <v>462</v>
      </c>
      <c r="D2250">
        <v>1</v>
      </c>
      <c r="F2250">
        <v>0.3</v>
      </c>
      <c r="H2250">
        <v>70</v>
      </c>
      <c r="J2250">
        <f t="shared" si="117"/>
        <v>3.5833829646370823E-2</v>
      </c>
      <c r="K2250" s="2">
        <v>0.76700000000000002</v>
      </c>
      <c r="L2250" s="17">
        <v>0.76700000000000002</v>
      </c>
      <c r="M2250" s="2">
        <v>0</v>
      </c>
      <c r="N2250" s="2">
        <f t="shared" si="118"/>
        <v>0</v>
      </c>
    </row>
    <row r="2251" spans="1:15" x14ac:dyDescent="0.25">
      <c r="A2251" s="12" t="s">
        <v>2033</v>
      </c>
      <c r="C2251">
        <v>462</v>
      </c>
      <c r="D2251">
        <v>1</v>
      </c>
      <c r="F2251">
        <v>2.27</v>
      </c>
      <c r="H2251">
        <v>66</v>
      </c>
      <c r="J2251">
        <f t="shared" si="117"/>
        <v>0.26910982539979889</v>
      </c>
      <c r="K2251" s="2">
        <v>2.7E-2</v>
      </c>
      <c r="L2251" s="17">
        <v>2.7E-2</v>
      </c>
      <c r="M2251" s="2">
        <v>0</v>
      </c>
      <c r="N2251" s="2">
        <f t="shared" si="118"/>
        <v>0</v>
      </c>
    </row>
    <row r="2252" spans="1:15" x14ac:dyDescent="0.25">
      <c r="A2252" s="12" t="s">
        <v>2618</v>
      </c>
      <c r="C2252">
        <v>463</v>
      </c>
      <c r="D2252">
        <v>1</v>
      </c>
      <c r="G2252">
        <v>127.87</v>
      </c>
      <c r="H2252">
        <v>1</v>
      </c>
      <c r="I2252">
        <v>23</v>
      </c>
      <c r="J2252">
        <f t="shared" si="117"/>
        <v>0.92062526122810739</v>
      </c>
      <c r="K2252" s="2">
        <v>0</v>
      </c>
      <c r="L2252" s="17">
        <v>0</v>
      </c>
      <c r="M2252" s="2" t="s">
        <v>2558</v>
      </c>
      <c r="N2252" s="2" t="s">
        <v>2558</v>
      </c>
    </row>
    <row r="2253" spans="1:15" x14ac:dyDescent="0.25">
      <c r="A2253" s="12" t="s">
        <v>2619</v>
      </c>
      <c r="C2253">
        <v>463</v>
      </c>
      <c r="D2253">
        <v>1</v>
      </c>
      <c r="G2253">
        <v>12.795</v>
      </c>
      <c r="H2253">
        <v>1</v>
      </c>
      <c r="I2253">
        <v>23</v>
      </c>
      <c r="J2253">
        <f t="shared" si="117"/>
        <v>0.59787302842881518</v>
      </c>
      <c r="K2253" s="2">
        <v>2E-3</v>
      </c>
      <c r="L2253" s="17">
        <v>2E-3</v>
      </c>
      <c r="M2253" s="2" t="s">
        <v>2558</v>
      </c>
      <c r="N2253" s="2" t="s">
        <v>2558</v>
      </c>
    </row>
    <row r="2254" spans="1:15" x14ac:dyDescent="0.25">
      <c r="A2254" s="12" t="s">
        <v>2620</v>
      </c>
      <c r="C2254">
        <v>463</v>
      </c>
      <c r="D2254">
        <v>1</v>
      </c>
      <c r="F2254">
        <v>6.62</v>
      </c>
      <c r="H2254">
        <v>23</v>
      </c>
      <c r="J2254">
        <f t="shared" si="117"/>
        <v>0.80982364948415642</v>
      </c>
      <c r="K2254" s="2">
        <v>0</v>
      </c>
      <c r="L2254" s="17">
        <v>0</v>
      </c>
      <c r="M2254" s="2">
        <v>0</v>
      </c>
      <c r="N2254" s="2">
        <f t="shared" ref="N2254:N2257" si="119">IF(M2254=0, 0)</f>
        <v>0</v>
      </c>
    </row>
    <row r="2255" spans="1:15" x14ac:dyDescent="0.25">
      <c r="A2255" s="12" t="s">
        <v>2621</v>
      </c>
      <c r="C2255">
        <v>463</v>
      </c>
      <c r="D2255">
        <v>1</v>
      </c>
      <c r="F2255">
        <v>11.164</v>
      </c>
      <c r="H2255">
        <v>23</v>
      </c>
      <c r="J2255">
        <f t="shared" si="117"/>
        <v>0.91880916080113351</v>
      </c>
      <c r="K2255" s="2">
        <v>0</v>
      </c>
      <c r="L2255" s="17">
        <v>0</v>
      </c>
      <c r="M2255" s="2">
        <v>0</v>
      </c>
      <c r="N2255" s="2">
        <f t="shared" si="119"/>
        <v>0</v>
      </c>
    </row>
    <row r="2256" spans="1:15" x14ac:dyDescent="0.25">
      <c r="A2256" s="12" t="s">
        <v>2622</v>
      </c>
      <c r="C2256">
        <v>463</v>
      </c>
      <c r="D2256">
        <v>1</v>
      </c>
      <c r="F2256">
        <v>-2.86</v>
      </c>
      <c r="H2256">
        <v>23</v>
      </c>
      <c r="J2256">
        <f t="shared" si="117"/>
        <v>0.51218960892114218</v>
      </c>
      <c r="K2256" s="2">
        <v>8.9999999999999993E-3</v>
      </c>
      <c r="L2256" s="17">
        <v>8.9999999999999993E-3</v>
      </c>
      <c r="M2256" s="2">
        <v>0</v>
      </c>
      <c r="N2256" s="2">
        <f t="shared" si="119"/>
        <v>0</v>
      </c>
    </row>
    <row r="2257" spans="1:15" x14ac:dyDescent="0.25">
      <c r="A2257" s="12" t="s">
        <v>2623</v>
      </c>
      <c r="C2257">
        <v>463</v>
      </c>
      <c r="D2257">
        <v>1</v>
      </c>
      <c r="F2257">
        <v>-0.14000000000000001</v>
      </c>
      <c r="H2257">
        <v>23</v>
      </c>
      <c r="J2257">
        <f t="shared" si="117"/>
        <v>2.9179587573978944E-2</v>
      </c>
      <c r="K2257" s="2">
        <v>0.89</v>
      </c>
      <c r="L2257" s="17">
        <v>0.89</v>
      </c>
      <c r="M2257" s="2">
        <v>0</v>
      </c>
      <c r="N2257" s="2">
        <f t="shared" si="119"/>
        <v>0</v>
      </c>
    </row>
    <row r="2258" spans="1:15" x14ac:dyDescent="0.25">
      <c r="A2258" s="12" t="s">
        <v>2034</v>
      </c>
      <c r="C2258">
        <v>464</v>
      </c>
      <c r="D2258">
        <v>1</v>
      </c>
      <c r="F2258">
        <v>2.79</v>
      </c>
      <c r="H2258">
        <v>81</v>
      </c>
      <c r="J2258">
        <f t="shared" ref="J2258:J2292" si="120">IF(NOT(ISBLANK(F2258)),SQRT((F2258^2*1/H2258)/(F2258^2*1/H2258+1)),IF(NOT(ISBLANK(G2258)),SQRT((G2258*H2258/I2258)/(G2258*H2258/I2258+1)*SQRT(1/H2258))))</f>
        <v>0.29609877111408056</v>
      </c>
      <c r="K2258" s="2">
        <v>7.0000000000000001E-3</v>
      </c>
      <c r="L2258" s="17">
        <v>7.0000000000000001E-3</v>
      </c>
      <c r="M2258" s="2" t="s">
        <v>2558</v>
      </c>
      <c r="N2258" s="2" t="s">
        <v>2558</v>
      </c>
      <c r="O2258" t="s">
        <v>2264</v>
      </c>
    </row>
    <row r="2259" spans="1:15" x14ac:dyDescent="0.25">
      <c r="A2259" s="12" t="s">
        <v>2035</v>
      </c>
      <c r="C2259">
        <v>464</v>
      </c>
      <c r="D2259">
        <v>2</v>
      </c>
      <c r="F2259">
        <v>5.31</v>
      </c>
      <c r="H2259">
        <v>81</v>
      </c>
      <c r="J2259">
        <f t="shared" si="120"/>
        <v>0.50814886197828601</v>
      </c>
      <c r="K2259" s="2" t="s">
        <v>2519</v>
      </c>
      <c r="L2259" s="17">
        <v>1E-3</v>
      </c>
      <c r="M2259" s="2" t="s">
        <v>2558</v>
      </c>
      <c r="N2259" s="2" t="s">
        <v>2558</v>
      </c>
      <c r="O2259" t="s">
        <v>2293</v>
      </c>
    </row>
    <row r="2260" spans="1:15" x14ac:dyDescent="0.25">
      <c r="A2260" s="12" t="s">
        <v>2036</v>
      </c>
      <c r="C2260">
        <v>464</v>
      </c>
      <c r="D2260">
        <v>1</v>
      </c>
      <c r="F2260">
        <v>3.78</v>
      </c>
      <c r="H2260">
        <v>81</v>
      </c>
      <c r="J2260">
        <f t="shared" si="120"/>
        <v>0.38723248435509172</v>
      </c>
      <c r="K2260" s="2" t="s">
        <v>2519</v>
      </c>
      <c r="L2260" s="17">
        <v>1E-3</v>
      </c>
      <c r="M2260" s="2" t="s">
        <v>2558</v>
      </c>
      <c r="N2260" s="2" t="s">
        <v>2558</v>
      </c>
    </row>
    <row r="2261" spans="1:15" x14ac:dyDescent="0.25">
      <c r="A2261" s="12" t="s">
        <v>2037</v>
      </c>
      <c r="C2261">
        <v>464</v>
      </c>
      <c r="D2261">
        <v>1</v>
      </c>
      <c r="F2261">
        <v>2.42</v>
      </c>
      <c r="H2261">
        <v>81</v>
      </c>
      <c r="J2261">
        <f t="shared" si="120"/>
        <v>0.25966562068645099</v>
      </c>
      <c r="K2261" s="2">
        <v>1.7999999999999999E-2</v>
      </c>
      <c r="L2261" s="17">
        <v>1.7999999999999999E-2</v>
      </c>
      <c r="M2261" s="2" t="s">
        <v>2558</v>
      </c>
      <c r="N2261" s="2" t="s">
        <v>2558</v>
      </c>
    </row>
    <row r="2262" spans="1:15" x14ac:dyDescent="0.25">
      <c r="A2262" s="12" t="s">
        <v>2038</v>
      </c>
      <c r="C2262">
        <v>464</v>
      </c>
      <c r="D2262">
        <v>1</v>
      </c>
      <c r="E2262">
        <v>0</v>
      </c>
      <c r="J2262" t="b">
        <f t="shared" si="120"/>
        <v>0</v>
      </c>
      <c r="K2262" s="2">
        <v>0.80800000000000005</v>
      </c>
      <c r="L2262" s="17">
        <v>0.80800000000000005</v>
      </c>
    </row>
    <row r="2263" spans="1:15" x14ac:dyDescent="0.25">
      <c r="A2263" s="12" t="s">
        <v>2039</v>
      </c>
      <c r="C2263">
        <v>464</v>
      </c>
      <c r="D2263">
        <v>1</v>
      </c>
      <c r="G2263">
        <v>5.29</v>
      </c>
      <c r="H2263">
        <v>1</v>
      </c>
      <c r="I2263">
        <v>78</v>
      </c>
      <c r="J2263">
        <f t="shared" si="120"/>
        <v>0.25201790962930082</v>
      </c>
      <c r="K2263" s="2">
        <v>2.4E-2</v>
      </c>
      <c r="L2263" s="17">
        <v>2.4E-2</v>
      </c>
      <c r="M2263" s="2" t="s">
        <v>2558</v>
      </c>
      <c r="N2263" s="2" t="s">
        <v>2558</v>
      </c>
    </row>
    <row r="2264" spans="1:15" x14ac:dyDescent="0.25">
      <c r="A2264" s="12" t="s">
        <v>2040</v>
      </c>
      <c r="C2264">
        <v>465</v>
      </c>
      <c r="D2264">
        <v>1</v>
      </c>
      <c r="F2264">
        <v>4.45</v>
      </c>
      <c r="H2264">
        <v>34</v>
      </c>
      <c r="J2264">
        <f t="shared" si="120"/>
        <v>0.60667874947139344</v>
      </c>
      <c r="K2264" s="2" t="s">
        <v>2519</v>
      </c>
      <c r="L2264" s="17">
        <v>1E-3</v>
      </c>
      <c r="M2264" s="2">
        <v>0</v>
      </c>
      <c r="N2264" s="2">
        <f t="shared" si="118"/>
        <v>0</v>
      </c>
    </row>
    <row r="2265" spans="1:15" x14ac:dyDescent="0.25">
      <c r="A2265" s="12" t="s">
        <v>2041</v>
      </c>
      <c r="C2265">
        <v>465</v>
      </c>
      <c r="D2265">
        <v>1</v>
      </c>
      <c r="F2265">
        <v>-4.72</v>
      </c>
      <c r="H2265">
        <v>17</v>
      </c>
      <c r="J2265">
        <f t="shared" si="120"/>
        <v>0.75312160128335559</v>
      </c>
      <c r="K2265" s="2" t="s">
        <v>2519</v>
      </c>
      <c r="L2265" s="17">
        <v>1E-3</v>
      </c>
      <c r="M2265" s="2">
        <v>0</v>
      </c>
      <c r="N2265" s="2">
        <f t="shared" si="118"/>
        <v>0</v>
      </c>
    </row>
    <row r="2266" spans="1:15" x14ac:dyDescent="0.25">
      <c r="A2266" s="12" t="s">
        <v>2042</v>
      </c>
      <c r="C2266">
        <v>465</v>
      </c>
      <c r="D2266">
        <v>1</v>
      </c>
      <c r="F2266">
        <v>1.23</v>
      </c>
      <c r="H2266">
        <v>17</v>
      </c>
      <c r="J2266">
        <f t="shared" si="120"/>
        <v>0.28586954064926512</v>
      </c>
      <c r="K2266" s="2">
        <v>0.24</v>
      </c>
      <c r="L2266" s="17">
        <v>0.24</v>
      </c>
      <c r="M2266" s="2">
        <v>0</v>
      </c>
      <c r="N2266" s="2">
        <f t="shared" si="118"/>
        <v>0</v>
      </c>
    </row>
    <row r="2267" spans="1:15" x14ac:dyDescent="0.25">
      <c r="A2267" s="12" t="s">
        <v>2043</v>
      </c>
      <c r="C2267">
        <v>465</v>
      </c>
      <c r="D2267">
        <v>1</v>
      </c>
      <c r="F2267">
        <v>-1.43</v>
      </c>
      <c r="H2267">
        <v>34</v>
      </c>
      <c r="J2267">
        <f t="shared" si="120"/>
        <v>0.23818484490264394</v>
      </c>
      <c r="K2267" s="2">
        <v>0.16</v>
      </c>
      <c r="L2267" s="17">
        <v>0.16</v>
      </c>
      <c r="M2267" s="2">
        <v>0</v>
      </c>
      <c r="N2267" s="2">
        <f t="shared" si="118"/>
        <v>0</v>
      </c>
    </row>
    <row r="2268" spans="1:15" x14ac:dyDescent="0.25">
      <c r="A2268" s="12" t="s">
        <v>2624</v>
      </c>
      <c r="C2268">
        <v>466</v>
      </c>
      <c r="D2268">
        <v>1</v>
      </c>
      <c r="G2268">
        <v>4.18</v>
      </c>
      <c r="H2268">
        <v>1</v>
      </c>
      <c r="I2268">
        <v>103</v>
      </c>
      <c r="J2268">
        <f t="shared" si="120"/>
        <v>0.19748370413282718</v>
      </c>
      <c r="K2268" s="2">
        <v>4.2999999999999997E-2</v>
      </c>
      <c r="L2268" s="17">
        <v>4.2999999999999997E-2</v>
      </c>
      <c r="M2268" s="2" t="s">
        <v>2558</v>
      </c>
      <c r="N2268" s="2" t="s">
        <v>2558</v>
      </c>
    </row>
    <row r="2269" spans="1:15" x14ac:dyDescent="0.25">
      <c r="A2269" s="12" t="s">
        <v>2625</v>
      </c>
      <c r="C2269">
        <v>466</v>
      </c>
      <c r="D2269">
        <v>1</v>
      </c>
      <c r="G2269">
        <v>3.1</v>
      </c>
      <c r="H2269">
        <v>1</v>
      </c>
      <c r="I2269">
        <v>103</v>
      </c>
      <c r="J2269">
        <f t="shared" si="120"/>
        <v>0.1709319137343682</v>
      </c>
      <c r="K2269" s="2">
        <v>8.1000000000000003E-2</v>
      </c>
      <c r="L2269" s="17">
        <v>8.1000000000000003E-2</v>
      </c>
      <c r="M2269" s="2" t="s">
        <v>2558</v>
      </c>
      <c r="N2269" s="2" t="s">
        <v>2558</v>
      </c>
    </row>
    <row r="2270" spans="1:15" x14ac:dyDescent="0.25">
      <c r="A2270" s="12" t="s">
        <v>2626</v>
      </c>
      <c r="C2270">
        <v>466</v>
      </c>
      <c r="D2270">
        <v>1</v>
      </c>
      <c r="J2270" t="b">
        <f t="shared" si="120"/>
        <v>0</v>
      </c>
      <c r="K2270" s="2">
        <v>4.7E-2</v>
      </c>
      <c r="L2270" s="17">
        <v>4.7E-2</v>
      </c>
    </row>
    <row r="2271" spans="1:15" x14ac:dyDescent="0.25">
      <c r="A2271" s="12" t="s">
        <v>2627</v>
      </c>
      <c r="C2271">
        <v>466</v>
      </c>
      <c r="D2271">
        <v>1</v>
      </c>
      <c r="F2271">
        <v>4.07</v>
      </c>
      <c r="H2271">
        <v>32</v>
      </c>
      <c r="J2271">
        <f t="shared" si="120"/>
        <v>0.58402731532931496</v>
      </c>
      <c r="K2271" s="2" t="s">
        <v>2136</v>
      </c>
      <c r="L2271" s="17">
        <v>1E-3</v>
      </c>
      <c r="M2271" s="2">
        <v>0</v>
      </c>
      <c r="N2271" s="2">
        <v>0</v>
      </c>
    </row>
    <row r="2272" spans="1:15" x14ac:dyDescent="0.25">
      <c r="A2272" s="12" t="s">
        <v>2628</v>
      </c>
      <c r="C2272">
        <v>466</v>
      </c>
      <c r="D2272">
        <v>2</v>
      </c>
      <c r="F2272">
        <v>1.32</v>
      </c>
      <c r="H2272">
        <v>34</v>
      </c>
      <c r="J2272">
        <f t="shared" si="120"/>
        <v>0.22079136062133189</v>
      </c>
      <c r="K2272" s="2" t="s">
        <v>2136</v>
      </c>
      <c r="L2272" s="17">
        <v>1E-3</v>
      </c>
      <c r="M2272" s="2">
        <v>0</v>
      </c>
      <c r="N2272" s="2">
        <v>0</v>
      </c>
    </row>
    <row r="2273" spans="1:15" x14ac:dyDescent="0.25">
      <c r="A2273" s="12" t="s">
        <v>2629</v>
      </c>
      <c r="C2273">
        <v>466</v>
      </c>
      <c r="D2273">
        <v>1</v>
      </c>
      <c r="F2273">
        <v>-0.08</v>
      </c>
      <c r="H2273">
        <v>36</v>
      </c>
      <c r="J2273">
        <f t="shared" si="120"/>
        <v>1.3332148306149432E-2</v>
      </c>
      <c r="K2273" s="2">
        <v>0.93500000000000005</v>
      </c>
      <c r="L2273" s="17">
        <v>0.93500000000000005</v>
      </c>
      <c r="M2273" s="2">
        <v>0</v>
      </c>
      <c r="N2273" s="2">
        <v>0</v>
      </c>
    </row>
    <row r="2274" spans="1:15" x14ac:dyDescent="0.25">
      <c r="A2274" s="12" t="s">
        <v>2044</v>
      </c>
      <c r="C2274">
        <v>470</v>
      </c>
      <c r="D2274">
        <v>1</v>
      </c>
      <c r="E2274">
        <v>0</v>
      </c>
      <c r="J2274" t="b">
        <f t="shared" si="120"/>
        <v>0</v>
      </c>
      <c r="K2274" s="2">
        <v>0.43099999999999999</v>
      </c>
      <c r="L2274" s="17">
        <v>0.43099999999999999</v>
      </c>
      <c r="M2274" s="2" t="s">
        <v>2558</v>
      </c>
      <c r="N2274" s="2" t="s">
        <v>2558</v>
      </c>
      <c r="O2274" t="s">
        <v>2135</v>
      </c>
    </row>
    <row r="2275" spans="1:15" x14ac:dyDescent="0.25">
      <c r="A2275" s="12" t="s">
        <v>2045</v>
      </c>
      <c r="C2275">
        <v>470</v>
      </c>
      <c r="D2275">
        <v>1</v>
      </c>
      <c r="E2275">
        <v>0</v>
      </c>
      <c r="J2275" t="b">
        <f t="shared" si="120"/>
        <v>0</v>
      </c>
      <c r="K2275" s="2">
        <v>0.72799999999999998</v>
      </c>
      <c r="L2275" s="17">
        <v>0.72799999999999998</v>
      </c>
      <c r="M2275" s="2" t="s">
        <v>2558</v>
      </c>
      <c r="N2275" s="2" t="s">
        <v>2558</v>
      </c>
      <c r="O2275" t="s">
        <v>2135</v>
      </c>
    </row>
    <row r="2276" spans="1:15" x14ac:dyDescent="0.25">
      <c r="A2276" s="12" t="s">
        <v>2046</v>
      </c>
      <c r="C2276">
        <v>470</v>
      </c>
      <c r="D2276">
        <v>1</v>
      </c>
      <c r="E2276">
        <v>0</v>
      </c>
      <c r="J2276" t="b">
        <f t="shared" si="120"/>
        <v>0</v>
      </c>
      <c r="K2276" s="2">
        <v>0.73399999999999999</v>
      </c>
      <c r="L2276" s="17">
        <v>0.73399999999999999</v>
      </c>
      <c r="M2276" s="2" t="s">
        <v>2558</v>
      </c>
      <c r="N2276" s="2" t="s">
        <v>2558</v>
      </c>
      <c r="O2276" t="s">
        <v>2135</v>
      </c>
    </row>
    <row r="2277" spans="1:15" x14ac:dyDescent="0.25">
      <c r="A2277" s="12" t="s">
        <v>2047</v>
      </c>
      <c r="C2277">
        <v>470</v>
      </c>
      <c r="D2277">
        <v>1</v>
      </c>
      <c r="E2277">
        <v>0</v>
      </c>
      <c r="J2277" t="b">
        <f t="shared" si="120"/>
        <v>0</v>
      </c>
      <c r="K2277" s="2" t="s">
        <v>2519</v>
      </c>
      <c r="L2277" s="17">
        <v>1E-3</v>
      </c>
      <c r="M2277" s="2">
        <v>0</v>
      </c>
      <c r="N2277" s="2">
        <f t="shared" si="118"/>
        <v>0</v>
      </c>
    </row>
    <row r="2278" spans="1:15" x14ac:dyDescent="0.25">
      <c r="A2278" s="12" t="s">
        <v>2048</v>
      </c>
      <c r="C2278">
        <v>470</v>
      </c>
      <c r="D2278">
        <v>1</v>
      </c>
      <c r="E2278">
        <v>0</v>
      </c>
      <c r="J2278" t="b">
        <f t="shared" si="120"/>
        <v>0</v>
      </c>
      <c r="K2278" s="2">
        <v>0.86299999999999999</v>
      </c>
      <c r="L2278" s="17">
        <v>0.86299999999999999</v>
      </c>
      <c r="M2278" s="2">
        <v>0</v>
      </c>
      <c r="N2278" s="2">
        <f t="shared" si="118"/>
        <v>0</v>
      </c>
    </row>
    <row r="2279" spans="1:15" x14ac:dyDescent="0.25">
      <c r="A2279" s="12" t="s">
        <v>2049</v>
      </c>
      <c r="C2279">
        <v>470</v>
      </c>
      <c r="D2279">
        <v>1</v>
      </c>
      <c r="E2279">
        <v>0</v>
      </c>
      <c r="J2279" t="b">
        <f t="shared" si="120"/>
        <v>0</v>
      </c>
      <c r="K2279" s="2" t="s">
        <v>2517</v>
      </c>
      <c r="L2279" s="17">
        <v>1E-3</v>
      </c>
      <c r="M2279" s="2">
        <v>0</v>
      </c>
      <c r="N2279" s="2">
        <f t="shared" si="118"/>
        <v>0</v>
      </c>
    </row>
    <row r="2280" spans="1:15" x14ac:dyDescent="0.25">
      <c r="A2280" s="12" t="s">
        <v>2050</v>
      </c>
      <c r="C2280">
        <v>470</v>
      </c>
      <c r="D2280">
        <v>2</v>
      </c>
      <c r="E2280">
        <v>0</v>
      </c>
      <c r="J2280" t="b">
        <f t="shared" si="120"/>
        <v>0</v>
      </c>
      <c r="K2280" s="2" t="s">
        <v>2517</v>
      </c>
      <c r="L2280" s="17">
        <v>1E-3</v>
      </c>
      <c r="M2280" s="2">
        <v>0</v>
      </c>
      <c r="N2280" s="2">
        <f t="shared" si="118"/>
        <v>0</v>
      </c>
    </row>
    <row r="2281" spans="1:15" x14ac:dyDescent="0.25">
      <c r="A2281" s="12" t="s">
        <v>2051</v>
      </c>
      <c r="C2281">
        <v>470</v>
      </c>
      <c r="D2281">
        <v>1</v>
      </c>
      <c r="E2281">
        <v>0</v>
      </c>
      <c r="J2281" t="b">
        <f t="shared" si="120"/>
        <v>0</v>
      </c>
      <c r="K2281" s="2" t="s">
        <v>2517</v>
      </c>
      <c r="L2281" s="17">
        <v>1E-3</v>
      </c>
      <c r="M2281" s="2">
        <v>0</v>
      </c>
      <c r="N2281" s="2">
        <f t="shared" si="118"/>
        <v>0</v>
      </c>
    </row>
    <row r="2282" spans="1:15" x14ac:dyDescent="0.25">
      <c r="A2282" s="12" t="s">
        <v>2052</v>
      </c>
      <c r="C2282">
        <v>470</v>
      </c>
      <c r="D2282">
        <v>2</v>
      </c>
      <c r="E2282">
        <v>0</v>
      </c>
      <c r="J2282" t="b">
        <f t="shared" si="120"/>
        <v>0</v>
      </c>
      <c r="K2282" s="2">
        <v>0.251</v>
      </c>
      <c r="L2282" s="17">
        <v>0.251</v>
      </c>
      <c r="M2282" s="2">
        <v>0</v>
      </c>
      <c r="N2282" s="2">
        <f t="shared" si="118"/>
        <v>0</v>
      </c>
    </row>
    <row r="2283" spans="1:15" x14ac:dyDescent="0.25">
      <c r="A2283" s="12" t="s">
        <v>2053</v>
      </c>
      <c r="C2283">
        <v>470</v>
      </c>
      <c r="D2283">
        <v>1</v>
      </c>
      <c r="E2283">
        <v>0</v>
      </c>
      <c r="J2283" t="b">
        <f t="shared" si="120"/>
        <v>0</v>
      </c>
      <c r="K2283" s="2" t="s">
        <v>2517</v>
      </c>
      <c r="L2283" s="17">
        <v>1E-3</v>
      </c>
      <c r="M2283" s="2">
        <v>0</v>
      </c>
      <c r="N2283" s="2">
        <f t="shared" si="118"/>
        <v>0</v>
      </c>
    </row>
    <row r="2284" spans="1:15" x14ac:dyDescent="0.25">
      <c r="A2284" s="12" t="s">
        <v>2054</v>
      </c>
      <c r="C2284">
        <v>470</v>
      </c>
      <c r="D2284">
        <v>1</v>
      </c>
      <c r="E2284">
        <v>0</v>
      </c>
      <c r="J2284" t="b">
        <f t="shared" si="120"/>
        <v>0</v>
      </c>
      <c r="K2284" s="2">
        <v>0.27900000000000003</v>
      </c>
      <c r="L2284" s="17">
        <v>0.27900000000000003</v>
      </c>
      <c r="M2284" s="2">
        <v>0</v>
      </c>
      <c r="N2284" s="2">
        <f t="shared" si="118"/>
        <v>0</v>
      </c>
    </row>
    <row r="2285" spans="1:15" x14ac:dyDescent="0.25">
      <c r="A2285" s="12" t="s">
        <v>2055</v>
      </c>
      <c r="C2285">
        <v>470</v>
      </c>
      <c r="D2285">
        <v>1</v>
      </c>
      <c r="E2285">
        <v>0</v>
      </c>
      <c r="J2285" t="b">
        <f t="shared" si="120"/>
        <v>0</v>
      </c>
      <c r="K2285" s="2" t="s">
        <v>2517</v>
      </c>
      <c r="L2285" s="17">
        <v>1E-3</v>
      </c>
      <c r="M2285" s="2">
        <v>0</v>
      </c>
      <c r="N2285" s="2">
        <f t="shared" si="118"/>
        <v>0</v>
      </c>
    </row>
    <row r="2286" spans="1:15" x14ac:dyDescent="0.25">
      <c r="A2286" s="12" t="s">
        <v>2056</v>
      </c>
      <c r="C2286">
        <v>470</v>
      </c>
      <c r="D2286">
        <v>1</v>
      </c>
      <c r="E2286">
        <v>0</v>
      </c>
      <c r="J2286" t="b">
        <f t="shared" si="120"/>
        <v>0</v>
      </c>
      <c r="K2286" s="2">
        <v>5.8999999999999997E-2</v>
      </c>
      <c r="L2286" s="17">
        <v>5.8999999999999997E-2</v>
      </c>
      <c r="M2286" s="2">
        <v>0</v>
      </c>
      <c r="N2286" s="2">
        <f t="shared" si="118"/>
        <v>0</v>
      </c>
    </row>
    <row r="2287" spans="1:15" x14ac:dyDescent="0.25">
      <c r="A2287" s="12" t="s">
        <v>2057</v>
      </c>
      <c r="C2287">
        <v>470</v>
      </c>
      <c r="D2287">
        <v>1</v>
      </c>
      <c r="E2287">
        <v>0</v>
      </c>
      <c r="J2287" t="b">
        <f t="shared" si="120"/>
        <v>0</v>
      </c>
      <c r="K2287" s="2" t="s">
        <v>2517</v>
      </c>
      <c r="L2287" s="17">
        <v>1E-3</v>
      </c>
      <c r="M2287" s="2">
        <v>0</v>
      </c>
      <c r="N2287" s="2">
        <f t="shared" si="118"/>
        <v>0</v>
      </c>
    </row>
    <row r="2288" spans="1:15" x14ac:dyDescent="0.25">
      <c r="A2288" s="12" t="s">
        <v>2058</v>
      </c>
      <c r="C2288">
        <v>470</v>
      </c>
      <c r="D2288">
        <v>2</v>
      </c>
      <c r="E2288">
        <v>0</v>
      </c>
      <c r="J2288" t="b">
        <f t="shared" si="120"/>
        <v>0</v>
      </c>
      <c r="K2288" s="2">
        <v>7.0000000000000001E-3</v>
      </c>
      <c r="L2288" s="17">
        <v>7.0000000000000001E-3</v>
      </c>
      <c r="M2288" s="2">
        <v>0</v>
      </c>
      <c r="N2288" s="2">
        <f t="shared" si="118"/>
        <v>0</v>
      </c>
    </row>
    <row r="2289" spans="1:15" x14ac:dyDescent="0.25">
      <c r="A2289" s="12" t="s">
        <v>2059</v>
      </c>
      <c r="C2289">
        <v>470</v>
      </c>
      <c r="D2289">
        <v>1</v>
      </c>
      <c r="E2289">
        <v>0</v>
      </c>
      <c r="J2289" t="b">
        <f t="shared" si="120"/>
        <v>0</v>
      </c>
      <c r="K2289" s="2">
        <v>1E-3</v>
      </c>
      <c r="L2289" s="17">
        <v>1E-3</v>
      </c>
      <c r="M2289" s="2">
        <v>0</v>
      </c>
      <c r="N2289" s="2">
        <f t="shared" si="118"/>
        <v>0</v>
      </c>
    </row>
    <row r="2290" spans="1:15" x14ac:dyDescent="0.25">
      <c r="A2290" s="12" t="s">
        <v>2060</v>
      </c>
      <c r="C2290">
        <v>470</v>
      </c>
      <c r="D2290">
        <v>0</v>
      </c>
      <c r="J2290" t="b">
        <f t="shared" si="120"/>
        <v>0</v>
      </c>
    </row>
    <row r="2291" spans="1:15" x14ac:dyDescent="0.25">
      <c r="A2291" s="12" t="s">
        <v>2061</v>
      </c>
      <c r="C2291">
        <v>470</v>
      </c>
      <c r="D2291">
        <v>1</v>
      </c>
      <c r="E2291">
        <v>0</v>
      </c>
      <c r="J2291" t="b">
        <f t="shared" si="120"/>
        <v>0</v>
      </c>
      <c r="K2291" s="2">
        <v>3.0000000000000001E-3</v>
      </c>
      <c r="L2291" s="17">
        <v>3.0000000000000001E-3</v>
      </c>
      <c r="M2291" s="2" t="s">
        <v>2558</v>
      </c>
      <c r="N2291" s="2" t="s">
        <v>2558</v>
      </c>
      <c r="O2291" t="s">
        <v>2135</v>
      </c>
    </row>
    <row r="2292" spans="1:15" x14ac:dyDescent="0.25">
      <c r="A2292" s="12" t="s">
        <v>2062</v>
      </c>
      <c r="C2292">
        <v>470</v>
      </c>
      <c r="D2292">
        <v>1</v>
      </c>
      <c r="E2292">
        <v>0</v>
      </c>
      <c r="J2292" t="b">
        <f t="shared" si="120"/>
        <v>0</v>
      </c>
      <c r="K2292" s="2">
        <v>0.01</v>
      </c>
      <c r="L2292" s="17">
        <v>0.01</v>
      </c>
      <c r="M2292" s="2" t="s">
        <v>2558</v>
      </c>
      <c r="N2292" s="2" t="s">
        <v>2558</v>
      </c>
      <c r="O2292" t="s">
        <v>2135</v>
      </c>
    </row>
    <row r="2293" spans="1:15" x14ac:dyDescent="0.25">
      <c r="A2293" s="12" t="s">
        <v>2378</v>
      </c>
      <c r="C2293">
        <v>471</v>
      </c>
      <c r="D2293">
        <v>1</v>
      </c>
      <c r="F2293">
        <v>0.45</v>
      </c>
      <c r="H2293">
        <v>353.39</v>
      </c>
      <c r="J2293">
        <f t="shared" ref="J2293:J2324" si="121">IF(NOT(ISBLANK(F2293)),SQRT((F2293^2*1/H2293)/(F2293^2*1/H2293+1)),IF(NOT(ISBLANK(G2293)),SQRT((G2293*H2293/I2293)/(G2293*H2293/I2293+1)*SQRT(1/H2293))))</f>
        <v>2.3931007971455982E-2</v>
      </c>
      <c r="K2293" s="2">
        <v>0.65</v>
      </c>
      <c r="L2293" s="17">
        <v>0.65</v>
      </c>
      <c r="M2293" s="2">
        <v>0</v>
      </c>
      <c r="N2293" s="2">
        <f t="shared" si="118"/>
        <v>0</v>
      </c>
    </row>
    <row r="2294" spans="1:15" x14ac:dyDescent="0.25">
      <c r="A2294" s="12" t="s">
        <v>2063</v>
      </c>
      <c r="C2294">
        <v>475</v>
      </c>
      <c r="D2294">
        <v>1</v>
      </c>
      <c r="E2294">
        <v>0</v>
      </c>
      <c r="J2294" t="b">
        <f t="shared" si="121"/>
        <v>0</v>
      </c>
      <c r="K2294" s="2">
        <v>0.56999999999999995</v>
      </c>
      <c r="L2294" s="17">
        <v>0.56999999999999995</v>
      </c>
      <c r="M2294" s="2" t="s">
        <v>2558</v>
      </c>
      <c r="N2294" s="2" t="s">
        <v>2558</v>
      </c>
      <c r="O2294" t="s">
        <v>2264</v>
      </c>
    </row>
    <row r="2295" spans="1:15" x14ac:dyDescent="0.25">
      <c r="A2295" s="12" t="s">
        <v>2064</v>
      </c>
      <c r="C2295">
        <v>475</v>
      </c>
      <c r="D2295">
        <v>1</v>
      </c>
      <c r="E2295">
        <v>0</v>
      </c>
      <c r="J2295" t="b">
        <f t="shared" si="121"/>
        <v>0</v>
      </c>
      <c r="K2295" s="2">
        <v>0.66</v>
      </c>
      <c r="L2295" s="17">
        <v>0.66</v>
      </c>
      <c r="M2295" s="2" t="s">
        <v>2558</v>
      </c>
      <c r="N2295" s="2" t="s">
        <v>2558</v>
      </c>
    </row>
    <row r="2296" spans="1:15" x14ac:dyDescent="0.25">
      <c r="A2296" s="12" t="s">
        <v>2065</v>
      </c>
      <c r="C2296">
        <v>475</v>
      </c>
      <c r="D2296">
        <v>1</v>
      </c>
      <c r="E2296">
        <v>0</v>
      </c>
      <c r="J2296" t="b">
        <f t="shared" si="121"/>
        <v>0</v>
      </c>
      <c r="K2296" s="2">
        <v>0.73899999999999999</v>
      </c>
      <c r="L2296" s="17">
        <v>0.73899999999999999</v>
      </c>
      <c r="M2296" s="2" t="s">
        <v>2558</v>
      </c>
      <c r="N2296" s="2" t="s">
        <v>2558</v>
      </c>
    </row>
    <row r="2297" spans="1:15" x14ac:dyDescent="0.25">
      <c r="A2297" s="12" t="s">
        <v>2066</v>
      </c>
      <c r="C2297">
        <v>476</v>
      </c>
      <c r="D2297">
        <v>1</v>
      </c>
      <c r="E2297">
        <v>0</v>
      </c>
      <c r="J2297" t="b">
        <f t="shared" si="121"/>
        <v>0</v>
      </c>
      <c r="K2297" s="2" t="s">
        <v>2517</v>
      </c>
      <c r="L2297" s="17">
        <v>1E-3</v>
      </c>
    </row>
    <row r="2298" spans="1:15" x14ac:dyDescent="0.25">
      <c r="A2298" s="12" t="s">
        <v>2067</v>
      </c>
      <c r="C2298">
        <v>476</v>
      </c>
      <c r="D2298">
        <v>2</v>
      </c>
      <c r="E2298">
        <v>0</v>
      </c>
      <c r="J2298" t="b">
        <f t="shared" si="121"/>
        <v>0</v>
      </c>
      <c r="K2298" s="2" t="s">
        <v>2517</v>
      </c>
      <c r="L2298" s="17">
        <v>1E-3</v>
      </c>
    </row>
    <row r="2299" spans="1:15" x14ac:dyDescent="0.25">
      <c r="A2299" s="12" t="s">
        <v>2068</v>
      </c>
      <c r="C2299">
        <v>476</v>
      </c>
      <c r="D2299">
        <v>1</v>
      </c>
      <c r="E2299">
        <v>0</v>
      </c>
      <c r="J2299" t="b">
        <f t="shared" si="121"/>
        <v>0</v>
      </c>
      <c r="K2299" s="2" t="s">
        <v>2517</v>
      </c>
      <c r="L2299" s="17">
        <v>1E-3</v>
      </c>
    </row>
    <row r="2300" spans="1:15" x14ac:dyDescent="0.25">
      <c r="A2300" s="12" t="s">
        <v>2069</v>
      </c>
      <c r="C2300">
        <v>476</v>
      </c>
      <c r="D2300">
        <v>1</v>
      </c>
      <c r="E2300">
        <v>0</v>
      </c>
      <c r="J2300" t="b">
        <f t="shared" si="121"/>
        <v>0</v>
      </c>
      <c r="K2300" s="2">
        <v>1.8800000000000001E-2</v>
      </c>
      <c r="L2300" s="17">
        <v>1.8800000000000001E-2</v>
      </c>
    </row>
    <row r="2301" spans="1:15" x14ac:dyDescent="0.25">
      <c r="A2301" s="12" t="s">
        <v>2070</v>
      </c>
      <c r="C2301">
        <v>476</v>
      </c>
      <c r="D2301">
        <v>2</v>
      </c>
      <c r="E2301">
        <v>0</v>
      </c>
      <c r="J2301" t="b">
        <f t="shared" si="121"/>
        <v>0</v>
      </c>
      <c r="K2301" s="2">
        <v>8.9999999999999993E-3</v>
      </c>
      <c r="L2301" s="17">
        <v>8.9999999999999993E-3</v>
      </c>
    </row>
    <row r="2302" spans="1:15" x14ac:dyDescent="0.25">
      <c r="A2302" s="12" t="s">
        <v>2071</v>
      </c>
      <c r="C2302">
        <v>476</v>
      </c>
      <c r="D2302">
        <v>1</v>
      </c>
      <c r="E2302">
        <v>0</v>
      </c>
      <c r="J2302" t="b">
        <f t="shared" si="121"/>
        <v>0</v>
      </c>
      <c r="K2302" s="2">
        <v>1E-3</v>
      </c>
      <c r="L2302" s="17">
        <v>1E-3</v>
      </c>
    </row>
    <row r="2303" spans="1:15" x14ac:dyDescent="0.25">
      <c r="A2303" s="12" t="s">
        <v>2072</v>
      </c>
      <c r="C2303">
        <v>476</v>
      </c>
      <c r="D2303">
        <v>1</v>
      </c>
      <c r="E2303">
        <v>0</v>
      </c>
      <c r="J2303" t="b">
        <f t="shared" si="121"/>
        <v>0</v>
      </c>
      <c r="K2303" s="2">
        <v>8.7999999999999995E-2</v>
      </c>
      <c r="L2303" s="17">
        <v>8.7999999999999995E-2</v>
      </c>
    </row>
    <row r="2304" spans="1:15" x14ac:dyDescent="0.25">
      <c r="A2304" s="12" t="s">
        <v>2073</v>
      </c>
      <c r="C2304">
        <v>476</v>
      </c>
      <c r="D2304">
        <v>1</v>
      </c>
      <c r="E2304">
        <v>0</v>
      </c>
      <c r="J2304" t="b">
        <f t="shared" si="121"/>
        <v>0</v>
      </c>
      <c r="K2304" s="2">
        <v>5.1999999999999998E-2</v>
      </c>
      <c r="L2304" s="17">
        <v>5.1999999999999998E-2</v>
      </c>
    </row>
    <row r="2305" spans="1:15" x14ac:dyDescent="0.25">
      <c r="A2305" s="12" t="s">
        <v>2074</v>
      </c>
      <c r="C2305">
        <v>476</v>
      </c>
      <c r="D2305">
        <v>0</v>
      </c>
      <c r="J2305" t="b">
        <f t="shared" si="121"/>
        <v>0</v>
      </c>
    </row>
    <row r="2306" spans="1:15" x14ac:dyDescent="0.25">
      <c r="A2306" s="12" t="s">
        <v>2075</v>
      </c>
      <c r="C2306">
        <v>476</v>
      </c>
      <c r="D2306">
        <v>1</v>
      </c>
      <c r="E2306">
        <v>0</v>
      </c>
      <c r="J2306" t="b">
        <f t="shared" si="121"/>
        <v>0</v>
      </c>
      <c r="K2306" s="2">
        <v>3.5000000000000003E-2</v>
      </c>
      <c r="L2306" s="17">
        <v>3.5000000000000003E-2</v>
      </c>
    </row>
    <row r="2307" spans="1:15" x14ac:dyDescent="0.25">
      <c r="A2307" s="12" t="s">
        <v>2076</v>
      </c>
      <c r="C2307">
        <v>476</v>
      </c>
      <c r="D2307">
        <v>1</v>
      </c>
      <c r="F2307">
        <v>9.61</v>
      </c>
      <c r="H2307">
        <v>575</v>
      </c>
      <c r="J2307">
        <f t="shared" si="121"/>
        <v>0.37200251150930491</v>
      </c>
      <c r="K2307" s="2" t="s">
        <v>2517</v>
      </c>
      <c r="L2307" s="17">
        <v>1E-3</v>
      </c>
      <c r="M2307" s="2">
        <v>0</v>
      </c>
      <c r="N2307" s="2">
        <f t="shared" ref="N2307:N2353" si="122">IF(M2307=0, 0)</f>
        <v>0</v>
      </c>
      <c r="O2307" t="s">
        <v>2305</v>
      </c>
    </row>
    <row r="2308" spans="1:15" x14ac:dyDescent="0.25">
      <c r="A2308" s="12" t="s">
        <v>2077</v>
      </c>
      <c r="C2308">
        <v>476</v>
      </c>
      <c r="D2308">
        <v>1</v>
      </c>
      <c r="F2308">
        <v>7.65</v>
      </c>
      <c r="H2308">
        <v>575</v>
      </c>
      <c r="J2308">
        <f t="shared" si="121"/>
        <v>0.30393478907399707</v>
      </c>
      <c r="K2308" s="2" t="s">
        <v>2517</v>
      </c>
      <c r="L2308" s="17">
        <v>1E-3</v>
      </c>
      <c r="M2308" s="2">
        <v>0</v>
      </c>
      <c r="N2308" s="2">
        <f t="shared" si="122"/>
        <v>0</v>
      </c>
    </row>
    <row r="2309" spans="1:15" x14ac:dyDescent="0.25">
      <c r="A2309" s="12" t="s">
        <v>2078</v>
      </c>
      <c r="C2309">
        <v>476</v>
      </c>
      <c r="D2309">
        <v>0</v>
      </c>
      <c r="J2309" t="b">
        <f t="shared" si="121"/>
        <v>0</v>
      </c>
    </row>
    <row r="2310" spans="1:15" x14ac:dyDescent="0.25">
      <c r="A2310" s="12" t="s">
        <v>2079</v>
      </c>
      <c r="C2310">
        <v>476</v>
      </c>
      <c r="D2310">
        <v>0</v>
      </c>
      <c r="J2310" t="b">
        <f t="shared" si="121"/>
        <v>0</v>
      </c>
    </row>
    <row r="2311" spans="1:15" x14ac:dyDescent="0.25">
      <c r="A2311" s="12" t="s">
        <v>2080</v>
      </c>
      <c r="C2311">
        <v>476</v>
      </c>
      <c r="D2311">
        <v>0</v>
      </c>
      <c r="J2311" t="b">
        <f t="shared" si="121"/>
        <v>0</v>
      </c>
    </row>
    <row r="2312" spans="1:15" x14ac:dyDescent="0.25">
      <c r="A2312" s="12" t="s">
        <v>2081</v>
      </c>
      <c r="C2312">
        <v>476</v>
      </c>
      <c r="D2312">
        <v>1</v>
      </c>
      <c r="E2312">
        <v>0</v>
      </c>
      <c r="J2312" t="b">
        <f t="shared" si="121"/>
        <v>0</v>
      </c>
      <c r="K2312" s="2">
        <v>7.6999999999999999E-2</v>
      </c>
      <c r="L2312" s="17">
        <v>7.6999999999999999E-2</v>
      </c>
    </row>
    <row r="2313" spans="1:15" x14ac:dyDescent="0.25">
      <c r="A2313" s="12" t="s">
        <v>2082</v>
      </c>
      <c r="C2313">
        <v>476</v>
      </c>
      <c r="D2313">
        <v>1</v>
      </c>
      <c r="E2313">
        <v>0</v>
      </c>
      <c r="J2313" t="b">
        <f t="shared" si="121"/>
        <v>0</v>
      </c>
      <c r="K2313" s="2">
        <v>8.9999999999999993E-3</v>
      </c>
      <c r="L2313" s="17">
        <v>8.9999999999999993E-3</v>
      </c>
    </row>
    <row r="2314" spans="1:15" x14ac:dyDescent="0.25">
      <c r="A2314" s="12" t="s">
        <v>2083</v>
      </c>
      <c r="C2314">
        <v>476</v>
      </c>
      <c r="D2314">
        <v>1</v>
      </c>
      <c r="E2314">
        <v>0</v>
      </c>
      <c r="J2314" t="b">
        <f t="shared" si="121"/>
        <v>0</v>
      </c>
      <c r="K2314" s="2">
        <v>0.85299999999999998</v>
      </c>
      <c r="L2314" s="17">
        <v>0.85299999999999998</v>
      </c>
    </row>
    <row r="2315" spans="1:15" x14ac:dyDescent="0.25">
      <c r="A2315" s="12" t="s">
        <v>2084</v>
      </c>
      <c r="C2315">
        <v>478</v>
      </c>
      <c r="D2315">
        <v>1</v>
      </c>
      <c r="G2315">
        <v>4.83</v>
      </c>
      <c r="H2315">
        <v>1</v>
      </c>
      <c r="I2315">
        <v>69</v>
      </c>
      <c r="J2315">
        <f t="shared" si="121"/>
        <v>0.25577443333465438</v>
      </c>
      <c r="K2315" s="2">
        <v>3.1E-2</v>
      </c>
      <c r="L2315" s="17">
        <v>3.1E-2</v>
      </c>
      <c r="M2315" s="2">
        <v>0</v>
      </c>
      <c r="N2315" s="2">
        <f t="shared" si="122"/>
        <v>0</v>
      </c>
    </row>
    <row r="2316" spans="1:15" x14ac:dyDescent="0.25">
      <c r="A2316" s="12" t="s">
        <v>2085</v>
      </c>
      <c r="C2316">
        <v>478</v>
      </c>
      <c r="D2316">
        <v>1</v>
      </c>
      <c r="G2316">
        <v>138.30000000000001</v>
      </c>
      <c r="H2316">
        <v>2</v>
      </c>
      <c r="I2316">
        <v>69</v>
      </c>
      <c r="J2316">
        <f t="shared" si="121"/>
        <v>0.75228382153091</v>
      </c>
      <c r="K2316" s="2" t="s">
        <v>2519</v>
      </c>
      <c r="L2316" s="17">
        <v>1E-3</v>
      </c>
      <c r="M2316" s="2">
        <v>0</v>
      </c>
      <c r="N2316" s="2">
        <f t="shared" si="122"/>
        <v>0</v>
      </c>
    </row>
    <row r="2317" spans="1:15" x14ac:dyDescent="0.25">
      <c r="A2317" s="12" t="s">
        <v>2086</v>
      </c>
      <c r="C2317">
        <v>478</v>
      </c>
      <c r="D2317">
        <v>1</v>
      </c>
      <c r="G2317">
        <v>2.21</v>
      </c>
      <c r="H2317">
        <v>2</v>
      </c>
      <c r="I2317">
        <v>69</v>
      </c>
      <c r="J2317">
        <f t="shared" si="121"/>
        <v>0.20632243072790923</v>
      </c>
      <c r="K2317" s="2">
        <v>0.11799999999999999</v>
      </c>
      <c r="L2317" s="17">
        <v>0.11799999999999999</v>
      </c>
      <c r="M2317" s="2">
        <v>0</v>
      </c>
      <c r="N2317" s="2">
        <f t="shared" si="122"/>
        <v>0</v>
      </c>
    </row>
    <row r="2318" spans="1:15" x14ac:dyDescent="0.25">
      <c r="A2318" s="12" t="s">
        <v>2087</v>
      </c>
      <c r="C2318">
        <v>478</v>
      </c>
      <c r="D2318">
        <v>1</v>
      </c>
      <c r="G2318">
        <v>6.29</v>
      </c>
      <c r="H2318">
        <v>1</v>
      </c>
      <c r="I2318">
        <v>72</v>
      </c>
      <c r="J2318">
        <f t="shared" si="121"/>
        <v>0.2834472032432851</v>
      </c>
      <c r="K2318" s="2">
        <v>1.4E-2</v>
      </c>
      <c r="L2318" s="17">
        <v>1.4E-2</v>
      </c>
      <c r="M2318" s="2">
        <v>0</v>
      </c>
      <c r="N2318" s="2">
        <f t="shared" si="122"/>
        <v>0</v>
      </c>
    </row>
    <row r="2319" spans="1:15" x14ac:dyDescent="0.25">
      <c r="A2319" s="12" t="s">
        <v>2379</v>
      </c>
      <c r="C2319">
        <v>479</v>
      </c>
      <c r="D2319">
        <v>1</v>
      </c>
      <c r="J2319" t="b">
        <f t="shared" si="121"/>
        <v>0</v>
      </c>
      <c r="K2319" s="2" t="s">
        <v>2161</v>
      </c>
      <c r="L2319" s="17">
        <v>1E-4</v>
      </c>
      <c r="O2319" t="s">
        <v>2313</v>
      </c>
    </row>
    <row r="2320" spans="1:15" x14ac:dyDescent="0.25">
      <c r="A2320" s="12" t="s">
        <v>2088</v>
      </c>
      <c r="C2320">
        <v>480</v>
      </c>
      <c r="D2320">
        <v>1</v>
      </c>
      <c r="G2320">
        <v>39.5</v>
      </c>
      <c r="H2320">
        <v>1</v>
      </c>
      <c r="I2320">
        <v>9</v>
      </c>
      <c r="J2320">
        <f t="shared" si="121"/>
        <v>0.90245941165834243</v>
      </c>
      <c r="K2320" s="2">
        <v>1E-4</v>
      </c>
      <c r="L2320" s="17">
        <v>1E-4</v>
      </c>
      <c r="M2320" s="2" t="s">
        <v>2558</v>
      </c>
      <c r="N2320" s="2" t="s">
        <v>2558</v>
      </c>
      <c r="O2320" t="s">
        <v>2264</v>
      </c>
    </row>
    <row r="2321" spans="1:14" x14ac:dyDescent="0.25">
      <c r="A2321" s="12" t="s">
        <v>2089</v>
      </c>
      <c r="C2321">
        <v>480</v>
      </c>
      <c r="D2321">
        <v>1</v>
      </c>
      <c r="G2321">
        <v>26.5</v>
      </c>
      <c r="H2321">
        <v>1.1000000000000001</v>
      </c>
      <c r="I2321">
        <v>9.5</v>
      </c>
      <c r="J2321">
        <f t="shared" si="121"/>
        <v>0.84800098971892091</v>
      </c>
      <c r="K2321" s="2">
        <v>1E-4</v>
      </c>
      <c r="L2321" s="17">
        <v>1E-4</v>
      </c>
      <c r="M2321" s="2" t="s">
        <v>2558</v>
      </c>
      <c r="N2321" s="2" t="s">
        <v>2558</v>
      </c>
    </row>
    <row r="2322" spans="1:14" x14ac:dyDescent="0.25">
      <c r="A2322" s="12" t="s">
        <v>2090</v>
      </c>
      <c r="C2322">
        <v>480</v>
      </c>
      <c r="D2322">
        <v>1</v>
      </c>
      <c r="E2322">
        <v>0</v>
      </c>
      <c r="J2322" t="b">
        <f t="shared" si="121"/>
        <v>0</v>
      </c>
      <c r="K2322" s="2">
        <v>1E-3</v>
      </c>
      <c r="L2322" s="17">
        <v>1E-3</v>
      </c>
    </row>
    <row r="2323" spans="1:14" x14ac:dyDescent="0.25">
      <c r="A2323" s="12" t="s">
        <v>2091</v>
      </c>
      <c r="C2323">
        <v>480</v>
      </c>
      <c r="D2323">
        <v>1</v>
      </c>
      <c r="G2323">
        <v>129.69999999999999</v>
      </c>
      <c r="H2323">
        <v>1.5</v>
      </c>
      <c r="I2323">
        <v>13.1</v>
      </c>
      <c r="J2323">
        <f t="shared" si="121"/>
        <v>0.87463496515437522</v>
      </c>
      <c r="K2323" s="2">
        <v>1E-4</v>
      </c>
      <c r="L2323" s="17">
        <v>1E-4</v>
      </c>
      <c r="M2323" s="2" t="s">
        <v>2558</v>
      </c>
      <c r="N2323" s="2" t="s">
        <v>2558</v>
      </c>
    </row>
    <row r="2324" spans="1:14" x14ac:dyDescent="0.25">
      <c r="A2324" s="12" t="s">
        <v>2092</v>
      </c>
      <c r="C2324">
        <v>480</v>
      </c>
      <c r="D2324">
        <v>1</v>
      </c>
      <c r="G2324">
        <v>42.3</v>
      </c>
      <c r="H2324">
        <v>3</v>
      </c>
      <c r="I2324">
        <v>27</v>
      </c>
      <c r="J2324">
        <f t="shared" si="121"/>
        <v>0.68997155613776218</v>
      </c>
      <c r="K2324" s="2">
        <v>1E-4</v>
      </c>
      <c r="L2324" s="17">
        <v>1E-4</v>
      </c>
      <c r="M2324" s="2" t="s">
        <v>2558</v>
      </c>
      <c r="N2324" s="2" t="s">
        <v>2558</v>
      </c>
    </row>
    <row r="2325" spans="1:14" x14ac:dyDescent="0.25">
      <c r="A2325" s="12" t="s">
        <v>2093</v>
      </c>
      <c r="C2325">
        <v>480</v>
      </c>
      <c r="D2325">
        <v>1</v>
      </c>
      <c r="G2325">
        <v>3.8</v>
      </c>
      <c r="H2325">
        <v>1</v>
      </c>
      <c r="I2325">
        <v>9</v>
      </c>
      <c r="J2325">
        <f t="shared" ref="J2325:J2356" si="123">IF(NOT(ISBLANK(F2325)),SQRT((F2325^2*1/H2325)/(F2325^2*1/H2325+1)),IF(NOT(ISBLANK(G2325)),SQRT((G2325*H2325/I2325)/(G2325*H2325/I2325+1)*SQRT(1/H2325))))</f>
        <v>0.54486236794258425</v>
      </c>
      <c r="K2325" s="2">
        <v>8.3400000000000002E-2</v>
      </c>
      <c r="L2325" s="17">
        <v>8.3400000000000002E-2</v>
      </c>
      <c r="M2325" s="2" t="s">
        <v>2558</v>
      </c>
      <c r="N2325" s="2" t="s">
        <v>2558</v>
      </c>
    </row>
    <row r="2326" spans="1:14" x14ac:dyDescent="0.25">
      <c r="A2326" s="12" t="s">
        <v>2094</v>
      </c>
      <c r="C2326">
        <v>480</v>
      </c>
      <c r="D2326">
        <v>1</v>
      </c>
      <c r="E2326">
        <v>0</v>
      </c>
      <c r="J2326" t="b">
        <f t="shared" si="123"/>
        <v>0</v>
      </c>
      <c r="K2326" s="2">
        <v>1E-3</v>
      </c>
      <c r="L2326" s="17">
        <v>1E-3</v>
      </c>
    </row>
    <row r="2327" spans="1:14" x14ac:dyDescent="0.25">
      <c r="A2327" s="12" t="s">
        <v>2095</v>
      </c>
      <c r="C2327">
        <v>480</v>
      </c>
      <c r="D2327">
        <v>1</v>
      </c>
      <c r="G2327">
        <v>26</v>
      </c>
      <c r="H2327">
        <v>1</v>
      </c>
      <c r="I2327">
        <v>9</v>
      </c>
      <c r="J2327">
        <f t="shared" si="123"/>
        <v>0.86189160737133463</v>
      </c>
      <c r="K2327" s="2">
        <v>5.9999999999999995E-4</v>
      </c>
      <c r="L2327" s="17">
        <v>5.9999999999999995E-4</v>
      </c>
      <c r="M2327" s="2" t="s">
        <v>2558</v>
      </c>
      <c r="N2327" s="2" t="s">
        <v>2558</v>
      </c>
    </row>
    <row r="2328" spans="1:14" x14ac:dyDescent="0.25">
      <c r="A2328" s="12" t="s">
        <v>2096</v>
      </c>
      <c r="C2328">
        <v>480</v>
      </c>
      <c r="D2328">
        <v>1</v>
      </c>
      <c r="G2328">
        <v>7.7</v>
      </c>
      <c r="H2328">
        <v>1.6</v>
      </c>
      <c r="I2328">
        <v>14.7</v>
      </c>
      <c r="J2328">
        <f t="shared" si="123"/>
        <v>0.60038894355451744</v>
      </c>
      <c r="K2328" s="2">
        <v>6.9999999999999999E-4</v>
      </c>
      <c r="L2328" s="17">
        <v>6.9999999999999999E-4</v>
      </c>
      <c r="M2328" s="2" t="s">
        <v>2558</v>
      </c>
      <c r="N2328" s="2" t="s">
        <v>2558</v>
      </c>
    </row>
    <row r="2329" spans="1:14" x14ac:dyDescent="0.25">
      <c r="A2329" s="12" t="s">
        <v>2097</v>
      </c>
      <c r="C2329">
        <v>480</v>
      </c>
      <c r="D2329">
        <v>1</v>
      </c>
      <c r="G2329">
        <v>16.8</v>
      </c>
      <c r="H2329">
        <v>1</v>
      </c>
      <c r="I2329">
        <v>9</v>
      </c>
      <c r="J2329">
        <f t="shared" si="123"/>
        <v>0.80694658478592896</v>
      </c>
      <c r="K2329" s="2">
        <v>2.7000000000000001E-3</v>
      </c>
      <c r="L2329" s="17">
        <v>2.7000000000000001E-3</v>
      </c>
      <c r="M2329" s="2" t="s">
        <v>2558</v>
      </c>
      <c r="N2329" s="2" t="s">
        <v>2558</v>
      </c>
    </row>
    <row r="2330" spans="1:14" x14ac:dyDescent="0.25">
      <c r="A2330" s="12" t="s">
        <v>2098</v>
      </c>
      <c r="C2330">
        <v>480</v>
      </c>
      <c r="D2330">
        <v>1</v>
      </c>
      <c r="G2330">
        <v>16.600000000000001</v>
      </c>
      <c r="H2330">
        <v>3</v>
      </c>
      <c r="I2330">
        <v>27</v>
      </c>
      <c r="J2330">
        <f t="shared" si="123"/>
        <v>0.61186237437649971</v>
      </c>
      <c r="K2330" s="2">
        <v>1E-4</v>
      </c>
      <c r="L2330" s="17">
        <v>1E-4</v>
      </c>
      <c r="M2330" s="2" t="s">
        <v>2558</v>
      </c>
      <c r="N2330" s="2" t="s">
        <v>2558</v>
      </c>
    </row>
    <row r="2331" spans="1:14" x14ac:dyDescent="0.25">
      <c r="A2331" s="12" t="s">
        <v>2099</v>
      </c>
      <c r="C2331">
        <v>480</v>
      </c>
      <c r="D2331">
        <v>1</v>
      </c>
      <c r="G2331">
        <v>0.5</v>
      </c>
      <c r="H2331">
        <v>1</v>
      </c>
      <c r="I2331">
        <v>9</v>
      </c>
      <c r="J2331">
        <f t="shared" si="123"/>
        <v>0.22941573387056177</v>
      </c>
      <c r="K2331" s="2">
        <v>0.51080000000000003</v>
      </c>
      <c r="L2331" s="17">
        <v>0.51080000000000003</v>
      </c>
      <c r="M2331" s="2" t="s">
        <v>2558</v>
      </c>
      <c r="N2331" s="2" t="s">
        <v>2558</v>
      </c>
    </row>
    <row r="2332" spans="1:14" x14ac:dyDescent="0.25">
      <c r="A2332" s="12" t="s">
        <v>2100</v>
      </c>
      <c r="C2332">
        <v>480</v>
      </c>
      <c r="D2332">
        <v>1</v>
      </c>
      <c r="G2332">
        <v>0.7</v>
      </c>
      <c r="H2332">
        <v>3</v>
      </c>
      <c r="I2332">
        <v>27</v>
      </c>
      <c r="J2332">
        <f t="shared" si="123"/>
        <v>0.20411872137495421</v>
      </c>
      <c r="K2332" s="2">
        <v>0.55189999999999995</v>
      </c>
      <c r="L2332" s="17">
        <v>0.55189999999999995</v>
      </c>
      <c r="M2332" s="2" t="s">
        <v>2558</v>
      </c>
      <c r="N2332" s="2" t="s">
        <v>2558</v>
      </c>
    </row>
    <row r="2333" spans="1:14" x14ac:dyDescent="0.25">
      <c r="A2333" s="12" t="s">
        <v>2101</v>
      </c>
      <c r="C2333">
        <v>480</v>
      </c>
      <c r="D2333">
        <v>1</v>
      </c>
      <c r="E2333">
        <v>0</v>
      </c>
      <c r="J2333" t="b">
        <f t="shared" si="123"/>
        <v>0</v>
      </c>
      <c r="K2333" s="2">
        <v>1E-3</v>
      </c>
      <c r="L2333" s="17">
        <v>1E-3</v>
      </c>
    </row>
    <row r="2334" spans="1:14" x14ac:dyDescent="0.25">
      <c r="A2334" s="12" t="s">
        <v>2102</v>
      </c>
      <c r="C2334">
        <v>480</v>
      </c>
      <c r="D2334">
        <v>1</v>
      </c>
      <c r="E2334">
        <v>0</v>
      </c>
      <c r="J2334" t="b">
        <f t="shared" si="123"/>
        <v>0</v>
      </c>
      <c r="K2334" s="2">
        <v>0.26800000000000002</v>
      </c>
      <c r="L2334" s="17">
        <v>0.26800000000000002</v>
      </c>
    </row>
    <row r="2335" spans="1:14" x14ac:dyDescent="0.25">
      <c r="A2335" s="12" t="s">
        <v>2103</v>
      </c>
      <c r="C2335">
        <v>480</v>
      </c>
      <c r="D2335">
        <v>1</v>
      </c>
      <c r="E2335">
        <v>0</v>
      </c>
      <c r="J2335" t="b">
        <f t="shared" si="123"/>
        <v>0</v>
      </c>
      <c r="K2335" s="2">
        <v>0.877</v>
      </c>
      <c r="L2335" s="17">
        <v>0.877</v>
      </c>
    </row>
    <row r="2336" spans="1:14" x14ac:dyDescent="0.25">
      <c r="A2336" s="12" t="s">
        <v>2104</v>
      </c>
      <c r="C2336">
        <v>480</v>
      </c>
      <c r="D2336">
        <v>1</v>
      </c>
      <c r="G2336">
        <v>107.4</v>
      </c>
      <c r="H2336">
        <v>1</v>
      </c>
      <c r="I2336">
        <v>9</v>
      </c>
      <c r="J2336">
        <f t="shared" si="123"/>
        <v>0.96056254995244017</v>
      </c>
      <c r="K2336" s="2">
        <v>1E-4</v>
      </c>
      <c r="L2336" s="17">
        <v>1E-4</v>
      </c>
      <c r="M2336" s="2" t="s">
        <v>2558</v>
      </c>
      <c r="N2336" s="2" t="s">
        <v>2558</v>
      </c>
    </row>
    <row r="2337" spans="1:14" x14ac:dyDescent="0.25">
      <c r="A2337" s="12" t="s">
        <v>2105</v>
      </c>
      <c r="C2337">
        <v>480</v>
      </c>
      <c r="D2337">
        <v>1</v>
      </c>
      <c r="G2337">
        <v>22</v>
      </c>
      <c r="H2337">
        <v>1</v>
      </c>
      <c r="I2337">
        <v>9</v>
      </c>
      <c r="J2337">
        <f t="shared" si="123"/>
        <v>0.84242353917423196</v>
      </c>
      <c r="K2337" s="2">
        <v>1E-4</v>
      </c>
      <c r="L2337" s="17">
        <v>1E-4</v>
      </c>
      <c r="M2337" s="2" t="s">
        <v>2558</v>
      </c>
      <c r="N2337" s="2" t="s">
        <v>2558</v>
      </c>
    </row>
    <row r="2338" spans="1:14" x14ac:dyDescent="0.25">
      <c r="A2338" s="12" t="s">
        <v>2106</v>
      </c>
      <c r="C2338">
        <v>480</v>
      </c>
      <c r="D2338">
        <v>1</v>
      </c>
      <c r="G2338">
        <v>9</v>
      </c>
      <c r="H2338">
        <v>1</v>
      </c>
      <c r="I2338">
        <v>9</v>
      </c>
      <c r="J2338">
        <f t="shared" si="123"/>
        <v>0.70710678118654757</v>
      </c>
      <c r="K2338" s="2">
        <v>1.5E-3</v>
      </c>
      <c r="L2338" s="17">
        <v>1.5E-3</v>
      </c>
      <c r="M2338" s="2" t="s">
        <v>2558</v>
      </c>
      <c r="N2338" s="2" t="s">
        <v>2558</v>
      </c>
    </row>
    <row r="2339" spans="1:14" x14ac:dyDescent="0.25">
      <c r="A2339" s="12" t="s">
        <v>2107</v>
      </c>
      <c r="C2339">
        <v>480</v>
      </c>
      <c r="D2339">
        <v>1</v>
      </c>
      <c r="G2339">
        <v>5.5</v>
      </c>
      <c r="H2339">
        <v>1</v>
      </c>
      <c r="I2339">
        <v>9</v>
      </c>
      <c r="J2339">
        <f t="shared" si="123"/>
        <v>0.61588176205143974</v>
      </c>
      <c r="K2339" s="2">
        <v>4.41E-2</v>
      </c>
      <c r="L2339" s="17">
        <v>4.41E-2</v>
      </c>
      <c r="M2339" s="2" t="s">
        <v>2558</v>
      </c>
      <c r="N2339" s="2" t="s">
        <v>2558</v>
      </c>
    </row>
    <row r="2340" spans="1:14" x14ac:dyDescent="0.25">
      <c r="A2340" s="12" t="s">
        <v>2108</v>
      </c>
      <c r="C2340">
        <v>480</v>
      </c>
      <c r="D2340">
        <v>1</v>
      </c>
      <c r="G2340">
        <v>6.2</v>
      </c>
      <c r="H2340">
        <v>1</v>
      </c>
      <c r="I2340">
        <v>9</v>
      </c>
      <c r="J2340">
        <f t="shared" si="123"/>
        <v>0.63866637365850509</v>
      </c>
      <c r="K2340" s="2">
        <v>3.44E-2</v>
      </c>
      <c r="L2340" s="17">
        <v>3.44E-2</v>
      </c>
      <c r="M2340" s="2" t="s">
        <v>2558</v>
      </c>
      <c r="N2340" s="2" t="s">
        <v>2558</v>
      </c>
    </row>
    <row r="2341" spans="1:14" x14ac:dyDescent="0.25">
      <c r="A2341" s="12" t="s">
        <v>2109</v>
      </c>
      <c r="C2341">
        <v>480</v>
      </c>
      <c r="D2341">
        <v>1</v>
      </c>
      <c r="G2341">
        <v>0.2</v>
      </c>
      <c r="H2341">
        <v>1</v>
      </c>
      <c r="I2341">
        <v>9</v>
      </c>
      <c r="J2341">
        <f t="shared" si="123"/>
        <v>0.14744195615489714</v>
      </c>
      <c r="K2341" s="2">
        <v>0.65839999999999999</v>
      </c>
      <c r="L2341" s="17">
        <v>0.65839999999999999</v>
      </c>
      <c r="M2341" s="2" t="s">
        <v>2558</v>
      </c>
      <c r="N2341" s="2" t="s">
        <v>2558</v>
      </c>
    </row>
    <row r="2342" spans="1:14" x14ac:dyDescent="0.25">
      <c r="A2342" s="12" t="s">
        <v>2110</v>
      </c>
      <c r="C2342">
        <v>480</v>
      </c>
      <c r="D2342">
        <v>1</v>
      </c>
      <c r="G2342">
        <v>1</v>
      </c>
      <c r="H2342">
        <v>1</v>
      </c>
      <c r="I2342">
        <v>9</v>
      </c>
      <c r="J2342">
        <f t="shared" si="123"/>
        <v>0.31622776601683794</v>
      </c>
      <c r="K2342" s="2">
        <v>0.34439999999999998</v>
      </c>
      <c r="L2342" s="17">
        <v>0.34439999999999998</v>
      </c>
      <c r="M2342" s="2" t="s">
        <v>2558</v>
      </c>
      <c r="N2342" s="2" t="s">
        <v>2558</v>
      </c>
    </row>
    <row r="2343" spans="1:14" x14ac:dyDescent="0.25">
      <c r="A2343" s="12" t="s">
        <v>2111</v>
      </c>
      <c r="C2343">
        <v>480</v>
      </c>
      <c r="D2343">
        <v>1</v>
      </c>
      <c r="G2343">
        <v>5.0999999999999996</v>
      </c>
      <c r="H2343">
        <v>1</v>
      </c>
      <c r="I2343">
        <v>9</v>
      </c>
      <c r="J2343">
        <f t="shared" si="123"/>
        <v>0.60141676702564129</v>
      </c>
      <c r="K2343" s="2">
        <v>5.1200000000000002E-2</v>
      </c>
      <c r="L2343" s="17">
        <v>5.1200000000000002E-2</v>
      </c>
      <c r="M2343" s="2" t="s">
        <v>2558</v>
      </c>
      <c r="N2343" s="2" t="s">
        <v>2558</v>
      </c>
    </row>
    <row r="2344" spans="1:14" x14ac:dyDescent="0.25">
      <c r="A2344" s="12" t="s">
        <v>2112</v>
      </c>
      <c r="C2344">
        <v>480</v>
      </c>
      <c r="D2344">
        <v>1</v>
      </c>
      <c r="G2344">
        <v>3</v>
      </c>
      <c r="H2344">
        <v>1.4</v>
      </c>
      <c r="I2344">
        <v>12.4</v>
      </c>
      <c r="J2344">
        <f t="shared" si="123"/>
        <v>0.46242211130924193</v>
      </c>
      <c r="K2344" s="2">
        <v>9.7000000000000003E-2</v>
      </c>
      <c r="L2344" s="17">
        <v>9.7000000000000003E-2</v>
      </c>
      <c r="M2344" s="2" t="s">
        <v>2558</v>
      </c>
      <c r="N2344" s="2" t="s">
        <v>2558</v>
      </c>
    </row>
    <row r="2345" spans="1:14" x14ac:dyDescent="0.25">
      <c r="A2345" s="12" t="s">
        <v>2113</v>
      </c>
      <c r="C2345">
        <v>480</v>
      </c>
      <c r="D2345">
        <v>1</v>
      </c>
      <c r="G2345">
        <v>49.9</v>
      </c>
      <c r="H2345">
        <v>1</v>
      </c>
      <c r="I2345">
        <v>9</v>
      </c>
      <c r="J2345">
        <f t="shared" si="123"/>
        <v>0.92043394209780449</v>
      </c>
      <c r="K2345" s="2">
        <v>1E-3</v>
      </c>
      <c r="L2345" s="17">
        <v>1E-3</v>
      </c>
      <c r="M2345" s="2" t="s">
        <v>2558</v>
      </c>
      <c r="N2345" s="2" t="s">
        <v>2558</v>
      </c>
    </row>
    <row r="2346" spans="1:14" x14ac:dyDescent="0.25">
      <c r="A2346" s="12" t="s">
        <v>2114</v>
      </c>
      <c r="C2346">
        <v>480</v>
      </c>
      <c r="D2346">
        <v>1</v>
      </c>
      <c r="G2346">
        <v>14.2</v>
      </c>
      <c r="H2346">
        <v>1.6</v>
      </c>
      <c r="I2346">
        <v>14.1</v>
      </c>
      <c r="J2346">
        <f t="shared" si="123"/>
        <v>0.69844510145287708</v>
      </c>
      <c r="K2346" s="2">
        <v>1E-4</v>
      </c>
      <c r="L2346" s="17">
        <v>1E-4</v>
      </c>
      <c r="M2346" s="2" t="s">
        <v>2558</v>
      </c>
      <c r="N2346" s="2" t="s">
        <v>2558</v>
      </c>
    </row>
    <row r="2347" spans="1:14" x14ac:dyDescent="0.25">
      <c r="A2347" s="12" t="s">
        <v>2115</v>
      </c>
      <c r="C2347">
        <v>480</v>
      </c>
      <c r="D2347">
        <v>1</v>
      </c>
      <c r="G2347">
        <v>22.6</v>
      </c>
      <c r="H2347">
        <v>1</v>
      </c>
      <c r="I2347">
        <v>9</v>
      </c>
      <c r="J2347">
        <f t="shared" si="123"/>
        <v>0.84568899331711866</v>
      </c>
      <c r="K2347" s="2">
        <v>1E-3</v>
      </c>
      <c r="L2347" s="17">
        <v>1E-3</v>
      </c>
      <c r="M2347" s="2" t="s">
        <v>2558</v>
      </c>
      <c r="N2347" s="2" t="s">
        <v>2558</v>
      </c>
    </row>
    <row r="2348" spans="1:14" x14ac:dyDescent="0.25">
      <c r="A2348" s="12" t="s">
        <v>2116</v>
      </c>
      <c r="C2348">
        <v>480</v>
      </c>
      <c r="D2348">
        <v>1</v>
      </c>
      <c r="G2348">
        <v>20.9</v>
      </c>
      <c r="H2348">
        <v>3</v>
      </c>
      <c r="I2348">
        <v>27</v>
      </c>
      <c r="J2348">
        <f t="shared" si="123"/>
        <v>0.63526837417440607</v>
      </c>
      <c r="K2348" s="2">
        <v>1E-4</v>
      </c>
      <c r="L2348" s="17">
        <v>1E-4</v>
      </c>
      <c r="M2348" s="2" t="s">
        <v>2558</v>
      </c>
      <c r="N2348" s="2" t="s">
        <v>2558</v>
      </c>
    </row>
    <row r="2349" spans="1:14" x14ac:dyDescent="0.25">
      <c r="A2349" s="12" t="s">
        <v>2117</v>
      </c>
      <c r="C2349">
        <v>480</v>
      </c>
      <c r="D2349">
        <v>1</v>
      </c>
      <c r="G2349">
        <v>0.6</v>
      </c>
      <c r="H2349">
        <v>3</v>
      </c>
      <c r="I2349">
        <v>18</v>
      </c>
      <c r="J2349">
        <f t="shared" si="123"/>
        <v>0.22909907923897857</v>
      </c>
      <c r="K2349" s="2">
        <v>0.61399999999999999</v>
      </c>
      <c r="L2349" s="17">
        <v>0.61399999999999999</v>
      </c>
      <c r="M2349" s="2" t="s">
        <v>2558</v>
      </c>
      <c r="N2349" s="2" t="s">
        <v>2558</v>
      </c>
    </row>
    <row r="2350" spans="1:14" x14ac:dyDescent="0.25">
      <c r="A2350" s="12" t="s">
        <v>2118</v>
      </c>
      <c r="C2350">
        <v>480</v>
      </c>
      <c r="D2350">
        <v>1</v>
      </c>
      <c r="E2350">
        <v>0</v>
      </c>
      <c r="J2350" t="b">
        <f t="shared" si="123"/>
        <v>0</v>
      </c>
      <c r="K2350" s="2">
        <v>1E-3</v>
      </c>
      <c r="L2350" s="17">
        <v>1E-3</v>
      </c>
    </row>
    <row r="2351" spans="1:14" x14ac:dyDescent="0.25">
      <c r="A2351" s="12" t="s">
        <v>2119</v>
      </c>
      <c r="C2351">
        <v>480</v>
      </c>
      <c r="D2351">
        <v>1</v>
      </c>
      <c r="E2351">
        <v>0</v>
      </c>
      <c r="J2351" t="b">
        <f t="shared" si="123"/>
        <v>0</v>
      </c>
      <c r="K2351" s="2">
        <v>1E-3</v>
      </c>
      <c r="L2351" s="17">
        <v>1E-3</v>
      </c>
    </row>
    <row r="2352" spans="1:14" x14ac:dyDescent="0.25">
      <c r="A2352" s="12" t="s">
        <v>2120</v>
      </c>
      <c r="C2352">
        <v>480</v>
      </c>
      <c r="D2352">
        <v>1</v>
      </c>
      <c r="E2352">
        <v>0</v>
      </c>
      <c r="J2352" t="b">
        <f t="shared" si="123"/>
        <v>0</v>
      </c>
      <c r="K2352" s="2">
        <v>2.1000000000000001E-2</v>
      </c>
      <c r="L2352" s="17">
        <v>2.1000000000000001E-2</v>
      </c>
    </row>
    <row r="2353" spans="1:15" x14ac:dyDescent="0.25">
      <c r="A2353" s="12" t="s">
        <v>2121</v>
      </c>
      <c r="C2353">
        <v>480</v>
      </c>
      <c r="D2353">
        <v>1</v>
      </c>
      <c r="E2353">
        <v>0</v>
      </c>
      <c r="J2353" t="b">
        <f t="shared" si="123"/>
        <v>0</v>
      </c>
      <c r="K2353" s="2">
        <v>0.13200000000000001</v>
      </c>
      <c r="L2353" s="17">
        <v>0.13200000000000001</v>
      </c>
      <c r="N2353" s="2">
        <f t="shared" si="122"/>
        <v>0</v>
      </c>
    </row>
    <row r="2354" spans="1:15" x14ac:dyDescent="0.25">
      <c r="A2354" s="12" t="s">
        <v>2122</v>
      </c>
      <c r="C2354">
        <v>480</v>
      </c>
      <c r="D2354">
        <v>1</v>
      </c>
      <c r="G2354">
        <v>5.9</v>
      </c>
      <c r="H2354">
        <v>1</v>
      </c>
      <c r="I2354">
        <v>9</v>
      </c>
      <c r="J2354">
        <f t="shared" si="123"/>
        <v>0.6292639782813062</v>
      </c>
      <c r="K2354" s="2">
        <v>0.04</v>
      </c>
      <c r="L2354" s="17">
        <v>0.04</v>
      </c>
      <c r="M2354" s="2" t="s">
        <v>2558</v>
      </c>
      <c r="N2354" s="2" t="s">
        <v>2558</v>
      </c>
    </row>
    <row r="2355" spans="1:15" x14ac:dyDescent="0.25">
      <c r="A2355" s="12" t="s">
        <v>2123</v>
      </c>
      <c r="C2355">
        <v>480</v>
      </c>
      <c r="D2355">
        <v>1</v>
      </c>
      <c r="G2355">
        <v>17.899999999999999</v>
      </c>
      <c r="H2355">
        <v>1.4</v>
      </c>
      <c r="I2355">
        <v>12.4</v>
      </c>
      <c r="J2355">
        <f t="shared" si="123"/>
        <v>0.75192519634216082</v>
      </c>
      <c r="K2355" s="2">
        <v>1E-3</v>
      </c>
      <c r="L2355" s="17">
        <v>1E-3</v>
      </c>
      <c r="M2355" s="2" t="s">
        <v>2558</v>
      </c>
      <c r="N2355" s="2" t="s">
        <v>2558</v>
      </c>
    </row>
    <row r="2356" spans="1:15" x14ac:dyDescent="0.25">
      <c r="A2356" s="12" t="s">
        <v>2124</v>
      </c>
      <c r="C2356">
        <v>480</v>
      </c>
      <c r="D2356">
        <v>1</v>
      </c>
      <c r="E2356">
        <v>0</v>
      </c>
      <c r="J2356" t="b">
        <f t="shared" si="123"/>
        <v>0</v>
      </c>
      <c r="K2356" s="2">
        <v>0.5</v>
      </c>
      <c r="L2356" s="17">
        <v>0.5</v>
      </c>
    </row>
    <row r="2357" spans="1:15" x14ac:dyDescent="0.25">
      <c r="A2357" s="12" t="s">
        <v>2125</v>
      </c>
      <c r="C2357">
        <v>480</v>
      </c>
      <c r="D2357">
        <v>1</v>
      </c>
      <c r="G2357">
        <v>3.2</v>
      </c>
      <c r="H2357">
        <v>1</v>
      </c>
      <c r="I2357">
        <v>9</v>
      </c>
      <c r="J2357">
        <f t="shared" ref="J2357:J2366" si="124">IF(NOT(ISBLANK(F2357)),SQRT((F2357^2*1/H2357)/(F2357^2*1/H2357+1)),IF(NOT(ISBLANK(G2357)),SQRT((G2357*H2357/I2357)/(G2357*H2357/I2357+1)*SQRT(1/H2357))))</f>
        <v>0.5121475197315839</v>
      </c>
      <c r="K2357" s="2">
        <v>0.11</v>
      </c>
      <c r="L2357" s="17">
        <v>0.11</v>
      </c>
      <c r="M2357" s="2" t="s">
        <v>2558</v>
      </c>
      <c r="N2357" s="2" t="s">
        <v>2558</v>
      </c>
    </row>
    <row r="2358" spans="1:15" x14ac:dyDescent="0.25">
      <c r="A2358" s="12" t="s">
        <v>2126</v>
      </c>
      <c r="C2358">
        <v>480</v>
      </c>
      <c r="D2358">
        <v>1</v>
      </c>
      <c r="G2358">
        <v>14.3</v>
      </c>
      <c r="H2358">
        <v>1.1000000000000001</v>
      </c>
      <c r="I2358">
        <v>9.5</v>
      </c>
      <c r="J2358">
        <f t="shared" si="124"/>
        <v>0.77100565736921134</v>
      </c>
      <c r="K2358" s="2">
        <v>4.0000000000000001E-3</v>
      </c>
      <c r="L2358" s="17">
        <v>4.0000000000000001E-3</v>
      </c>
      <c r="M2358" s="2" t="s">
        <v>2558</v>
      </c>
      <c r="N2358" s="2" t="s">
        <v>2558</v>
      </c>
    </row>
    <row r="2359" spans="1:15" x14ac:dyDescent="0.25">
      <c r="A2359" s="12" t="s">
        <v>2127</v>
      </c>
      <c r="C2359">
        <v>480</v>
      </c>
      <c r="D2359">
        <v>1</v>
      </c>
      <c r="E2359">
        <v>0</v>
      </c>
      <c r="J2359" t="b">
        <f t="shared" si="124"/>
        <v>0</v>
      </c>
    </row>
    <row r="2360" spans="1:15" x14ac:dyDescent="0.25">
      <c r="A2360" s="12" t="s">
        <v>2128</v>
      </c>
      <c r="C2360">
        <v>480</v>
      </c>
      <c r="D2360">
        <v>1</v>
      </c>
      <c r="E2360">
        <v>0</v>
      </c>
      <c r="J2360" t="b">
        <f t="shared" si="124"/>
        <v>0</v>
      </c>
    </row>
    <row r="2361" spans="1:15" x14ac:dyDescent="0.25">
      <c r="A2361" s="12" t="s">
        <v>2129</v>
      </c>
      <c r="C2361">
        <v>480</v>
      </c>
      <c r="D2361">
        <v>1</v>
      </c>
      <c r="E2361">
        <v>0</v>
      </c>
      <c r="J2361" t="b">
        <f t="shared" si="124"/>
        <v>0</v>
      </c>
    </row>
    <row r="2362" spans="1:15" x14ac:dyDescent="0.25">
      <c r="A2362" s="12" t="s">
        <v>2130</v>
      </c>
      <c r="C2362">
        <v>481</v>
      </c>
      <c r="D2362">
        <v>1</v>
      </c>
      <c r="G2362">
        <v>9.7799999999999994</v>
      </c>
      <c r="H2362">
        <v>2</v>
      </c>
      <c r="I2362">
        <v>261</v>
      </c>
      <c r="J2362">
        <f t="shared" si="124"/>
        <v>0.22203122235667824</v>
      </c>
      <c r="K2362" s="2">
        <v>1E-3</v>
      </c>
      <c r="L2362" s="17">
        <v>1E-3</v>
      </c>
      <c r="M2362" s="2" t="s">
        <v>2558</v>
      </c>
      <c r="N2362" s="2" t="s">
        <v>2558</v>
      </c>
      <c r="O2362" t="s">
        <v>2264</v>
      </c>
    </row>
    <row r="2363" spans="1:15" x14ac:dyDescent="0.25">
      <c r="A2363" s="12" t="s">
        <v>2131</v>
      </c>
      <c r="C2363">
        <v>481</v>
      </c>
      <c r="D2363">
        <v>1</v>
      </c>
      <c r="F2363">
        <v>0.31</v>
      </c>
      <c r="H2363">
        <v>175</v>
      </c>
      <c r="J2363">
        <f t="shared" si="124"/>
        <v>2.3427365724143494E-2</v>
      </c>
      <c r="K2363" s="2">
        <v>0.75700000000000001</v>
      </c>
      <c r="L2363" s="17">
        <v>0.75700000000000001</v>
      </c>
      <c r="M2363" s="2" t="s">
        <v>2558</v>
      </c>
      <c r="N2363" s="2" t="s">
        <v>2558</v>
      </c>
    </row>
    <row r="2364" spans="1:15" x14ac:dyDescent="0.25">
      <c r="A2364" s="12" t="s">
        <v>2132</v>
      </c>
      <c r="C2364">
        <v>481</v>
      </c>
      <c r="D2364">
        <v>1</v>
      </c>
      <c r="F2364">
        <v>4.4000000000000004</v>
      </c>
      <c r="H2364">
        <v>261</v>
      </c>
      <c r="J2364">
        <f t="shared" si="124"/>
        <v>0.2627814174067194</v>
      </c>
      <c r="K2364" s="2">
        <v>1</v>
      </c>
      <c r="L2364" s="17">
        <v>1</v>
      </c>
      <c r="M2364" s="2" t="s">
        <v>2558</v>
      </c>
      <c r="N2364" s="2" t="s">
        <v>2558</v>
      </c>
    </row>
    <row r="2365" spans="1:15" x14ac:dyDescent="0.25">
      <c r="A2365" s="12" t="s">
        <v>2133</v>
      </c>
      <c r="C2365">
        <v>481</v>
      </c>
      <c r="D2365">
        <v>1</v>
      </c>
      <c r="F2365">
        <v>2.92</v>
      </c>
      <c r="H2365">
        <v>177</v>
      </c>
      <c r="J2365">
        <f t="shared" si="124"/>
        <v>0.21437789029866303</v>
      </c>
      <c r="K2365" s="2">
        <v>4.0000000000000001E-3</v>
      </c>
      <c r="L2365" s="17">
        <v>4.0000000000000001E-3</v>
      </c>
      <c r="M2365" s="2" t="s">
        <v>2558</v>
      </c>
      <c r="N2365" s="2" t="s">
        <v>2558</v>
      </c>
    </row>
    <row r="2366" spans="1:15" x14ac:dyDescent="0.25">
      <c r="A2366" s="12" t="s">
        <v>2326</v>
      </c>
      <c r="C2366">
        <v>481</v>
      </c>
      <c r="D2366">
        <v>1</v>
      </c>
      <c r="F2366">
        <v>3.82</v>
      </c>
      <c r="H2366">
        <v>177</v>
      </c>
      <c r="J2366">
        <f t="shared" si="124"/>
        <v>0.27597784816130239</v>
      </c>
      <c r="K2366" s="2">
        <v>1E-3</v>
      </c>
      <c r="L2366" s="17">
        <v>1E-3</v>
      </c>
      <c r="M2366" s="2" t="s">
        <v>2558</v>
      </c>
      <c r="N2366" s="2" t="s">
        <v>2558</v>
      </c>
    </row>
  </sheetData>
  <sortState xmlns:xlrd2="http://schemas.microsoft.com/office/spreadsheetml/2017/richdata2" ref="A2:O2366">
    <sortCondition ref="C2:C2366"/>
  </sortState>
  <phoneticPr fontId="2"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A1EAD7-0FF1-435F-BB6D-214D46C12E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Tilburg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 van den Akker</dc:creator>
  <cp:lastModifiedBy>O.R. van den Akker</cp:lastModifiedBy>
  <dcterms:created xsi:type="dcterms:W3CDTF">2022-06-15T13:08:48Z</dcterms:created>
  <dcterms:modified xsi:type="dcterms:W3CDTF">2022-11-25T20:06:29Z</dcterms:modified>
</cp:coreProperties>
</file>