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vdnakker\Google Drive\PhD\E2\Preregistration\OSF\Preregs vs. Papers\NA Mystery\"/>
    </mc:Choice>
  </mc:AlternateContent>
  <xr:revisionPtr revIDLastSave="0" documentId="13_ncr:1_{65058BA2-CB25-4E5E-8282-1CFED69CF653}" xr6:coauthVersionLast="47" xr6:coauthVersionMax="47" xr10:uidLastSave="{00000000-0000-0000-0000-000000000000}"/>
  <bookViews>
    <workbookView xWindow="-120" yWindow="-120" windowWidth="29040" windowHeight="15840" xr2:uid="{97C97FC2-F1F0-4E9D-A732-F5D2B41B24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K159" i="1" l="1"/>
  <c r="K154" i="1"/>
  <c r="K90" i="1"/>
  <c r="K430" i="1"/>
  <c r="K429" i="1"/>
  <c r="K155" i="1"/>
  <c r="K156" i="1"/>
  <c r="K157" i="1"/>
  <c r="K158" i="1"/>
  <c r="K160" i="1"/>
  <c r="K161" i="1"/>
  <c r="K162" i="1"/>
  <c r="K36" i="1" l="1"/>
  <c r="K33" i="1"/>
  <c r="K34" i="1"/>
  <c r="K571" i="1"/>
  <c r="K436" i="1"/>
  <c r="K435" i="1"/>
  <c r="K434" i="1"/>
  <c r="K98" i="1"/>
  <c r="K55" i="1"/>
  <c r="K54"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4" i="1"/>
  <c r="K583" i="1"/>
  <c r="K582" i="1"/>
  <c r="K581" i="1"/>
  <c r="K580" i="1"/>
  <c r="K579" i="1"/>
  <c r="K578" i="1"/>
  <c r="K577" i="1"/>
  <c r="K576" i="1"/>
  <c r="K575" i="1"/>
  <c r="K574" i="1"/>
  <c r="K566" i="1"/>
  <c r="K565" i="1"/>
  <c r="K564" i="1"/>
  <c r="K563" i="1"/>
  <c r="K562" i="1"/>
  <c r="K561" i="1"/>
  <c r="K560" i="1"/>
  <c r="K559" i="1"/>
  <c r="K558" i="1"/>
  <c r="K557" i="1"/>
  <c r="K556" i="1"/>
  <c r="K555" i="1"/>
  <c r="K554" i="1"/>
  <c r="K553" i="1"/>
  <c r="K552" i="1"/>
  <c r="K551" i="1"/>
  <c r="K550" i="1"/>
  <c r="K549" i="1"/>
  <c r="K548" i="1"/>
  <c r="K547"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0" i="1"/>
  <c r="K449" i="1"/>
  <c r="K448" i="1"/>
  <c r="K447" i="1"/>
  <c r="K446" i="1"/>
  <c r="K445" i="1"/>
  <c r="K444" i="1"/>
  <c r="K441" i="1"/>
  <c r="K440" i="1"/>
  <c r="K439" i="1"/>
  <c r="K438" i="1"/>
  <c r="K437" i="1"/>
  <c r="K433" i="1"/>
  <c r="K432" i="1"/>
  <c r="K431" i="1"/>
  <c r="K428" i="1"/>
  <c r="K427" i="1"/>
  <c r="K426" i="1"/>
  <c r="K425" i="1"/>
  <c r="K424" i="1"/>
  <c r="K423" i="1"/>
  <c r="K422" i="1"/>
  <c r="K421" i="1"/>
  <c r="K420" i="1"/>
  <c r="K419" i="1"/>
  <c r="K418" i="1"/>
  <c r="K417" i="1"/>
  <c r="K416" i="1"/>
  <c r="K415" i="1"/>
  <c r="K414" i="1"/>
  <c r="K413" i="1"/>
  <c r="K412" i="1"/>
  <c r="K409" i="1"/>
  <c r="K408" i="1"/>
  <c r="K407" i="1"/>
  <c r="K406" i="1"/>
  <c r="K405" i="1"/>
  <c r="K404" i="1"/>
  <c r="K403" i="1"/>
  <c r="K402" i="1"/>
  <c r="K399" i="1"/>
  <c r="K398" i="1"/>
  <c r="K396" i="1"/>
  <c r="K395" i="1"/>
  <c r="K394" i="1"/>
  <c r="K392" i="1"/>
  <c r="K391" i="1"/>
  <c r="K390" i="1"/>
  <c r="K389" i="1"/>
  <c r="K388" i="1"/>
  <c r="K387" i="1"/>
  <c r="K386" i="1"/>
  <c r="K385" i="1"/>
  <c r="K384" i="1"/>
  <c r="K383" i="1"/>
  <c r="K382" i="1"/>
  <c r="K381" i="1"/>
  <c r="K380" i="1"/>
  <c r="K379" i="1"/>
  <c r="K378" i="1"/>
  <c r="K377" i="1"/>
  <c r="K376" i="1"/>
  <c r="K375" i="1"/>
  <c r="K374" i="1"/>
  <c r="K373" i="1"/>
  <c r="K372" i="1"/>
  <c r="K371" i="1"/>
  <c r="K370" i="1"/>
  <c r="K369" i="1"/>
  <c r="K367" i="1"/>
  <c r="K366" i="1"/>
  <c r="K365" i="1"/>
  <c r="K364" i="1"/>
  <c r="K363" i="1"/>
  <c r="K362" i="1"/>
  <c r="K361" i="1"/>
  <c r="K360" i="1"/>
  <c r="K359" i="1"/>
  <c r="K358" i="1"/>
  <c r="K357" i="1"/>
  <c r="K356" i="1"/>
  <c r="K355" i="1"/>
  <c r="K352" i="1"/>
  <c r="K351" i="1"/>
  <c r="K350" i="1"/>
  <c r="K349" i="1"/>
  <c r="K348" i="1"/>
  <c r="K347" i="1"/>
  <c r="K346" i="1"/>
  <c r="K345" i="1"/>
  <c r="K344" i="1"/>
  <c r="K343" i="1"/>
  <c r="K342" i="1"/>
  <c r="K341" i="1"/>
  <c r="K339" i="1"/>
  <c r="K338" i="1"/>
  <c r="K337" i="1"/>
  <c r="K336" i="1"/>
  <c r="K335" i="1"/>
  <c r="K334"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6" i="1"/>
  <c r="K274" i="1"/>
  <c r="K273" i="1"/>
  <c r="K272" i="1"/>
  <c r="K271" i="1"/>
  <c r="K270" i="1"/>
  <c r="K269" i="1"/>
  <c r="K268" i="1"/>
  <c r="K267" i="1"/>
  <c r="K266" i="1"/>
  <c r="K265" i="1"/>
  <c r="K264" i="1"/>
  <c r="K263" i="1"/>
  <c r="K262" i="1"/>
  <c r="K258" i="1"/>
  <c r="K257" i="1"/>
  <c r="K256" i="1"/>
  <c r="K255" i="1"/>
  <c r="K254" i="1"/>
  <c r="K253" i="1"/>
  <c r="K252" i="1"/>
  <c r="K251" i="1"/>
  <c r="K250" i="1"/>
  <c r="K249" i="1"/>
  <c r="K248" i="1"/>
  <c r="K247" i="1"/>
  <c r="K246" i="1"/>
  <c r="K245" i="1"/>
  <c r="K244" i="1"/>
  <c r="K243"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6" i="1"/>
  <c r="K105" i="1"/>
  <c r="K104" i="1"/>
  <c r="K103" i="1"/>
  <c r="K97" i="1"/>
  <c r="K96" i="1"/>
  <c r="K95" i="1"/>
  <c r="K94" i="1"/>
  <c r="K93" i="1"/>
  <c r="K92" i="1"/>
  <c r="K91" i="1"/>
  <c r="K89" i="1"/>
  <c r="K88" i="1"/>
  <c r="K87" i="1"/>
  <c r="K86" i="1"/>
  <c r="K85" i="1"/>
  <c r="K84" i="1"/>
  <c r="K83" i="1"/>
  <c r="K82" i="1"/>
  <c r="K81" i="1"/>
  <c r="K80" i="1"/>
  <c r="K79" i="1"/>
  <c r="K78" i="1"/>
  <c r="K77" i="1"/>
  <c r="K76" i="1"/>
  <c r="K75" i="1"/>
  <c r="K74" i="1"/>
  <c r="K73" i="1"/>
  <c r="K72" i="1"/>
  <c r="K71" i="1"/>
  <c r="K70" i="1"/>
  <c r="K69" i="1"/>
  <c r="K68" i="1"/>
  <c r="K67" i="1"/>
  <c r="K66" i="1"/>
  <c r="K65" i="1"/>
  <c r="K64" i="1"/>
  <c r="K63" i="1"/>
  <c r="K59" i="1"/>
  <c r="K58" i="1"/>
  <c r="K57" i="1"/>
  <c r="K56" i="1"/>
  <c r="K53" i="1"/>
  <c r="K52" i="1"/>
  <c r="K51" i="1"/>
  <c r="K50" i="1"/>
  <c r="K49" i="1"/>
  <c r="K48" i="1"/>
  <c r="K47" i="1"/>
  <c r="K46" i="1"/>
  <c r="K45" i="1"/>
  <c r="K44" i="1"/>
  <c r="K43" i="1"/>
  <c r="K42" i="1"/>
  <c r="K41" i="1"/>
  <c r="K40" i="1"/>
  <c r="K39" i="1"/>
  <c r="K38" i="1"/>
  <c r="K37" i="1"/>
  <c r="K35" i="1"/>
  <c r="K32" i="1"/>
  <c r="K31" i="1"/>
  <c r="K30" i="1"/>
  <c r="K29" i="1"/>
  <c r="K28" i="1"/>
  <c r="K2" i="1"/>
  <c r="K3" i="1"/>
  <c r="K4" i="1"/>
  <c r="K5" i="1"/>
  <c r="K6" i="1"/>
  <c r="K7" i="1"/>
  <c r="K8" i="1"/>
  <c r="K9" i="1"/>
  <c r="K10" i="1"/>
  <c r="K11" i="1"/>
  <c r="K12" i="1"/>
  <c r="K13" i="1"/>
  <c r="K14" i="1"/>
  <c r="K15" i="1"/>
  <c r="K16" i="1"/>
  <c r="K17" i="1"/>
  <c r="K18" i="1"/>
  <c r="K19" i="1"/>
  <c r="K20" i="1"/>
  <c r="K21" i="1"/>
  <c r="K22" i="1"/>
  <c r="K23" i="1"/>
  <c r="K24" i="1"/>
  <c r="K25" i="1"/>
  <c r="K26" i="1"/>
</calcChain>
</file>

<file path=xl/sharedStrings.xml><?xml version="1.0" encoding="utf-8"?>
<sst xmlns="http://schemas.openxmlformats.org/spreadsheetml/2006/main" count="930" uniqueCount="704">
  <si>
    <t>The children significantly preferred the target of positive nonverbal signals (75%) to the target of negative nonverbal signals</t>
  </si>
  <si>
    <t>Moreover, participants in the high-inequality condition reported a greater wish for a strong leader than participants in the low-inequality condition in ... and study 3b</t>
  </si>
  <si>
    <t>As shown in Table 1,3 there was modest evidence that, whereas the proportion of women hired by control departments remained stable over time, the proportion of women hired by intervention departments increased,</t>
  </si>
  <si>
    <t>The registered, confirmatory hypothesis testing indicated that the interaction effect of frame X font was significant, p = 0.044 one-sided, indicating that the hard-to-read font reduced the framing effect</t>
  </si>
  <si>
    <t>As predicted, planned contrasts indicated that expectancy for the correct US category
increased from the first to the second learning context in the acquisition procedure but decreased in the extinction procedure</t>
  </si>
  <si>
    <t>Only when participants
were asked a follow-up question did they adjust their
answers. This adjustment was upward if they were next
asked what women actually want, t(206) = 3.67, 95% CI
of the difference = [0.08, 0.27], dz = 0.26, p &lt; .001</t>
  </si>
  <si>
    <t>Table 4 shows that the findings of Experiment 1 were supported for person references and location references, which were both more prevalent in deceptive than in truthful statements</t>
  </si>
  <si>
    <t>Our primary
confirmatory hypothesis for UAP constructs received weak
support. Positive correlations between UAP constructs and
power (summary r = .04, SE = 0.04, 99% CI: ?0.056,
0.126) and power residual (summary r = .06, SE = 0.04,
99% CI: ?0.028, 0.153) were, on average, very weak and
approached zero. For secondary confirmatory analyses,
Machiavellianism and psychopathy manifested about weak
correlations on power and slightly stronger, but still weak,
relations of power residual, whereas grandiose narcissism
and sadism manifested correlations approaching zero.</t>
  </si>
  <si>
    <t>The mean amplitude difference of cascade minus no‐repetition tones was 0.14, 95% CI [−0.36, 0.64],
BF01 = 0.88. These results provide inconclusive evidence for or against differences in N1 between cascade and no‐repetition conditions.</t>
  </si>
  <si>
    <t>Replicating the results of Experiment 1, the company was rated as
more experiential in the CEO condition (M=4.83, SD=1.77) than in
the headquarters condition (M=4.25, SD=1.94), F(1,199)=4.81,
p=.029, d=0.31.</t>
  </si>
  <si>
    <t>in the False-
Belief condition, passers should select the belief-contradicting block more often than would be
predicted by chance (33%), and more often than failers, whose evidence selections should not
differ from chance.</t>
  </si>
  <si>
    <t>t(df) = 2.17 (80.80), p-Value = 0.031, 95% CI = [0.654; 19.356], Cohen's d = 0.47</t>
  </si>
  <si>
    <t>The correlation between the proportion of first-trial
perseverations on the cWCST and pro-environmental behaviour
on the PEBT (Hypothesis 1) was small and not significant,
r = -.09, p = .164, n = 258, 95% CI [-.21, .03].</t>
  </si>
  <si>
    <t>The average estimated contribution for residents from
all states was 18.25%, 95% CI = [17.53%, 18.97%]. Summing
the average contribution from all states (which
logically should equal 100%) yielded an astounding
907%, indicating a strong bias to overclaim responsibility.</t>
  </si>
  <si>
    <t>Inferred Exchanges were significantly more likely in the Exchange Exposure condition than the Mixed condition (E2: b=0.85; p=0.001)</t>
  </si>
  <si>
    <t>Once again, signal detection analyses showed that participants' discrimination of the faces' dominance and trustworthiness corresponded to the prior raters' consensus judgments for both the upright (MA’ =0.81, SD =0.10), t(295) = 50.96, p &amp;lt; 0.001, Cohen's d = 2.97, and inverted faces (MA’= 0.76, SD= 0.12), t(295) = 37.54, p &amp;lt; 0.001, Cohen's d = 2.19;</t>
  </si>
  <si>
    <t>Participants selected the positive brand more often than the negative brand in all conditions of Experiment 1 (see Table 1), M(SD) = 0.31 (0.54), 95%CI = [0.22,0.39], dz = 0.56]</t>
  </si>
  <si>
    <t>and more original, t(135) = 2.65, p =0.009, Cohen's d = 0.45.</t>
  </si>
  <si>
    <t>Match M = 4.81 (1.11) Mismatch M = 3.47 (1.57) control M = 4.70 (0.89) explicit M = – df =1,81 F-test = 10.21 p&amp;lt;0.001 d = 0.99</t>
  </si>
  <si>
    <t>72.46% of pursuers found giving advice more motivating, which is statistically
greater than the 27.54% who found receiving advice more motivating, χ2(1, N = 345) = 69.64, p &amp;lt; .001, d = 0.91, 95% CI = [0.71, 1.14]</t>
  </si>
  <si>
    <t>Unexpectedly, comparative distinctiveness from disliked others
was not significantly associated with general distinctiveness. [Results in Table 3]</t>
  </si>
  <si>
    <t>Replicating the findings from
the earlier two studies, a paired-sample t-test revealed that participants
reported more support for social action for male-dominated than female-
dominated careers, t(328)=10.82, p &amp;lt; .001, d=0.60, CI.95
(0.44, 0.75)</t>
  </si>
  <si>
    <t>However, the interaction between
mindset and time constraint manipulation was not significant
in predicting deception, F(1, 161) = .02, p = .902.</t>
  </si>
  <si>
    <t>While ex-offenders who purchased an item for
a needy child reported higher positive affect (M=3.23, SD=0.96,
0.95CI [3.15–3.31]) than ex-offenders who purchased an item for
themselves (M=3.17, SD=0.93, 0.95CI [3.10–3.24]), this difference
was not statistically significant, t(1289)=1.091, p=.138 one-tailed,
95CI [−0.046, 0.161], d=0.06.</t>
  </si>
  <si>
    <t>Table 1 reports the primary statistics for Study 2. A
planned contrast comparing the discount rate of highpower
participants with the average discount rate of
low-power and control participants (as in Joshi &amp; Fast,
2013, Study 3) showed no significant effect of condition
on temporal discounting. Independent-samples t tests
comparing the three conditions found that control participants
discounted less than low-power participants,
but all other comparisons were nonsignificant. According
to an equivalence test (Lakens, 2017) focusing on
the difference between the low- and high-power conditions,
these data provide evidence for the null hypothesis
of no effect (relative to the hypothesis that d is
larger than 0.43),4 t(249.06) = −2.96, p = .002.</t>
  </si>
  <si>
    <t>Consistent with Hypothesis 1, choice frame predicted TOG choice in
the expected direction, Odds Ratio (OR)=3.55, 95% CI [2.34, 5.40],
Z=5.94 p &amp;lt; 0.001. A majority of participants chose the efficient option
under the give choice frame (69.21%), whereas only a minority of
participants chose this option under the equalize choice frame
(39.90%).</t>
  </si>
  <si>
    <t>Pairwise comparisons revealed that participants who
received a small taste of doing by simply holding the
bowling pins themselves then reported that they had
learned significantly less than what they had initially
thought after merely watching (Time1: M = 3.06, SD =
1.23; Time 2: M = 2.23, SD = 1.01), F(1, 142) = 61.98,
p &amp;lt; .001, ηp
2 = .30 (d = 0.89), 95% CI for the mean difference
= [0.63, 1.05].</t>
  </si>
  <si>
    <t>Post hoc analyses adjusted with
Bonferroni correction showed that VSDT outperformed the EMDR
condition (p=.001, d=0.93)</t>
  </si>
  <si>
    <t>The effect of Induction Valence, F(1, 38)
= .15, p = .701, η2 = .004, BF10 = .145, and the hypothesised
interaction of Target Instruction and Induction
Valence, F(2, 76) = .48, p = .619, η2 = .013, BFF:R = .089,
were not significant, however.</t>
  </si>
  <si>
    <t>Planned contrasts
indicated that those in the punishment condition took more than
participants in both the deterrence and fairness conditions, ts
(219)=3.38 &amp; 5.54, respectively, ds=0.46 &amp; 0.75.</t>
  </si>
  <si>
    <t>Figure 1 shows that this
hypothesis was supported in all five studies and on both
measures of adjustment b = 0.013, SE = 0.004, p = .004</t>
  </si>
  <si>
    <t>Figure 1 shows that this
hypothesis was supported in all five studies and on both
measures of adjustment. b = 0.022, SE = 0.004, p &amp;lt; .001</t>
  </si>
  <si>
    <t>Participants in the CRP condition reported more behavioral disapproval
(M=3.41, SD=1.63) than participants in the control condition
(M=2.07, SD=1.19), F(1, 197)=48.98, p &amp;lt; 0.001,
ηр
2=0.20, 95% CI=[0.11, 0.29].</t>
  </si>
  <si>
    <t>Overall, memory performance was lower in all dual-task
conditions compared with the control condition (BFcued =
411 and BFfree = 500 for the cued- and free-recall models
with dual-task condition as a main factor vs. the null model).</t>
  </si>
  <si>
    <t>The prediction of differential effects of decay and interference was confirmed by the
significant three-way interaction between condition, test, and response, as elaborated earlier.
[From Table, with some editing: F(2, 257) = 5.49, MSE = 0.004, p = .005, partial eta-squared = .041. Note also that this results refer to data aggregated across 2 studies. They do report the results of this specific study in the Supplementary materials].</t>
  </si>
  <si>
    <t>there was an indirect causal path from goal conflict (vs. complementarity) condition to palliative care willingness, mediated by perceived goal conflict</t>
  </si>
  <si>
    <t>On average, estimates (relative to the respective true price) were $42,461 higher for
the subset of houses that were subsequently chosen than for houses in general, SE = $6,921, t(85) = 6.14, p &amp;lt; .001, d = 0.65 (see Fig. 4). These results suggested that before choosing—and before even being aware that they would later be making a choice—subjects already overestimated the sale price of the house that they later chose.</t>
  </si>
  <si>
    <t>The results of our confirmatory test were consistent with our preregistered hypothesis, although they did not meet the traditional .05 alpha threshold. Children whose group waited for two marshmallows had nearly twice the odds of resisting the marshmallow (wait time Mdn = 15.00 min) of children whose group did not wait (Mdn = 9.48 min), χ2(1) = 3.39, p = .07, hazard ratio =
1.95, 95% confidence interval (CI) = [0.94, 4.01].</t>
  </si>
  <si>
    <t>There was a main effect of grouping, χ2(1, N = 996) = 14.62, lnOR = 0.29, 95% CI = [0.14, 0.44], p = .0001, which indicates that, compared with participants in the grouped condition, participants in the unified condition were more likely to be perfectly efficient in their allocation</t>
  </si>
  <si>
    <t>Study 1 gender, B=0.34, SE=0.03, t(32.08)=12.76, p &amp;lt; .001, partial R2=0.17 (0.14, 0.20)</t>
  </si>
  <si>
    <t>These tests revealed no significant difference between conditions when the dependent measure was
either the mean SCL, t(35) = 1.37, p = .181, d = 0.23, 95% CI = [–0.11, 0.56], BF01 = 2.38;</t>
  </si>
  <si>
    <t>An analysis of variance
(ANOVA) on IAT scores revealed a main effect of
1366 Van Dessel, De Houwer
counterattitudinal information, F(1, 56) = 9.20, p = .004,
η2 = .16, BF10 = 3.29, and the predicted interaction with
hypnosis, F(1, 56) = 5.39, p = .024, η2 = .09, BF10 = 2.60.</t>
  </si>
  <si>
    <t xml:space="preserve">There was a significant positive  slope  of  target  caring  on  ratings  of  perceived integrity, β = 0.20, t(994) = 6.32, p &amp;lt; .001, 95% CI = [0.14, 0.26]; participants rated the target as having more integrity when the target cared more about capital punishment.  </t>
  </si>
  <si>
    <t xml:space="preserve">(Fig. 1, left), we did not obtain the same effect in Studies 3 and 4. In fact, we obtained the effect in the original direction (perceived safety was greater  for  easy-to-pronounce  items  than  for  hard-to- pronounce  items;  Study  3)  even  when  using  the  same scenario  in  which  we  observed  the  reversed  effect  in Study 2. </t>
  </si>
  <si>
    <t>significant Emotional Connection × Response Question interaction in the predicted direction, F(1, 399) = 8.80, p = .003, η 2  = .02. When participants read that Mary felt an emotional connection with distant charities, they responded that she should donate to Hunger Care in Africa (M = 5.26, SD = 2.05) and also evaluated it as being more effective (M = 5.59, SD = 1.87), t(197) = −1.19, p = .24, d = −0.17, 95% CI = [−0.44, 0.11]. However, when Mary felt connected to local communities, they indicated that she should donate to Jump Start Your Community (M = 3.00, SD = 1.99), despite indicating  that  Hunger  Care  in  Africa  was  more  effective  (M = 4.55, SD = 2.32), t(202) = −5.12, p &amp;lt; .001, d = −0.72, 95% CI = [−1.00, −0.43]. Figure 1 displays these results.</t>
  </si>
  <si>
    <t>A repeated measures analysis of covariance yielded the predicted interaction between theories of interest and article type, F(1, 123) = 5.32, p = .023, ηp2  = .04. The more  participants  endorsed  a  fixed  theory,  the  less interest they expressed in the article that mismatched their interest identity, β = 0.22, t(123) = 2.50, p = .014. As expected, however, theories of interest did not predict interest in the identity-matching article, β = −0.04, t(123) = −0.46, p = .647.</t>
  </si>
  <si>
    <t>mixed linear models predicting children’s evaluation ratings as a function of target (free rider vs. contributor), impact (dummy coded; whether the group obtained the biggest outcome vs. the smaller outcome), child age, and the interactions among them, with a random intercept for participant. We found effects for target (β = 1.74, 95% CI = [1.57, 1.92]), indicating that contributors were rated more positively than free riders, and age group (β = 0.53, 95% CI = [0.11, 0.95]), indicating that older children provided somewhat more positive ratings than younger children. These effects were qualified by an interaction between target and age group (β = −0.52, 95% CI = [−0.86, −0.17]), indicating that the difference between ratings of contributors and free riders was somewhat greater for younger children (Fig. 3). We did not find an effect of impact (β = 0.12, 95% CI = [−0.06, 0.29]) or interactions with this term. Children’s ratings for the free riders were similar in the no-group-impact condition (M = 2.06) and in the intentional-free-riding condition (M = 2.13). These results indicate that children evaluate intentional free riding as bad in general even when it does not inflict an appreciable loss on the group.</t>
  </si>
  <si>
    <t>Participants reported more positive attitudes immediately following the inauguration, when
the Trump presidency was current, compared with immediately before, b = 0.24, 95% CI = [0.15, 0.34], t(614) = 5.22, p &amp;lt; .001, and compared with early December, b = 0.17, 95% CI = [0.08, 0.26], t(614) = 3.70, p &amp;lt; .001, during which times it was merely anticipated (see Fig. 1, solid line).</t>
  </si>
  <si>
    <t>As hypothesized, results showed that taste-focused labels also increased expectations of
a positive taste experience compared with basic labels (b = 0.46, 95% CI = [0.38, 0.53], p &amp;lt; .001, d = 0.35, 95% CI = [0.29, 0.41]), and this was again true to a greater extent compared with health-focused labels (b = 0.64, 95% CI = [0.56, 0.71], p &amp;lt; .001, d = 0.50, 95% CI = [0.44, 0.56]).</t>
  </si>
  <si>
    <t>The online context reduced perceptions of pain (b =-.57, p = .005)</t>
  </si>
  <si>
    <t xml:space="preserve">To test whether there was a significant difference between the impact of the three training conditions on attentional bias, we performed a repeated measures ANOVA with time (pre and post
training) as a within subjects factor and training condition as a between subjects factor. The analysis yielded no main effect of time, F(1,112) = 0.160, p = 0.690, !2 = 0.001, nor a main effect
of training condition, F(2,112) = 0.523, p = 0.594, !2 = 0.009, nor an interaction between time and condition F(2,112) = 1.151, p = 0.860, !2 = 0.003. Therefore, we failed to reject the null hypothesis that there was no impact of training on attentional bias. </t>
  </si>
  <si>
    <t>As expected, general-need satisfaction was significantly negatively associated with the criterion, β(523) = −0.155, p = .001,</t>
  </si>
  <si>
    <t>SPMS was trivially related to transfer amount, model summary: F(1, 367) = .14, p = .706, R = .02 (predictor summary: b¼= -.34, SE = 0.89, t = -.38].</t>
  </si>
  <si>
    <t>in the present study (n = 54), the overall DLS did not significantly differ from zero (M = .16, SD = .65, 95% CI = [−.02, .35]), t(50) = 1.77, p = .083, d = 0.25, BF10 = 0.649.</t>
  </si>
  <si>
    <t xml:space="preserve">Forecasters accurately predicted the direction of both the evaluative differences (predicted effect size of 0.45 that conservatives would be explained more negatively) [... ] with both predicted effect sizes significantly different from zero, t(175)=18.512, p &amp;lt; .001
</t>
  </si>
  <si>
    <t>In contrast to the findings by Levinson et al., analyses of the present data revealed that squared operationspan scores were negatively associated with mindwandering probes during the awareness section of the breathing task, r(251) = −.16, p = .009, 95% CI = [−.28, −.04].</t>
  </si>
  <si>
    <t>Hypothesis 1: Participants’ mistakes reflected the predicted self-serving pattern. A 2 (payment condition) × 2 (temptation) generalized linear mixed model predicting the likelihood of reporting the value next to the target revealed a significant interaction, F(1, 1980) = 10.77, p = .001, b = −1.07, 95% confidence interval (CI) = [−1.712, -0.431].</t>
  </si>
  <si>
    <t xml:space="preserve">The results revealed a main effect of policy frame, F(2, 371) = 4.92, p = .008, ηp2 = .03, replicat-ing the results of the pilot study. Participants were more supportive of policies framed in moral terms (M = 5.82, SD = 0.74) than of policies framed in pragmatic terms (M = 5.54, SD = 0.72), t(246) = 3.08, p = .002, d = 0.39, 95% confidence interval (CI) = [0.14, 0.64]. </t>
  </si>
  <si>
    <t xml:space="preserve"> There were no other main effects or interactions,
all ps &amp;gt;.27. </t>
  </si>
  <si>
    <t>Memory performance was remarkably high in both the unimodal haptic test and the cross-modal visual test. In the haptic test, participants correctly reported the previously explored exemplar on 79.2% of the trials (SD = 6.4, 95% CI = [77.2, 81.2]). In the visual test, participants correctly reported 
the previously explored exemplar on 73.3% of the trials (SD = 7.3, 95% CI = [71.1, 75.6])</t>
  </si>
  <si>
    <t>As in Specker et al. (2018) we then conducted a one-sided one sample t-test. This showed a significant difference from 0 in the expected (positive) direction, t(14) = 6.58, p &amp;lt; .001, Cohen’s dz = 1.73,2 CI [.91,2.51]</t>
  </si>
  <si>
    <t>proficiency as categorical variable: F(2, 470) = 4.93, p = .008, partial eta squared = .021.</t>
  </si>
  <si>
    <t>liberals and conservatives were not judged as differentl malleable (liberals: M=3.59, SD=0.93; conservatives: M=3.57, SD=0.94), F &amp;lt; 1, p=.649.</t>
  </si>
  <si>
    <t>None of the likelihood ratio tests that were planned in our preregistration reached significance (all p 0.05 see Tables 4 &amp; 5 for more details). Thus, we found no significant group differences in epistemic change according to the preregistered criterion.</t>
  </si>
  <si>
    <t>None of the likelihood ratio tests that were planned in our
preregistration reached significance (all p
0.05 see
,
Tables 4
&amp;gt;
for more details).
5</t>
  </si>
  <si>
    <t xml:space="preserve">Congruent with our hypotheses, one-tailed t-tests indicated that participants reported higher donation motivation in the care (M = 4.16, SD = 1.5) condition compared to the control
condition (M = 3.55, SD = 1.40), Cohen’s d6 = 0.42, 95%CI[0.20, 0.65], t(308) = 3.75, 95%CI = [0.29, 0.94], p &amp;lt; 0.001
</t>
  </si>
  <si>
    <t>The direct association of RSF and intentions to use condoms
was not significant in any of the models, both
p
&amp;gt; .052.</t>
  </si>
  <si>
    <t>As in Study 2a, participants in the failure condition (M = 66%, SD = 36%) learned less than participants in the success condition (M = 88%, SD = 25%), t(323) = 6.17, p &amp;lt; .001, d = 0.71, 95% CI = [0.49, 0.94].</t>
  </si>
  <si>
    <t>Table 4: vocab b = 0.36 SE = 0.13 z = 2.69 p = 0.007</t>
  </si>
  <si>
    <t>Most critically, however, we again observed a significant quadratic function for quadrant, F(1, 54) =
6.556, MSE = 0.031, p = 0.13 [one-tailed p = 0.007, partial eta squared = 0.108]</t>
  </si>
  <si>
    <t>a significant effect of condition, F(1, 214)=8.59, p = .004, partial eta squared = 0.04</t>
  </si>
  <si>
    <t>A multiple regression analysis predicting overestimation revealed significant effects of
country, condition, age, and gender. [b=4.806 se=0.111 beta=0.716 t=43.331]</t>
  </si>
  <si>
    <t>An ANOVA revealed a main effect of target, F(3, 541) = 48.44, p &amp;lt; .001,
partial eta squared = .21 (see Fig. 5).</t>
  </si>
  <si>
    <t>and the critical interaction, F(1,420.73) = 5.50, p = 0.019</t>
  </si>
  <si>
    <t>the ASC group made more consistent choices than did the control group, t(203.9) = 5.15, p &amp;lt; .001, d = 0.60, 95% confidence interval(CI) = [0.34, 0.85],</t>
  </si>
  <si>
    <t>Additionally,
contrary to our hypotheses, results showed that
scores on the Planfulness Scale did not moderate the
slope of recreation-center activity across the 10 weeks
of the winter term (s), b = 0.0, β = 0.0, SE = 0.03, p = .93.</t>
  </si>
  <si>
    <t>As a pre-registered test, we found that more participants in the
prior-control condition (50.9%) left their phone with the experimenter
than in the no-control condition (31.3%), .2=8.93, p=.003,
.=0.20.</t>
  </si>
  <si>
    <t>The expected stimulus type × participant cooperation interaction was statistically non-significant, F(1,
46) &amp;lt; 0.01, p = .973, partial eta squared &amp;lt; 0.01.</t>
  </si>
  <si>
    <t xml:space="preserve">chi2 = 18.54, p&amp;lt;.001
</t>
  </si>
  <si>
    <t xml:space="preserve">Comparison of the magnitude of socially desirable responses in the quick and slow conditions
confirmed the hypothesized effect. Asking people to answer quickly causes them to give more socially desirable responses (M = 5.069, SD
= 2.55) than asking them to answer slowly (M = 4.722, SD = 2.358), F(1, 1496) = 7.559, p = .006, d =
0.142, 95% confidence interval (CI)[0.243,0.04] (see Fig. 1).
</t>
  </si>
  <si>
    <t>Overall, I observed a correlation of 0.85 between bin number (1, 2,. . . 10) and the average CRP for Experiment 1A (foods), a correlation of 0.69 for Experiment 1B (vacations), and a correlation of 0.73 for Experiment 1C (gifts).</t>
  </si>
  <si>
    <t>Consistent with the hypothesis that sexual attitudes would differ based on relationship orientation, with monogamists reporting the least permissive attitudes and swingers reporting the most (Hypothesis 1), there was a significant main effect of the
participants’ relationship orientation on reported permissiveness, F(3, 626) = 41.50, p &amp;lt; .001, ηp2 = .17. Based on Cohen’s (1988) standards for interpreting ηp2, this effect would be considered large. Permissiveness was lowest among monogamous individuals and highest among swingers, with open and polyamorous individuals in the middle. Monogamists’ permissiveness ratings were significantly different from those provided by participants in polyamorous, open, and swinging relationships (all p &amp;lt; .001). There was also a significant difference between individuals who identified as open and swingers on permissiveness ratings. The differences in ratings between individuals in other CNM orientations were not significantly different from one another (see Tables 3- and 4).</t>
  </si>
  <si>
    <t>As we predicted, pairs sharing food from the same bowl went into fewer days of strike (M = 8.72, 95% CI = [6.75, 10.69]) than pairs eating from separate bowls (M = 13.20, 95% CI = [11.24, 15.16]), t(98) = 3.24, p = .002, d = 0.65, 95% CI = [0.24, 1.05], BF10 = 19.50 (see Fig. 1).</t>
  </si>
  <si>
    <t>However, none of the other effects were significant. Thus, there was no evidence for the hypothesis that the effect
of Honesty-Humility on prosocial behaviour depends on demographic
characteristics.</t>
  </si>
  <si>
    <t>Thus, there was no evidence for the hypothesis that the effect
of Honesty-Humility on prosocial behaviour depends on de
mographic
characteristics.</t>
  </si>
  <si>
    <t>We found support for the mediating role of distraction
across all outcomes (see Table 6). To the extent people felt more distracted
when they used their phones, they reported feeling less enjoyment,
worse affect, less socially connected, more bored, and slower
time perception. [indirect effect = -0.22]</t>
  </si>
  <si>
    <t>We found support for the mediating role of distraction across all outcomes (see Table 6).</t>
  </si>
  <si>
    <t>Neither SIAS (β = −0.03, p = .69) nor [...] significantly predicted the number of
catches.</t>
  </si>
  <si>
    <t>As before, participants reported
greater social distance to conversational partners in the cold
conversation condition (M ¼ 3.69, SD ¼ 0.60) compared to the warm conversation condition (M ¼ 2.57, SD ¼ 0.55), t(31.0) ¼
5.62, 95% CI [1.08, 2.73], d ¼ 1.95, p &amp;lt; .001. Thus, social distance increased when the conversation was cold, supporting
Hypothesis 1.</t>
  </si>
  <si>
    <t>In our pre-registered replication study in a French sample, we again found an interaction between
temperature condition and the Relationship Closeness Regulation scale in predicting the accessibility of close others (B=0.24, t(168)=1.80, p=.04), that lower the RCR (=more past positive relationship experiences) related to greater closeness to the people that participants were currently thinking of (B=−0.44, t(168)=−2.14, p=.02), and colder (versus warmer) temperatures let participants think more of people who were close to them (B=−0.71, t(168)=−1.78, p=.04)</t>
  </si>
  <si>
    <t>Other than in the previous studies, the zero-order correlation of agency and advice taking was not significant [Table 4: r = -.02 (-.05/.02), p &amp;gt; .05, two-tailed]
Splitting this analysis by judgment task showed that the correlation of agency and advice taking was absent in both tasks. [see Table 4]</t>
  </si>
  <si>
    <t>Crucially, there was a significant interaction between domain and dosage, b = 5.220, SE = 2.015, p = .010, as dosage was once again a more potent factor for harmbased transgressions.</t>
  </si>
  <si>
    <t>The results for Experiment 3 are presented in Figure 1. Overall, the responses were faster when participants were standing than when they were sitting, F(1, 49) = 7.33, p &amp;lt; .01, ηp2 = .130. The Stroop effects in both the sitting condition, M = 118.9 ms, t(49) = 16.52, p &amp;lt; .01, d = 2.376, and the standing condition, M = 95.9 ms, t(49) = 14.327, p &amp;lt; .01, d = 2.034, were highly reliable, but the most significant finding again was the shrinkage of the effect when participants were standing, F(1, 49) = 8.964, p = .004, ηp2 = .155.</t>
  </si>
  <si>
    <t>An ANCOVA on anticipated gender stigma revealed a significant main effect of condition, F(1, 172) = 21.75, p &amp;lt; .001, 95% CI for the mean difference = [0.79, 1.34], ηp 2 = .11; participants anticipated greater gender stigmatization from the racist evaluator (M = 3.36, SE = 0.20) than the neutral evaluator (M = 2.02, SE = 0.19).</t>
  </si>
  <si>
    <t>We replicated the suspicious-coincidence effect in two exact replications of Xu and Tenenbaum’s
method = (Experiment 1: d 1.27, 95% confidence interval, or = CI [0.84, 1.71];</t>
  </si>
  <si>
    <t>Similar to Experiment 1, confidence (β = −0.10), t(107.0) = −4.47, p &amp;lt; .001; [ …] affected see-again choices, […]. This finding demonstrates that confidence predicted see-again choices over and above the other experimental variables.</t>
  </si>
  <si>
    <t>Correlations among participant subjective well-being and face ratings are shown in Table 1. As expected, PA related to rating neutral faces more positively, but not more negatively (...)  Correlations among participant subjective well-being and face ratings are shown in Table 1. As expected, PA related to rating neutral faces more positively, but not more negatively</t>
  </si>
  <si>
    <t>In line with H1, there was a significant main effect of competence, F(1,488) = 347.52, p &amp;lt; .001, eta2 = .22, such that participants role modeled competent supervisors to a greater extent than incompetent supervisors.</t>
  </si>
  <si>
    <t xml:space="preserve">Most importantly for the current research and as predicted, the more people held a growth mind-set about the kind of person someone is, the more they supported resettling refugees in their country, b =0.26, 95% CI [0.10,0.42], SE = 0.082, b =  0.14, t(400) = 3.17, p = .0016
</t>
  </si>
  <si>
    <t>F(2,95) = 24.43, p &amp;lt; .001 [Main effect of ratio]</t>
  </si>
  <si>
    <t>We only found a main effect of Prime Type, F(1, 79) = 5.09, p=.027, etasquared-g = 0.007, BF10 = 6.41. Fig. 2A shows that alternation primes (M=49.20, SE=1.56) lead to more negative judgements
on neutral targets relative to repetition primes (M=46.63, SE=1.62).</t>
  </si>
  <si>
    <t>Participants in the objective condition displayed greater BFF (85%) than those in the subjective condition (70%), x2(1, N = 277) = 8.87, p = .003.</t>
  </si>
  <si>
    <t>Citations, however, did not affect the truth ratings, F(1,78) = 0.50, p = .480, n2p =.01, indicating that subjects provided similar ratings for items presented with and without a citation</t>
  </si>
  <si>
    <t>We found support for the hypothesized two-stage mediation process: Graphic warning labels increased negative affect, leading to greater health consideration, in turn increasing intention to purchase water instead of a sugary drink (see Fig. 2), β = 0.55, SE = 0.27, 95% CI = [0.07, 1.11].</t>
  </si>
  <si>
    <t xml:space="preserve">Results for hypothesis tests are presented in Table 1 [SEE TABLE 1]
Though results trended towards primacy effects for alcohol problems, hypotheses were not supported 
</t>
  </si>
  <si>
    <t>F(1, 396) = 178.33, p &amp;lt; .001, ηp2 = .31.</t>
  </si>
  <si>
    <t>Participants in the warmth condition (M = 3.88, SD = 1.96, 95% CI = [3.50, 4.26]) were more likely to engage in the morally questionable behavior than those in the neutral condition (M = 3.22, SD = 1.93, 95% CI = [2.83, 3.61]), t(198) = 2.40, p = .017</t>
  </si>
  <si>
    <t>A negative score indicated that participants had a negative implicit attitude toward vertical pupils. A onesample t-test showed that this difference was significantly different from 0 (t(183) = −7.41, p &amp;lt; .001, 95% CI [–.30, –.17], d = –.55).</t>
  </si>
  <si>
    <t>The 2 (Veracity: truthful vs. deceptive, between‐subjects) by 2 (Question focus: time schedule vs. route description) mixed analysis of variance (ANOVA) on the proportion of human‐coded “specific times” showed no significant main effect of Veracity, F (1, 77) = 0.41, p = 0.525, f = 0.07, and no significant Veracity*Question focus interaction, F (1, 77) = 0.40, p = 0.528, f = 0.07. A significant main effect of Question focus, F (1, 77) = 23.61, p &amp;lt; 0.001, f = 0.55, indicated that answers to the time schedule question (M = 1.01, SD = 1.74) contained more specific times than those on the route description question (M = 0.04, SD = 0.24, see Table 2).</t>
  </si>
  <si>
    <t>(r=.361, N=201, p &amp;lt; .001)</t>
  </si>
  <si>
    <t>the model fitted exceedingly well, G2(1, N = 155) = 0.01, p = .928. This fact confirms that the association between emotional state and cheating was driven by the fewer-than-expected number of cheaters in the gratitude condition. Absent that cell, no support for an association between emotional state and cheating exists. Indeed, a Fisher’s exact test comparing proportions of cheaters in the neutral and happiness conditions found no reliable differences (p = 1.00).</t>
  </si>
  <si>
    <t>Table 1 summarizes the ratings of human-uniqueness and human-nature traits in the four communicationmedium conditions, separately for evaluators who agreed and who disagreed with their assigned communicators. As in Experiments 1 and 2, among the evaluators who disagreed with communicators, communication medium affected evaluations of both communicators’ human uniqueness, F(3, 561) = 7.16, p &amp;lt; .001, η2 = .04,</t>
  </si>
  <si>
    <t>the two conditions did not differ significantly from one another, t(77) = 1.28, p &amp;gt; .40, d = 0.30, Bonferroni
corrected.</t>
  </si>
  <si>
    <t>Most participants associated higher regret with Mr. Jones (315, 92%) rather than Mr. Smith (27, 8%; χ2 (1, N = 342) = 242.53, p &amp;lt; .001)</t>
  </si>
  <si>
    <t>The interaction between WHPP Focus and Candidate Weight-Status did not reach significance, F(1, 167) = 1.99, p = 0.16, Cohen’s d = 0.012</t>
  </si>
  <si>
    <t>In Experiment 3b, participants were willing to invest a significantly larger portion of the last $1 million in
In Experiment 3b, participants were willing to invest a significantly larger portion of the last $1 million in
the fuel-efficient plane when they had already invested $99 million in that same project (sunk cost for self) than when they had invested the $99 million in other projects (no sunk cost for self), Ms = 64.99% vs. 43.77%, t(291) = 4.48, p &amp;lt; .0001, d = 0.52, 95% CI = [.29, .76],
BF = 1,445</t>
  </si>
  <si>
    <t>the paired sample t-test
showed that the lie-truth difference in RTs for the
non-native language (M = 155.59, SD = 195.30) was
smaller than the lie-truth difference in RTs for the
native language (M = 307.94, SD = 268.98), t(62) =
4.26, p &amp;lt; .001, d = .54 [95% CI: .27, .80].</t>
  </si>
  <si>
    <t>To test our hypothesis, we first examined the differences between the neutral and possibility-of-cheating conditions. A t test revealed a significant difference between these two conditions in self-dehumanization scores, t(427) = −2.11, p = .036, d = 0.22, augmented p = [.054, .065</t>
  </si>
  <si>
    <t>We expected the affirmative
question to lead to more repeated choice, and indeed people repeated
their choices more often under the affirmative question than under the
no-question baseline, OR=1.27, 95% CI [1.09, 1.48], p &amp;lt; .001, and
53% of individual participants showed this effect</t>
  </si>
  <si>
    <t>Contrary to predictions, there was no
main effect of offender and no interaction, ps ≥ .917.</t>
  </si>
  <si>
    <t>The results lend support to Hypothesis 1, showing that even completely exogenously determined last fixations were predictive of subsequent choices (Table 2). [I've checked Table 2 but unsure which result they mean, i think the following: p = 0.07*** [0.06-0.09]</t>
  </si>
  <si>
    <t>The results lend support to Hypothesis 1, showing that even completely exogenously determined last fixations were predictive of subsequent choices (Table 2)</t>
  </si>
  <si>
    <t>Concern for Others strongly predicted a greater likelihood of blowing the whistle (B=0.240, p=.002) (...) Consistent with Study 1, Loyalty and Concern for Others have standardized coefficients with the largest
absolute value and explain the greatest amount of unique variance in the regression model.</t>
  </si>
  <si>
    <t>The number of positive adjectives selected was predicted by valence (Experiment 3: B = .85, SE = .39, t = 2.21, p = .03, d =.20)</t>
  </si>
  <si>
    <t xml:space="preserve">The difference in waiting times associated with the two travel options exerted a strong effect on the proportion of environmentally friendly choices, F (5, 595) = 203.42, p &amp;lt; .001, np2 = .63 (...) Inspection of Fig. 3 confirms Hypothesis 1 in revealing a monotonic decrease of the proportion of environmentally friendly choices from small to large WTDs. </t>
  </si>
  <si>
    <t>Similar to previous studies using the BeanFest paradigm (Fazio et al., 2004, Experiment 2; Pietri et al., 2012), the mean response was significantly negative (...) this was true (...) in the 3-alternatives condition,
M=-0.092, SD=0.267, t(67)=-2.850, p=.006, dz=0.346.</t>
  </si>
  <si>
    <t xml:space="preserve">First, participants (both givers and receivers) predicted that the personalized mugs would induce greater affective reactions than the ergonomic mugs (Ms = 5.67 vs. 4.53, SDs = 1.39 vs. 1.50), t(374) = 10.7, p &amp;lt; .001, and predicted that the mugs would yield similar levels of receiver satisfaction (Ms = 5.26 vs. 5.11, SDs = 1.65 vs. 1.54), t(374) = 1.30, p = .195 </t>
  </si>
  <si>
    <t>Consistent with predictions, participants had higher AUC values when classifying inverted (M=0.68, SD=1.08)
versus upright (M=0.56, SD=0.91) human faces, t(86)=3.53, p &amp;lt; .0001, d=0.38, 95% CI [0.07, 0.68].</t>
  </si>
  <si>
    <t xml:space="preserve">Concerning the final test, performance was numerically greater for learners in the retrieval practice group (M = .57 SE = .06) versus the restudy group (M = .48 SE = .06), though the difference
was not statistically significant t(95) = 1.16, p = .125, d = .23. </t>
  </si>
  <si>
    <t>On body appearance anxiety, we found a significant effect of the linear contrast, ß = 0.19, t(124) =2.15,
p= 0.033, and no effect of the residual contrast, ß =-0.07, t(124) =-0.89, p =0.37. Consistent with our (pre-registered) hypothesis, participants in the ultra-thin condition, compared to those in the no-models condition, reported greater body appearance anxiety.</t>
  </si>
  <si>
    <t>We also replicated the interaction between attitudes and entitativity, F(2, 298)=9.87, p &amp;lt; .001, ηp
2=0.064 (see Table 1).</t>
  </si>
  <si>
    <t>Regarding the main hypotheses (H1a, H1b and H2), we replicated the results from our prior studies. Again, we observed a null effect of processing mode on social mindfulness (for all three scores p &amp;gt;0.77, BF01 &amp;gt; 8.79, d ≤ 0.03; see Table 5).</t>
  </si>
  <si>
    <t>Regarding the main hypotheses (H1a, H1b and H2), we replicated the results from our prior studies.
Again, we observed a null effect of processing mode on social mindfulness (for all three scores p &amp;gt;0.77,
BF01 &amp;gt; 8.79, d ≤ 0.03; see Table 5).</t>
  </si>
  <si>
    <t>The cluster-based analysis revealed a marginally significant cluster (p = .054), between 3,360 ms and 5,100 ms after the beginning of the trial, coinciding with the first repetition of the target word during the test (see Figure 3): during that time-window, children from the verb condition looked more at the action video than children from the noun condition. The mixed-effects regression conducted on the average overall looking time per participants found a large effect of condition: Children from the verb condition (M = .602, SD = 0.117), were significantly more likely to look at the action video than children from the noun condition (M = .482, SD = 0.139, b = .189, SE = .06, t = 3.142, p = .003, Cohen’s d = .941), suggesting that children from the verb condition were more likely to interpret the novel word as referring to the action than children in the noun condition (see Figure 4).</t>
  </si>
  <si>
    <t>However, the predicted interaction was significant, F(1, 196) = 20.87, p = .001, =p 2 = .096, 90% CI
[.040, .165]. As can be seen in Figure 3, participants who had rehearsed 120 inward words liked inward words more (M = 4.69, SE = 0.14) than outward words (M = 4.36, SE= 0.14), t(102) = 4.26, p = .001, d = 0.42, 95% CI [0.22, 0.62]</t>
  </si>
  <si>
    <t>[PARTIAL SUPPORT] In Study 2a, we found a significant interaction of fusion and publicness of transgression (β=0.13, t(515)=2.22, p=.03, f=0.10). (...) In Study 2b, a marginally significant interaction effect of fusion and publicness of transgression emerged, (β=0.12, t(441)=1.85, p=.07, f=0.09). (...) Pooling the two samples to increase power revealed a significant interaction of fusion and publicness of transgression (β=0.13, t (959)=2.86, p=.004, f=0.10; see Fig. 3).</t>
  </si>
  <si>
    <t>As expected for Contrast 1, the highly agentic dot received higher ratings on the humanness thermometer than the dots with low levels of agency t(179)=3.90, p &amp;lt; .001, Cohen's d=0.58</t>
  </si>
  <si>
    <t>This led us to predict that people expressing gratitude would underestimate how surprised and positive recipients would feel after receiving a gratitude letter but overestimate how awkward recipients would feel.</t>
  </si>
  <si>
    <t>and a significant interaction between country-of-origin weight and target’s weight, F(1, 376) = 72.86, p &amp;lt; .001. Participants who read that people in the country of origin were of normal weight rated the overweight person as more American (M = 4.30, SD = 1.15) than the normal-weight person (M = 3.36, SD = 1.20), F(1, 376) = 60.86, p &amp;lt; .001, d = 0.80.</t>
  </si>
  <si>
    <t xml:space="preserve">
The predicted main effect of rarity/commonness was also significant,
F(1, 111)=223.51, p &amp;lt; .001, ηp
2=0.668, 95% CI of the
difference [15.88, 20.84]. Percentile estimates were higher for behaviors
in the common set (M=58.76, SD=9.71) than for behaviors in
the uncommon set (M=40.39, SD=10.89). In fact, the means for the
two sets were significantly above and below the 50th percentile, respectively,
t(111)=9.55, p &amp;lt; .001, d=0.90, 95% CI [6.94, 10.57]
and t(111)=−9.34, p &amp;lt; .001, d=−0.88, 95% CI [−11.65, −7.57].</t>
  </si>
  <si>
    <t>When examining the positive traits, this analysis revealed no significant main effects, fragment task: F(1, 259) = 2.16, p = .143, ηp 2 = 0.01, delay: F (1, 259) =0.64, p =.425, ηp 2= 0.00, and the interaction was also non-significant, F(1, 259) =0.30, p =.584, ηp 2= 0.00. The same analyses conducted on negative traits also revealed no significant main effects, fragment task: F(1, 259) = 0.81, p = .370, ηp 2 = 0.00, delay: F (1, 259) = 0.02, p = .897, ηp 2= 0.00, and the interaction was nonsignificant, F(1, 259) = 0.04, p =.837, ηp 2= 0.00</t>
  </si>
  <si>
    <t>error type and condition, in that the difference
between intra- and inter-category errors, signifying categorization, was
significantly lower in the common threat condition (M=2.24,
SD=6.29) than in the neutral control condition (M=9.65,
SD=6.31), F(1,99)=34.92, p &amp;lt; .001, ηp
2=0.26.5
Model fit was appropriate in both conditions (common threat:
T1
observed=0.135, T1
predicted=0.158, p=.42, T2
observed=19.41,
T2
predicted=20.60, p=.53; control: T1
observed=0.117,
T1
predicted=0.154, p=.41, T2
observed=19.92, T2
predicted=18.54,
p=.43).
As predicted, the decategorization effect replicated (Δd =.32 with
the 95% credibility interval [.15, .50], pB≤ .001; Table 3).</t>
  </si>
  <si>
    <t>Consistent with our original incentive-compatible
lab experiment, results showed that bundling drinks
larger than 16 oz into two smaller containers made them
less, not more, appealing to consumers—main effect of
bundling: F(1, 606) = 25.27, p &amp;lt; .001, η2 = .04 (typical
portion: M = 19.24 oz, SD = 10.91; bundled: M = 15.16
oz, SD = 9.04).</t>
  </si>
  <si>
    <t xml:space="preserve">and a significant two-way interaction between item and the number of different targets, F (1,353)=5.33, p=.022, np 2=.01. </t>
  </si>
  <si>
    <t>TAP scores were unassociated with trait physical aggression, r(175) = .11 [-.04, .25], p =.139</t>
  </si>
  <si>
    <t>However, we found no evidence that OPRM1 A118G genotype moderates the strength of these feelings. The difference between A allele homozygotes and G allele carriers was small and statistically insignificant (Fig. 1, left panel), mean difference = –0.09, t(488) = –1.2, p = .23, d = –0.11, 95% confidence interval (CI) = [–0.29,  0.07]</t>
  </si>
  <si>
    <t>However, there were no significant main effects of group in either the position, F(1,58)5.26, P50.62,
np2 &amp;lt;.01</t>
  </si>
  <si>
    <t>To test for the effect of unexpected outcomes, we entered the posterior SSVEP for the outcome stimulus (3 s–4 s) into a Frequency (theta, alpha) × Outcome (expected, unexpected) repeated measures ANOVA. We found a significant main effect of outcome, F(1, 37) = 6.72, p = .014, ηp 2 = .154,</t>
  </si>
  <si>
    <t>Consistent with our hypothesis, participants were significantly more likely to think the Chinese
ideographs meant ‘poor’ when preceded by a Black prime (M=0.63, SD=0.27, 95% CI: [0.60, 0.67])
than when preceded by a White prime (M=0.49, SD=0.24, 95% CI: [0.46, 0.52]), F(1, 242)=59.45, p &amp;lt;
.001, ηp 2=0.20.</t>
  </si>
  <si>
    <t>Confusions with the superordinate group were significantly predicted by an interaction between
participant group and type of confusion, F(1,104)=10.58, p=.002, ηp2=0.09. Simple comparisons
showed that significantly more confusions between the superordinate group and the Android stimulus persons were made more often by Android users (M=2.33, SE=0.19) than by iPhone
users (M=1.76, SE=0.20), F=4.08, p=.046, ηp2=0.04.</t>
  </si>
  <si>
    <t>This interaction between learning mode and type of rare delay (as represented by the probability of the longer delay) and the simple effects of learning mode given different types of rare delay were corroborated by the results of the mixed-effects logistic regression (Table 4). [Taken from Table 4: Type of Delay × Sampling Condition 3.81 [3.50, 4.13] ]</t>
  </si>
  <si>
    <t>Mean difference scores, as a function of effort and acquisition, are presented in Fig. 4. Children increased the value of their own monster (M=1.09, 95% CI=[0.65, 1.52]) over the course of the experiment more than they increased the value of the identical monster (M=−0.03, 95% CI=[−0.39, 0.32], F(1,119)=25.55, p &amp;lt; .001, ηp 2 =0.18).</t>
  </si>
  <si>
    <t>Contrary to our original predictions, however, the interaction
between condition and group status was not significant,
b = −0.06, SE = 0.06, 95% CI = [−0.16, 0.05],
semipartial R2 = .002, t(356) = −1.01, p = .31; participants
in the one-time-ritual condition were no more biased in
their trust (in-group: M = $5.34, SD = 2.97; out-group:
M = $4.94, SD = 3.0) than were participants in the noritual
condition (in-group: M = $5.23, SD = 2.67; outgroup:
M = 5.05, SD = 2.79; Fig. 3).</t>
  </si>
  <si>
    <t>Contrary to our original predictions, however, the interaction between condition and group status was not significant, b = −0.06, SE = 0.06, 95% CI = [−0.16, 0.05], semipartial R2 = .002, t(356) = −1.01, p = .31; participants in the one-time-ritual condition were no more biased in their trust (in-group: M = $5.34, SD = 2.97; out-group: M = $4.94, SD = 3.0) than were participants in the noritual condition (in-group: M = $5.23, SD = 2.67; outgroup: M = 5.05, SD = 2.79; Fig. 3).</t>
  </si>
  <si>
    <t>The mean RSTs in the gain condition did not differ from their loss-condition counterparts (M = .43, SD = .07 vs. M = .43, SD = .05), t(60) = -0.14, p &amp;gt; .250, d = -0.04, 95% CI = [-0.54, 0.47].</t>
  </si>
  <si>
    <t>We found that in the B-honest, (G2(485) = 2089.90, p &amp;lt; .001 one-sided) (...) conditions participants reported significantly more higher numbers than expected based on the multinomial distribution (with p = 1/6 for each number in 18 trials). (...) conditions participants reported significantly more higher numbers than expected based on the
multinomial distribution (with p =1/6 for each number in 18 trials). (...) The corresponding effect sizes for comparing the mean of the reported numbers per person with the expected mean of 3.5 when assuming full honesty (Cohen’s d with 95% CI) were d = .49 [0.29, 0.69] for B-honest, d = .64 [0.45, 0.84] for B-brazen matching, and d = .95 [0.75, 1.15] for B-brazen signaling (for illustration, see Figure 3).</t>
  </si>
  <si>
    <t>The predicted interaction between the measure of inherence bias and behavior typicality was
significant in this model, b = 2.44, 95% CI = [0.78, 4.10], p = .004 (for results for the full model, see Table 4). The results were consistent with our argument: Participants’ inherence bias was positively related to their ought inferences about typical behaviors, b = 1.45, 95% CI = [0.12, 2.79], p = .032</t>
  </si>
  <si>
    <t>Supporting our first hypothesis, consistent with the first two studies, and as specified in our preregistration (https://aspredicted.org/fq8hw.pdf), a paired samples t-test comparing predicted to actual compliance revealed help-seekers predicted they would need to approach significantly more people (M=6.65, SD=5.76) than they had to (M=3.81, SD=1.80), t(162)=6.65,9 p &amp;lt; .001, dav=0.67, 95% CI= [0.48, 0.86].</t>
  </si>
  <si>
    <t>The short list induced better precision of color for 18 of 23 participants, t(22) = 3.29, p = .003, ηp2 = .33,
90% CI = [.08, .52], BF10 = 12.45; CBP: p = .005</t>
  </si>
  <si>
    <t>We observed a significant effect of day, F(2, 168) = 21.72, p &amp;lt; .001, η2 = .21 (see Fig. 2) (...) (In turn,
February 15 also elicited significantly less envy than February 13, Bonferroni-adjusted p = .001, d =
0.29, 95% CI for the mean difference = [−0.61, −0.19].)</t>
  </si>
  <si>
    <t>The children were also significantly
more likely to give the toy to the target of positive
nonverbal signals (69%) than to the target of negative
nonverbal signals (two-tailed binomial sign test, N = 81),
p = .001, g = .19.</t>
  </si>
  <si>
    <t>Participants in the high-inequality condition perceived higher levels of anomie than participants
in the low-inequality condition (M = 4.67, SD = 1.04 vs. M = 2.67, SD = 0.84), t(294) = 18.14, p &lt; .001, 95% CI = [1.78, 2.21], d = 2.12)</t>
  </si>
  <si>
    <t>An independent samples t-test indicated that participants in the low control condition (M=4.36, SD=0.43) were more likely to endorse gender stereotypes than those in the high control condition (M=4.30, SD=0.38), t(528)=1.74, p=.082, d=0.15, although the difference did not reach statistical significance.</t>
  </si>
  <si>
    <t>The proportion of female faculty who left the departments increased in the intervention departments compared to control departments, OR = 3.03, χ2(1, N = 87) = 4.04, p = 0.04, 95% CI = [1.04, 9.11], dOR = −0.02</t>
  </si>
  <si>
    <t>In exploratory follow-up analyses, we tested for potential influences of NFC or BNT but found no significant interaction effects in our sample: all p &amp;gt; 0.1</t>
  </si>
  <si>
    <t>The comparisons of US expectancy for both contexts
versus the second context was inconclusive in both acquisition
and extinction procedures</t>
  </si>
  <si>
    <t>Critically, there was no difference between the no‐repetition‐corrected MMN and the cascade‐corrected
MMN, as the mean difference was almost zero; M = −0.02, 95% CI [−0.72, 0.69].The BF01 = 6.25 implies that the data were six times more likely given the null hypothesis than given the alternative hypothesis. [Are the CI and BF inconsistent?]</t>
  </si>
  <si>
    <t>Supporting our hypothesis, the threats were perceived to cause
more suffering in the CEO condition (M=4.85, SD=1.29) than in the
headquarters condition (M=3.84, SD=1.85), F(1,199)=19.97,
p &amp;lt; .001, d=0.64.</t>
  </si>
  <si>
    <t>In contrast, only 28% of the 36 failers and 46% of the 24 passers in the True-Belief condition
selected the correct block; neither of these proportions significantly differed from chance (ps &amp;gt;
.280).</t>
  </si>
  <si>
    <t>We observe no significant Condition X ethnic group interactions,
Fs &amp;lt; 1, ps &amp;gt; .250.</t>
  </si>
  <si>
    <t>The correlation between the CFI and self-reported pro-environmental behaviour (Hypothesis 2) was successfully replicated, rS = .25, p &amp;lt; .001, n = 264, 95% CI [.13, .36]</t>
  </si>
  <si>
    <t>Contrary to our prediction, the history
quiz did not influence the resident ratings. People who
were primed with the history quiz showed practically
identical ratings (18.38%, 95% CI = [17.35%, 19.41%])
as people not primed with the history quiz (18.10%,
95% CI = [17.09%, 19.11%]).</t>
  </si>
  <si>
    <t>Inferred Deletions were more likely in the Deletion Exposure condition than the Mixed condition (only numerically4 in E1: b=0.68, p=0.40; E2: b=1.34; p &amp;lt; .001)</t>
  </si>
  <si>
    <t>Inferred Insertions were only numerically more likely in the Insertion
Exposure condition than the Mixed condition in both experiments, b = −2.889, se = 2.823, z = −1.023, p = 0.306</t>
  </si>
  <si>
    <t>Participants selected the positive brand more often
than the negative brand in all conditions of Experiment 1
(see Table 1), M (SD) = 0.33 (0.6o), 95% CI = [0.24, 0.42], dz = 0.54</t>
  </si>
  <si>
    <t>We used Planned Contrast Linear regression (Control=1,Cultural Match=1, Cultural Mismatch=−2) which revealed a significant
effect of Condition on inherence, F(1, 257)=6.69, p=.01,
R2=0.03. Inherence was lower among participants randomly assigned
to the Cultural Mismatch Condition (M=4.68, SD=0.90) compared to
participants randomly assigned to the other conditions (Cultural Match
M=4.99, SD=0.83, Control M=4.97, SD=0.90).</t>
  </si>
  <si>
    <t>In support of the second hypothesis,
participants mispredicted this phenomenon. Whereas
72.46% of pursuers chose giving, only 34.49% of predictors
forecast that people would do so, χ2(1, N = 690) =
99.97, p &amp;lt; .001, d = 0.82, 95% CI = [0.66, 0.98].</t>
  </si>
  <si>
    <t>Additionally, as outlined in our pre-registered predictions, the effect emerged even when we separated the CNM relationship orientations of participants (assessed polyamory, open, and
swinging as their own groups; see Figure 1). More specifically, there was a significant main effect of the targets’ relationship orientation on reported social distance, [F(3,1857) = 28.77, p &amp;lt; 0.001, !2 p = 0.04].</t>
  </si>
  <si>
    <t>Specifically, in Study
2, general distinctiveness was significantly associated with all maladaptive
identity formation and
not with only one out of three or two out of three indicators,
respectively. [Results in Table 3, 0.35***]</t>
  </si>
  <si>
    <t>The same pattern was significant and similarly large in
magnitude on the funding measure: participants allocated more funding
to recruit women into male-dominated careers than to recruit men into
female-dominated careers, t(328)=9.70, p &amp;lt; .001, d=0.53, CI.95
(0.38, 0.69).</t>
  </si>
  <si>
    <t>However, consistent with our preregistered
hypotheses, the main effect of condition on post-spending
positive affect was significant when controlling for baseline happiness,
F(1,1228)=3.500, p=.031, one-tailed, d=0.11.</t>
  </si>
  <si>
    <t>However,
connection with the future self did not mediate the
effect of power on temporal discounting, estimated indirect
effect = 0.00, 95% bootstrapped CI = [0.00, 0.00],
p = .960.</t>
  </si>
  <si>
    <t>Inconsistent with Hypothesis 2, there is no statistically significant
interaction between choice frame and moral frame, OR=0.91 [0.50,
1.64], Z=−0.32, p=0.752.</t>
  </si>
  <si>
    <t>Marking the source of the interaction, pairwise comparisons
revealed that participants who received a small
taste of doing indeed lowered their perceived ability
from what they had initially thought after merely watching
(Time 1: M = 1.85, SD = 0.98; Time 2: M = 1.40, SD =
0.74), F(1, 142) = 30.04, p &amp;lt; .001, ηp
2 = .18 (d = 0.60), 95%
CI for the mean difference = [0.29, 0.61].</t>
  </si>
  <si>
    <t>VSDT was superior to both the EMDR condition and the CC, while the
EMDR condition was superior to the CC. This was supported by the BF
values for Model 1. 1: VSDT &amp;gt; EMDR &amp;gt; CC 6.41</t>
  </si>
  <si>
    <t>Result for last hypothesis should be "The planned t-test
between positive and neutral induction for only the
change-negative trials was also not significant, t(38)
= .76, p = .453, d = .13, BF10 = .226"</t>
  </si>
  <si>
    <t xml:space="preserve">There were no significant interactions between goal conflict condition and self-affirmation on any
outcome variables.
</t>
  </si>
  <si>
    <t xml:space="preserve">wait longer but did not influence children to wait less. 
Children who did not receive any information about their 
group’s delay behavior (wait time Mdn = 2.95 min) gave 
into the temptation to eat the marshmallow at over twice 
the rate of children whose in-group waited, χ 2 (1) = 4.57, 
p = .033, hazard ratio = 2.18, 95% CI = [1.05, 4.50]. </t>
  </si>
  <si>
    <t>The results 
showed that the bootstrapped indirect effect of birth-
place on dependent variables was significant in 19 of 
the 24 conducted analyses. All nonsignificant effects 
except one were from Study 2 (see Table 2).</t>
  </si>
  <si>
    <t xml:space="preserve"> The results 
of  a  bias-corrected  bootstrap  mediation  model  (Hayes, 
2009)  with  5,000  resamples  indicated  that  the  indirect 
effect of grouping via fairness ratings was only marginal, 
95% CI = [−0.1081, +0.0026], p = .08.
</t>
  </si>
  <si>
    <t>mean HR, t(34) = 0.89, p = .378, d = 0.15, 95% CI = [–0.18, 0.48], BF01 = 3.81</t>
  </si>
  <si>
    <t>An ANOVA revealed a main effect of counterattitudinal
information, F(1, 56) = 123.11, p &lt; .001, η2 = .51,
BF10 &gt; 1,000, and an (unexpected) interaction with hypnosis,
F(1, 56) = 5.85, p = .019, η2 = .02, BF10 = 1.03.</t>
  </si>
  <si>
    <t>(Fig. 1, left), we did not obtain the same effect in Studies 3 and 4.</t>
  </si>
  <si>
    <t>y: Participants indicated that 
they were significantly more likely to choose the same 
vegetable dishes if they had taste-focused labels than 
if they had basic labels (b = 0.32, 95% CI = [0.23, 0.40], 
p &amp;lt; .001, d = 0.22, 95% CI = [0.16, 0.28]), and this was 
true to a greater extent than if dishes had health-focused 
labels (b = 0.51, 95% CI = [0.43, 0.59], p &amp;lt; .001, d = 0.36, 
95% CI = [0.30, 0.42]).</t>
  </si>
  <si>
    <t>dishonesty, ICC = .82, F(45, 3645) = 6.7, 95% CI = [.74, .89]</t>
  </si>
  <si>
    <t xml:space="preserve">The online context reduced perceptions of pain (b ¼ ?.57, p ¼ .005) and surprise
(b ¼ ?1.12, p &amp;lt; .001) </t>
  </si>
  <si>
    <t>Results indicated that need satisfaction was positively associated with the criterion, β(523) = 0.367, p = .001. [probable typo here. "satisfaction" should be "frustration"]</t>
  </si>
  <si>
    <t>SPMS was trivially related to back-transfer amount: F(1, 365) = .04, p = .851,
R = .01 (b = .60, SE = 3.17, t = .19].</t>
  </si>
  <si>
    <t>In the present study (n = 102), a 2 × 2 ANOVA on the proportion of looking time also
showed no significant effects of belief, F(1, 201) = 2.02, p = .157, d = 0.20, BF10 = 0.079, and no interaction, F(1, 201) = 0.03, p = .869, d = 0.02, BF10 = 0.116, but a significant effect of object location, F(1, 201) = 28.20, p &amp;lt; .001, d = 0.75; specifically, participants looked significantly
longer at the object location (M = .27, SD = .29, 95% CI = [.24, .30]), than the no-object location (M = .16, SD = .24, 95% CI = [.14, .19]).</t>
  </si>
  <si>
    <t>Forecasters accurately predicted the direction of [...] explanatory differences (predicted effect size of −0.41 that conservatives would be explained more) [...] t(172)=−17.66, p &amp;lt; .001</t>
  </si>
  <si>
    <t>Analyses of the symmetry-span results [...]  produced results largely consistent with those from the operation-span task. The correlations between symmetry span squared and mind wandering in [...] the awareness section, r(258) = −.13, p = .039, 95% CI = [−.25, .01], BF10 = 0.63, were all negative</t>
  </si>
  <si>
    <t>We used a 2 (payment condition) × 2 (area of interest, or AOI: target outcome vs. outcome next to target) × 2 (temptation) general linear mixed model to predict fixation durations. Overall, fixations on the target (total duration: M = 899.86 ms, SD = 494.43 ms) were longer than fixations on the value next to the target (total duration: M = 369.45 ms, SD = 274.91 ms), F(1, 2480) = 1,275.76, p &amp;lt; .001, b = 0.34, 95% CI = [0.283, 0.391]. As predicted (Hypothesis 2), this pattern was qualified by a three-way Payment Condition ×  AOI × Temptation interaction, F(1, 2480) = 3.95, p = .047, b = −0.12, 95% CI = [−0.238, −0.002].</t>
  </si>
  <si>
    <t xml:space="preserve">A bootstrap procedure with 10,000 replications revealed an indirect effect of leader moral character, z = 6.02, p &amp;lt; .001, indi-rect effect = 0.47, 95% CI = [0.33, 0.60]. </t>
  </si>
  <si>
    <t>In the control condition, 3.8% (4 of 104) of participantsidentified as LGB. In the subtle prescreening condition, 3.5% (4 of 114) of participants identified as LGB. In the blatant pre-
screening condition, 45.3% (48 of 106) of participants identified as LGB, significantly more than the other 2 conditions,odds ratio ¼ 0.08, 95% CI [0.03, 0.19], Wald w2¼ 31/42,p &amp;lt; .001.</t>
  </si>
  <si>
    <t xml:space="preserve">  In the haptic test, participants correctly reported the previously explored 
exemplar on 79.2% of the trials (SD = 6.4, 95% CI = [77.2, 81.2]). In the visual test, participants correctly reported the previously explored exemplar on 73.3% of the trials (SD = 7.3, 95% CI = [71.1, 75.6]).</t>
  </si>
  <si>
    <t>We then conducted a one-sided one sample t-test over the difference score. This did not show a
significant difference from 0, t(14) = –.90, p &amp;gt; .05, Cohen’s dz = 0.23 CI [–.74, .28].</t>
  </si>
  <si>
    <t>There was also modest support for the correlation between confidence judgments and final recall being higher for RCJs than for JOLs (BF10 = 4.42).</t>
  </si>
  <si>
    <t>To examine the role of prejudice felt against the target, we next
conducted a between-subjects ANCOVA including target political or
ientation
as the primary predictor and prejudice as the covariate.
Liberals and conservatives again were not judged as differently malle
able
(p=.618),</t>
  </si>
  <si>
    <t>However, except for the effect of care rhetoric on donation motivation (Model 1), the between condition effects remained significant and diminished only moderately (See Table 7).
Donation 1 Care 0.26 0.16 1.57 p = 0.12
(see table 7 in sup)</t>
  </si>
  <si>
    <t>As with previous experiments, vocabulary ability was a significant predictor of performance (b = 0.53, Z = 3.89, p &amp;lt; 0.001),</t>
  </si>
  <si>
    <t>Contrary to Study 1, but consistent with
predictions and the
finding
of Pennycook and colleagues
(2015), cognitive ability and cognitive
reflectio
were nega
tively
correlated with PPBS to a statistically
significan
de
gree. ?0.16 [?0.31, 0.00]</t>
  </si>
  <si>
    <t>As expected, overplacement was greater for
participants in the easy condition (M = 0.38, SD = 1.81)
than for participants in the hard condition (M = –0.11,
SD = 1.81), t (1700) = 5.60, p &amp;lt; .001, d = 0.27.</t>
  </si>
  <si>
    <t>As shown in Table 2, age moderated the
trial-level association between decision making and condition:
Older individuals were more likely to favor their
friends instead of parents, contrary to what we expected
in Hypothesis 2. [However, if we look in the supplementary materials, the effect in the first sample is not significant.]</t>
  </si>
  <si>
    <t>Participants
in the ASC group made more consistent choices than did
control participants, b = 0.200, 95% CI = [0.059, 0.341], p =
.005, demonstrating reduced context sensitivity and a
more rational decision-making style</t>
  </si>
  <si>
    <t>Participants also showed less attitude change in the perspective-taking (M= 0.39, 95% CI[-0.17,0.94]) relative to the control (M=1.52, 95% CI[0.55,2.50]) condition, t(482) = -1.98, p = .048, d = 0.18.</t>
  </si>
  <si>
    <t>As in Study 3a, bootstrapping
analyses revealed that anxiety level mediated the effect
of the polluted (vs. clean) condition on the Self-Reported Inappropriate Negotiation Strategies score (bias-corrected
95% CI = [0.0204, 0.1771]).</t>
  </si>
  <si>
    <t>During the fall term, none of the measures were found to maintain
a statistically significant association with the number of swipe-ins recorded.
[only included fall, because it is the first test]</t>
  </si>
  <si>
    <t>Participants who left their phone outside also had better performance than those who brought the phone in (Table 3), Mann-Whitney U=7083.50, SE=438.60, p=.021.
[note that this is no mediation analysis]</t>
  </si>
  <si>
    <t>According to our pre-registered one-tailed t-tests, mindfulness participants consumed their coffee sugar-free more frequently than control participants 1 month after the intervention ended (Mm = 2.89, Mc = 2.25, 8], 95% confidence interval (CI) [0.168, t(66) = 2.27, p = 0.013, d = 0.56),</t>
  </si>
  <si>
    <t xml:space="preserve">Switching the socially desirable response to the left or right side did not change the results ... both ps &amp;gt; .48
</t>
  </si>
  <si>
    <t>Consistent with the predictions, there was not a
significant main effect of the participants’ relationship
orientation on reported communion, F (3, 626) = 1.39,
2
p = .244,
.p
= .01, and birth control, F (3, 626) = 1.58,
2
p = .193,
.p
= .01, and these effects remained nonsignifi
cant
when we controlled for demographic differences.</t>
  </si>
  <si>
    <t>The interactions of
SIAS and an avatar’s current role ... were not significant.</t>
  </si>
  <si>
    <t>Next, we tested Hypothesis 2 that inducing feelings of social
distance would cause estimates of spatial distance to increase.
Results of a t test comparing cold and warm conversation conditions
supported Hypothesis 2, t(26.6) ¼ 2.18, 95% CI [0.03,
1.44], d ¼ 0.75, p ¼ .038, such that participants in the cold conversation
condition (M ¼ 1.91, SD ¼ 0.86), who had socially
distant conversational partners, estimated their partners’ city
to be significantly further away than did participants in the
warm conversation condition (M ¼ 1.38, SD ¼ 0.52; Figure
4).</t>
  </si>
  <si>
    <t>When we tested the simple slopes, we observed a difference for those scoring low versus high on the RCR in the cold condition (Est.=-0.20, SE=0.09, p=.02) and not in the warm condition (Est.=0.04, SE=0.09, p=.36).</t>
  </si>
  <si>
    <t>the effect of agency on advice taking (c1) was not significant and this did not change when controlling for participants’ ratings of their own and their advisor’s expertise (c1') (...) The indirect effect of agency via ratings of judges’ own competence emerged (...) a1 x b = -.029, p = .036, 95% CI[-.055,-.002]. When analyzing the judgement tasks seperately, there was only evidence of estimation for distance estimates, a1xb = -.04, p = .009, 95%CI [-.07,-.01], but not for the weight estimates, a1xb = -.01,p=.228,95%CI[-.04,.01]. In sum, the results provide at least partial support for the mediation hypothesis even when ruling out post hoc justification as an alternative explanation. [see Figure 3]</t>
  </si>
  <si>
    <t>Examining simple effects, we found that there was an effect of dosage both for harm transgressions, b = 9.518, SE = 1.425, p &amp;lt; .001,
[ ... ] 
Again, there was no relationship between the relative harmfulness of a transgression and the influence of dosage on moral judgments of that transgression, r(14) = .075, p = .781</t>
  </si>
  <si>
    <t>An ANCOVA on unfair treatment revealed a significant main effect of profile condition, F(1, 172) = 23.72, p &amp;lt; .001, 95% CI for the mean difference = [1.31, 1.83], ηp 2 = .12; participants anticipated greater mistreatment from the racist evaluator (M = 3.38, SE = 0.19) than the neutral evaluator (M = 2.03, SE = 0.18).</t>
  </si>
  <si>
    <t>Intriguingly, life satisfaction related to rating neutral faces more negatively, but was unrelated to how
positively the faces were rated. [Table 1: SWLS-Faces Pos → r=0.06. p&amp;gt;.05; SWLS-Faces Neg. → 0.24***, p&amp;lt;.001]</t>
  </si>
  <si>
    <t>In line with H2, there was a significant main effect of morality, F(1,488) = 637.67, p &amp;lt; .001, eta2 = .40,
such that participants role modeled moral supervisors to a greater extent than immoral supervisors</t>
  </si>
  <si>
    <t>This analysis revealed that participants’ mind-sets about intelligence were not associated with their support for resettling refugees, b= −0.0032, 95% confidence interval (CI) = [−0.15, 0.14], SE= 0.074, β=−0.0020, t(400) = −0.043, p= .97</t>
  </si>
  <si>
    <t>A repeated measures analysis of variance (ANOVA) conducted on accuracy with two factors (condition: additive area, true area; ratio: 1.10, 1.20, 1.30) revealed main effects of both condition, F(1, 96) = 17.80, p &amp;lt; .001, and ratio, F(2, 95) = 24.43, p &amp;lt; .001, as well as an interaction between the two, F(2, 95) = 9.94, p &amp;lt; .001. Post hoc tests revealed that overall performance was above chance in the additive-area condition, t(96) = 10.88, p &amp;lt; .001, d = 1.11.</t>
  </si>
  <si>
    <t>This result held when we controlled for the FCE; a logistic regression including both the experi
mental treatment and our measure of the FCE as predictors showed that the manipulation remains significant, log odds = 1.01, SE = 0.33, p = .002.</t>
  </si>
  <si>
    <t>Citations, however, did not affect the truth ratings, F(1,78) = 0.50, p = .480, ηp 2 =.01, indicating that
subjects provided similar ratings for items presented with and without a citation. This outcome
supported our second hypothesis, that citations would not affect believability.</t>
  </si>
  <si>
    <t>Results for hypothesis tests are presented in Table 1 (...) Specifically, means were lower in the
descending condition for (...) sensation-seeking (...) hypotheses were not supported for all other
variables [Results extracted from Table 1, Hopelessness: x2(1) = 1.27, p =.26 | Anxiety Sensitivity:
x2(1) 0.96, p = .76 | Sensation Seeking: x2(1) = 11.90, p = .001 | Impulsivity: x2(1) = 1.04, p = .31]</t>
  </si>
  <si>
    <t>There was no (...) significant veracity by question focus interaction, F(1,77) = 0.22, p = 0.639, f = 0.05</t>
  </si>
  <si>
    <t xml:space="preserve">A logistic regression in which we regressed participants’ choices to cheat or be fair on their levels of gratitude supported this view. In this model, gratitude proved to be a reliable predictor of behavior, b = 0.55, 95% CI: 0.13 – 0.96, Wald c2 = 6.72, p = .010, odds ratio = 1.73, 95% CI: 1.14 – 2.61 </t>
  </si>
  <si>
    <t>However, evaluators’ ratings of the communicators’ human nature was significantly lower in the mindless-voice condition, than in both the authentic- voice condition, t(425) = −3.31, p = .001, d = −0.39, and the transcript condition, t(425) = −3.63, p &amp;lt; .001, d = −0.43.</t>
  </si>
  <si>
    <t>Replicating the original results, most participants associated stronger regret with the exception (277,
81%) than with routine behaviour (65, 19%; χ2 (1, N = 342) = 131.42, p &amp;lt; .001, d = 1.58).</t>
  </si>
  <si>
    <t>There was no effect of WHPP Focus (b = −0.04, p = 0.49, Cohen’s d = 0.10)</t>
  </si>
  <si>
    <t>While the focus of the replication was on the lie effect
for native vs non-native language, the full ANOVA
including all factors of the design is of interest. The
2 (Language: native vs. foreign) × 2 (Veracity: truth
vs. lie) × 2 (Emotionality: emotional vs neutral)
repeated measures ANOVA on RTs showed main
effects for Veracity F(1,62) = 95.57, p &amp;lt; .001, ηp 2 = .61.
&amp;lt; .001, and Language F(1,62) = 5.93 p = .018, ηp 2 = .09,
that fell under the predicted Veracity by Language
interaction, F(1,62) = 18.27, p &amp;lt; .001, ηp 2 = .23, mimicking
the result of the preregistered t-test. The ANOVA
further showed a main effect of Emotionality F(1,62)
= 12.01, p = .001, ηp 2 = .16, with greater RTs to
emotional than to neutral questions. This effect was
qualified by language, with a significant Language
by Emotionality interaction, F(1,62) = 11.08, p = .001,
ηp 2 = .15, indicating that the emotionality effect was
reduced in the foreign language. The Veracity × Emotionality
interaction was not significant, F(1,62) = 2.47,
p = .121, ηp 2 = .04, neither was the 3-way interaction F
(1,62) = 0.03, p = .869, ηp 2 &amp;lt; .01.</t>
  </si>
  <si>
    <t>To examine whether
there was a significant indirect effect from initial cheating
to self-dehumanization to subsequent cheating, we
used the bootstrapping procedure recommended by
Preacher, Rucker, and Hayes (2007). The 95% biascorrected
CI did not include zero, suggesting that the
indirect effect was significant at the .05 level, indirect
effect: b = 0.0222, 95% CI = [0.0011, 0.0705] (see Fig. 3a).</t>
  </si>
  <si>
    <t>Also as expected,
under the negative question, people repeated their choices less often
than under the no-question baseline, OR=0.47, 95% CI [0.40, 0.56],
p &amp;lt; .001, and 68% of individual participants showed this effect.</t>
  </si>
  <si>
    <t>This revealed a main effect of outrage,
F(1, 785) = 12.29, p &amp;lt; .001, ηp
2 = .02 (Fig. 9); participants
reported more negative impressions of the target commenter
when outrage was viral (M = 3.17, SD = 1.47)
rather than nonviral (M = 2.97, SD = 1.30). Again contrary
to predictions, there was no main effect of offender
and no interaction, ps ≥ .874.</t>
  </si>
  <si>
    <t>We also explored how demographic factors impacted the observed effects. Age, gender, employment status, job category, and years employed were all unassociated with likelihood of blowing the whistle and adding these demographic factors in a second step of the regression did not improve the model (p=.581).</t>
  </si>
  <si>
    <t>The proportion of environmentally friendly choices was also significantly affected by the amount of CO2 emissions (operationalized via the number of illuminated lights) associated with the car option, F (2, 238) = 18.47, p &amp;lt; .001, np2 = .13 (...) Inspection of Fig. 3 confirms Hypothesis 2 in revealing a monotonic increase of the proportion of environmentally friendly choices from small to large amounts of CO2 emissions.</t>
  </si>
  <si>
    <t>The results of the fixed effects estimation are shown in Table 2 and are represented graphically in Fig.
5.A significant fixed effect of similarity to negative beans indicated that as the similarity to negative
learned beans increased, the classifications were less positive.</t>
  </si>
  <si>
    <t>Next, we tested our main hypothesis by comparing givers’ relative preference for giving the mugs with
receivers’ relative preference for receiving the mugs. Givers indicated greater relative preference for the
personalized mugs than did receivers (Ms = 6.12 vs. 5.50, SDs = 3.05 vs. 3.02), t(373) = −1.99, p =
.047, d = 0.21, 95% confidence interval (CI) = [0.002, 0.407] (see Fig. 2).</t>
  </si>
  <si>
    <t>No such differences were found for inverted (M=0.66, SD=1.03) versus upright chimpanzee faces
(M=0.69, SD=1.04), t(86)=1.12, p=.26, d=0.12, 95% CI [−0.18, 0.49].</t>
  </si>
  <si>
    <t>On the discrepancy index, we found no effect of the linear contrast,
β = 0.14, t(123) =1.60, p = 0.11, and no effect of the residual
contrast, β = −0.12, t(123) = −1.38, p = 0.17. Contrary to our
expectations, participants in the ultra-thin condition, compared to
those in the no-models condition, did not evaluate their actual body
shape as being larger than what they would like in the ideal.</t>
  </si>
  <si>
    <t>We then conducted the same indirect effects model as in Study 1,
and again found indirect effects of both the negative, b=−0.168, Boot
SE=0.060, 95% CI [−0.287, −0.055], and positive, b=0.099, Boot
SE=0.054, 95% CI [0.007, 0.222] conditions, such that, in the negative
condition, positive attitudes predicted less entitativity and less
collective responsibility, while, in the positive condition, more positive
attitudes predicted more entitativity and more collective responsibility.
No indirect effect emerged in the neutral condition, b=0.069, Boot
SE=0.049, 95% CI [−0.024, 0.170]. Additionally, the negative condition
differed significantly from the positive and neutral conditions,
b=−0.237, Boot SE=0.079, 95% CI [−0.401, −0.089], while the
positive condition did not differ significantly from both the negative
and neutral conditions, b=0.030, Boot SE=0.071 95% CI [−0.102,
0.174].</t>
  </si>
  <si>
    <t>The mixed-effects regression conducted on the
average overall looking time per participants found
a large effect of condition: Children from the verb
condition (M
=
.602, SD
=
0.117), were significantl
more likely to look at the action video than children
from the noun condition (M
=
.482, SD
=
0.139,
=
.189,
SE
=
.06,
t
=
3.142,
p
=
.003,
Cohen’s
b
d
=
.941), suggesting that children from the verb
condition were more likely to interpret the novel
word as referring to the action than children in the
noun condition (see Figure 4).</t>
  </si>
  <si>
    <t xml:space="preserve">However, the predicted interaction was significant, F(1, 196) = 20.87, p &amp;lt; .001, np2 = .096, 90% CI [.040, .165]. (...) In contrast, participants who had rehearsed 120 outward words preferred inward words less (M = 4.42, SE = 0.14) than outward words (M = 4.58, SE = 0.14), t(94) = 2.18, p = .031, d2z = 0.22, 95% CI [0.02, 0.43].
</t>
  </si>
  <si>
    <t>[PARTIAL SUPPORT] In Study 2a, we found a significant interaction of fusion and publicness of transgression (ß=0.13, t(515)=2.22, p=.03, f=0.10). Simple effects analyses indicated that weakly fused individuals (−1 SD) were more likely to endorse public punishment after private transgressions than public transgressions (β=−0.34, t(515)=−2.76, p=.006), which is a response that would harm group reputation. (...) In Study 2b, a marginally significant interaction effect of fusion and publicness of transgression emerged, (ß=0.12, t(441)=1.85, p=.07, f =0.09). (...) Weakly fused individuals showed the opposite albeit non-significant effect (−1 SD; β=−0.20, t(441)=−1.51, p=.13). (...) Pooling the two samples to increase power revealed a significant interaction of fusion and publicness of transgression (ß=0.13, t(959)=2.86, p=.004, f=0.10; see Fig. 3).</t>
  </si>
  <si>
    <t>expressors significantly (...) overestimated how awkward recipients would feel, paired-samples t(77) = −2.80, p &amp;lt; .01, d = 0.32 (see Fig. 3)</t>
  </si>
  <si>
    <t>However, participants who read about a stereotypically overweight country rated the overweight person as less American (M = 3.61, SD = 1.17) than the normalweight person (M = 3.84, SD = 1.14), F(1, 363) = 3.91, p = .049, d = 0.20 (see Fig. 3).</t>
  </si>
  <si>
    <t>[positive traits] delay: F (1, 259) =0.64, p =.425, ηp 2= 0.00
[negative traits] delay: F (1, 259) = 0.02, p = .897, ηp 2= 0.00</t>
  </si>
  <si>
    <t xml:space="preserve">lab experiment, results showed that bundling drinks
larger than 16 oz into two smaller containers made them
less, not more, appealing to consumers—main effect of
bundling: F(1, 606) = 25.27, p &amp;lt; .001, η2 = .04 (typical
portion: M = 19.24 oz, SD = 10.91; bundled: M = 15.16
oz, SD = 9.04). </t>
  </si>
  <si>
    <t xml:space="preserve">The other two-way interaction of familiarity and the number of target items was not significant, F &amp;lt; 2.5 </t>
  </si>
  <si>
    <t>TAP scores were positively associated with the amount of hot sauce participants gave to their partner, r(175) = .18 [.03, .32], p = .016 (Figure 2)</t>
  </si>
  <si>
    <t>Similarly, the order in which participants completed the two different versions of the Cyberball task did not affect the main results; the difference between A allele homozygotes and G allele carriers was insignificant both in the inclusion-first group (β = –0.01; b = –0.02, 95% CI = [–0.36, 0.33]) and in the exclusion-first group (β = 0.16; b = 0.27, 95% CI = [–0.10, 0.64]).</t>
  </si>
  <si>
    <t>no interaction between group and occlusion duration (position: F(2,116)50.72, P50.49, eta p 25.01; accumulation: F(2,116)51.59, P50.21, eta p 25.03).</t>
  </si>
  <si>
    <t xml:space="preserve">Furthermore, there was a trend for a Frequency × Outcome interaction, F(1, 37) = 3.37, p = .075, ηp 2 = .083, in the expected direction (one-sided p = .037; see the preregistration at https://aspredicted.org/ve2qn.pdf). </t>
  </si>
  <si>
    <t>Consistent with the bivariate correlation
results, Black/poor automatic associations uniquely predicted
less support for redistribution (see Fig. 1), b=−0.19, SE=0.07,
p=.00</t>
  </si>
  <si>
    <t>Confusions with the superordinate group were significantly predicted by
an interaction between participant group and type of confusion, F(1,104)=10.58, p=.002, ηp2=0.09. Simple comparisons showed that significantly more confusions between iPhone and superordinate group
members were made by iPhone users (M=2.02, SE=0.21) than by
participants Android smartphone users (M=1.40, SE=0.20), F=4.59, p=.034, ηp2=0.04. Conversely, confusions between the superordinate group and the Android stimulus persons were made more often by
Android users (M=2.33, SE=0.19) than by iPhone users (M=1.76, SE=0.20), F=4.08, p=.046, ηp2=0.04. We additionally computed</t>
  </si>
  <si>
    <t>This interaction between learning mode and type of rare delay (as
represented by the probability of the longer delay) and the simple effects of learning mode given different types of rare delay were corroborated by the results of
the mixed-effects logistic regression (Table 4) [Extracted from Table 4: Effect =Type of Delay × Sampling Condition, Posterior mean = 3.81, 95% credible interval [3.50, 4.13]]</t>
  </si>
  <si>
    <t xml:space="preserve">stronger tendency to take action (d = 2.18).
</t>
  </si>
  <si>
    <t xml:space="preserve">Mean difference scores, as a function of effort and acquisition, are presented in Fig. 4. Children increased the value of their own monster (M=1.09, 95% CI=[0.65, 1.52]) over the course of the experiment more than they increased the value of the identical monster (M=−0.03, 95% CI=[−0.39, 0.32], F(1,119)=25.55, p &amp;lt; .001, ηp 2 =0.18).
</t>
  </si>
  <si>
    <t>the B-brazen matching, G2(535) = 2516.72, p &amp;lt; .001 one-sided) (...) conditions participants reported significantly more higher numbers than expected based on the multinomial distribution (with p= 1/6 for each number in 18 trials).</t>
  </si>
  <si>
    <t>To test our remaining hypothesis and exploratory research question,
we conducted a 2 (helping: predicted vs. actual)×2 (target population:
friends vs. stranger) mixed-model ANOVA. There was a significant interaction
between helping and target population, F(1, 161)=25.96,
p &amp;lt; .001, η2p
=0.139.</t>
  </si>
  <si>
    <t xml:space="preserve">The short list induced better precision of color for 18 of 23 participants, t(22) = 3.29, p = .003, ηp2 = .33, 90% CI = [.08, .52], BF10 = 12.45; CBP: p = .005 </t>
  </si>
  <si>
    <t>More importantly, envy then significantly dropped from February 14 to February 15 (M = 3.05, SD = 1.52), Bonferroni-adjusted p &amp;lt; .001, d = 0.51, 95% CI for the mean difference = [−0.42, −0.90].</t>
  </si>
  <si>
    <t>children were significantly more likely to use the
label provided by the target of positive nonverbal signals
(62%) than to use the label provided by the target of
negative nonverbal signals (two-tailed binomial sign test,
N = 81), p = .045, g = .12.</t>
  </si>
  <si>
    <t xml:space="preserve">we
found a significant indirect effect of the inequality manipulation
(coding: 0 = low, 1 = high) via perceptions of
anomie on the wish for strong leadership, b = 1.05 (SE = 0.18),
95% CI = [0.69, 1.42]; and the direct
effect was no longer significant, direct effect: b = 0.42 (SE = 0.22),
95% CI = [–0.01, 0.85] </t>
  </si>
  <si>
    <t>These analyses, which included
both linear and nonlinear components, indicated that the
quadratic trends evident in Figure 1 were statistically significant
for all four types of digital activities. Concavedown
quadratic functions were evident for watching
films and TV on weekdays and weekends, for playing
games on weekdays and weekends, for using a computer
on weekdays and weekends, and for using a smartphone
on weekdays</t>
  </si>
  <si>
    <t>When we referenced both learning contexts, we found strong evidence that participants
expected the correct USs despite the previous extinction procedure</t>
  </si>
  <si>
    <t>There was no significant main effect of conversational seriousness, F(1, 267) = 1.99, p = .159, ηp
2 &amp;lt; .01, nor an interaction, F(1, 267) = 1.02, p = .315, ηp 2 &amp;lt; .01</t>
  </si>
  <si>
    <t>As predicted, participants were more satisfied with the punishment in the CEO condition (M=3.27, SD=1.36) than in the headquarters condition (M=2.79, SD=1.43), F(1,199)=5.89, p=.016, d=0.35</t>
  </si>
  <si>
    <t>The proportion of first-trial perseverations on the cWCST was not significantly related to pro-environmental behaviour change on the PEBT (Hypothesis 3) either, rS = ?.03, p = .691, n = 228, 95% CI [?.16, .10].</t>
  </si>
  <si>
    <t>A planned comparison showed that inversion significantly reduced sensitivity for trustworthiness,
t(131) = 7.28, p &amp;lt; 0.001, 95% of difference [0.05, 0.09], Cohen's d = 0.63, such that participants discriminated the faces better when upright (MA’ = 0.78, SD = 0.11) than inverted</t>
  </si>
  <si>
    <t>Participants selected the positive brand more often
than the negative brand in all conditions of Experiment 1
(see Table 1), M (SD) 95% CI dz 0.50 (0.68) [0.40, 0.60] 0.73</t>
  </si>
  <si>
    <t>Polyamorous participants’ ratings of
social distance for polyamorous targets (M = 2.30, SE = 0.23)
did not significantly differ from ratings of monogamous targets
(M = 2.14, SE = 0.19), t(621) = 􀀀0.65, p = 0.515.</t>
  </si>
  <si>
    <t>Specifically, in Study
2, general distinctiveness was significantly associated with all maladaptive
identity formation and social well-being indicators and
not with only one out of three or two out of three indicators ?0.13*</t>
  </si>
  <si>
    <t>Results
supported the pre-registered Attribution by Career-Type interaction, F
(2, 324)=113.26, p &amp;lt; .001, ηp
2=0.41. Participants attributed the
underrepresentation of women in male-dominated careers less to ability
than to a lack of motivation and to prohibitive norms, which did not
differ significantly from each other. Importantly, and as expected,
participants attributed the underrepresentation of men in femaledominated
careers significantly more to lack of motivation than to
prohibitive norms, which they saw as a larger causal factor than ability. Most notably, and as predicted, a lack of motivation (and ability) was
perceived as a more important factor in preventing men from entering
female-dominated careers than for women entering male-dominated
careers.</t>
  </si>
  <si>
    <t>Most notably, and as predicted, a lack of motivation (and ability) was
perceived as a more important factor in preventing men from entering
female-dominated careers than for women entering male-dominated
careers.</t>
  </si>
  <si>
    <t>VSDT was superior to both the EMDR condition and the CC, while the
EMDR condition was superior to the CC. This was supported by the BF
values for Model 1 1: VSDT &amp;gt; EMDR &amp;gt; CC 6.41</t>
  </si>
  <si>
    <t>There was a significant
indirect effect through stereotype activation and trust for behavioral
disapproval, b=0.08, SEboot=0.05, 95% CI=[0.02, 0.21]</t>
  </si>
  <si>
    <t xml:space="preserve">When participants received no information about collective re-
sponsibility (control condition), we replicated Experiment 1 and 2's eﬀects in a between-subjects design, as predicted: The entitativity ma-
nipulation increased perceptions of collective responsibility, which in
turn predicted greater perceptions of individual license (see Fig. 4, top
panel)—a signiﬁcant indirect eﬀect, b = 0.08 [0.02, 0.18] for the 95%
CI, bias-corrected and bootstrapped with 5000 resamples </t>
  </si>
  <si>
    <t>, there was no significant difference in the 
wait times of children whose group members did not 
wait for two marshmallows and children who did not 
receive information about their group’s delay behavior, 
χ 2 (1) = 0.16, p &amp;gt; .250, hazard ratio = 0.88, 95% CI = [0.46, 
1.66].</t>
  </si>
  <si>
    <t>On the other hand, when the SCR was examined, significantly larger responses were found in the conceal condition compared with the reveal condition, which  was confirmed by the BF, t(35) = 2.61, p = .013, d = 0.44, 95% CI = [0.09, 0.78], BF 10  = 3.35.</t>
  </si>
  <si>
    <t>As can be seen in Model 2,
perceived partner commitment predicted relationship survival over
and above own commitment, satisfaction, investment, and quality
of alternatives.</t>
  </si>
  <si>
    <t>That said, there was some evidence that this effect 
was  dampened  among  participants  who  evaluated 
Trump’s performance negatively—interaction with Phase 
1: b = 0.05, 95% CI = [0.002, 0.10], t(476) = 2.04, p = .042; 
interaction with Phase 2: b = 0.06, 95% CI = [0.01, 0.11], 
t(475) = 2.44, p = .015. However, even participants who 
evaluated Trump’s performance relatively negatively (at 
1 standard deviation below the mean, corresponding to 
an evaluation of 2.51 on a scale from 1–7) still reported 
feeling more positively toward his presidency right after 
the inauguration, both compared with right before the 
inauguration, b = 0.17, 95% CI = [0.02, 0.32], t(475) = 
2.25, p = .025, and (marginally) compared with early 
December, b = 0.13, 95% CI = [−0.02, 0.27], t(476) = 
1.68, p = .094. In fact, the regression lines never crossed 
over: Even participants who evaluated Trump’s perfor-
mance as “extremely negative” (an evaluation of 1 on 
a scale from 1–7) reported directionally (though not 
significantly) more positive attitudes after the inaugura-
tion compared with before the inauguration, b = 0.08, 
95% CI = [−0.13, 0.28], t(475) = 0.74, p = .460, and com-
pared with early December, b = 0.05, 95% CI = [−0.16, 
0.26], t(476) = 0.48, p = .631.</t>
  </si>
  <si>
    <t xml:space="preserve">We next tested whether expectations of a positive 
taste experience mediated the effect of label condition 
on vegetable selection among online participants’ hypo-
thetical selection decisions. Confirming our preregis-
tered hypothesis, results showed that expectations of a 
positive taste experience fully mediated the effect of 
label condition on vegetable selection (indirect effect = 
0.29, 95% CI = [0.25, 0.33]). </t>
  </si>
  <si>
    <t>Anonymity decreased perceptions of pain (b =.42, p = .007) but not surprise (b =-.05, p = .84) or character eva-luations (b = .03, p = .84)</t>
  </si>
  <si>
    <t xml:space="preserve"> To test this idea, the planned model regressed dysregulated gaming scores onto participant age and gender in the first step (neither were significant, ps &amp;gt; .08) and onto daily need frustration and gaming-need satisfaction in the second step (both were significant, ps &amp;lt; .05). Yet the interaction term entered in the third step of the model was itself not significant, β(519) = 0.140, p = .61, such that the third hypothesis was not supported.</t>
  </si>
  <si>
    <t>In the present study (n = 119), participants also looked proportionally more to the belief-congruent than to the belief-incongruent location, as indicated by a significantly positive DLS (M =
.35, SD = .54, 95% CI = [.25, .45]), t(118) = 7.16, p &amp;lt; .001, d = 0.65. The original findings were fully replicated.</t>
  </si>
  <si>
    <t xml:space="preserve">We performed a z-test on the average predicted directional effect sizes being different from the estimated effect sizes from Study 1b, and we found that predicted effect size for evaluative differences (0.45) is significantly different from its estimated effect size (0.33), z=4.77, p &amp;lt; .001. </t>
  </si>
  <si>
    <t xml:space="preserve">Looking at the associations between the WMC composite and mind wandering reveals that negative associations are found in [...] the awareness section, r(213) = −.16, p =
.018, 95% CI = [−.29, −.02], BF10 = 1.34. </t>
  </si>
  <si>
    <t xml:space="preserve"> As predicted, in the pay-for-report con-dition, the estimate of the indirect effect was positive and significant, 95% CI = [0.189, 0.563], which suggests that mediation was present </t>
  </si>
  <si>
    <t>Performance in the unimodal  haptic  test  was  better  than  in  the  cross-modal visual test (mean difference = 5.9%, SD = 6.9, 95% CI = [3.8, 8.0]), t(42) = 5.58, p &amp;lt; .001, d = 0.86, 95% CI = [0.50, 
1.20].</t>
  </si>
  <si>
    <t>The correlation between implicit and explicit association was r = –.39, p &amp;gt; .05, as illustrated in Figure 1.</t>
  </si>
  <si>
    <t>In contrast, the distribution
for correctly retrieved items differed; RCJs showed a negative skew,</t>
  </si>
  <si>
    <t>t prejudice significantly predicted malleability be
liefs:
participants judged targets for whom they felt greater prejudice as
less capable of change, F(1, 971)=15.70, p &amp;lt; .001,
2=.016.
.p</t>
  </si>
  <si>
    <t>None of the likelihood ratio tests that were planned in our
preregistration reached significance (all p &amp;gt;0.05 see,Tables 4, 5 for more details).</t>
  </si>
  <si>
    <t>Congruent with our hypotheses, one-tailed t-tests indicated that participants reported higher donation motivation in the  loyalty (M = 4.28, SD = 1.58) conditions compared to the control
condition (M = 3.55, SD = 1.40), Cohen’s d = 0.49, 95%CI [0.26, 0.72], t(308) = 4.33,
95%CI = [0.39, 1.06], p &amp;lt; 0.001</t>
  </si>
  <si>
    <t>only vocabulary ability was a significant predictor of performance (b = 0.34, Z = 3.05, p = 0.002;</t>
  </si>
  <si>
    <t>Contrary to Study 1, but consistent with
predictions and the
finding
of Pennycook and colleagues
(2015), cognitive ability and cognitive
reflectio
were nega
tively
correlated with PPBS to a statistically
significan
de
gree. ?0.19 [?0.33, ?0.03]</t>
  </si>
  <si>
    <t>Participants
from the UK and the US showed greater underprecision
(M = –23.53, SD = 15.46) than participants from Hong</t>
  </si>
  <si>
    <t>There was a small but statistically significant relationship between planfulness scores and the rated
descriptiveness of the free responses (r  = .19, p = .02), [as well as between planfulness scores and planfulnessratings (r = .23, p &amp;lt; 0.001]</t>
  </si>
  <si>
    <t>There were
no differences between gradual reduction and
control participants in intentions at any of the
follow-ups (p = 0.858, p = 0.668, and p = 0.882
for T3, T4, and T5, respectively).</t>
  </si>
  <si>
    <t>Specifically, 82% of participants in Experiment 1A, 88% of participants in Experiment 1B, and 88% of participants in Experiment 1C had shorter actual distances than mean desirability distances (p &amp;lt; .001 for all three experiments according to a binomial test).</t>
  </si>
  <si>
    <t>Table 4, second set of columns</t>
  </si>
  <si>
    <t>Finally, supporting Hypothesis 3 and replicating the correlations
in Studies 1 (r ¼ .38) and 2 (r ¼ .27), social distance correlated
with target city spatial distance across both conditions
(r ¼ .48, p ¼ .004, 95% CI [0.17, 0.71]; Figure 5a).</t>
  </si>
  <si>
    <t>Examining simple effects, we found that there was an effect of dosage (...) for purity transgressions, b = 4.299, SE = 1.425, p = .003.
[...] However, unlike in Study 2, there was no relationship between the relative impurity of a transgression and the influence of dosage on moral judgments of that transgression, r(14) = −.121, p = .655, indicating that the significant result in the previous study should be interpreted with caution.</t>
  </si>
  <si>
    <t>There was no main effect of order of measures, F(1, 172) = 0.16, p &amp;gt; .25, ηp 2 = .001, and the interaction of the two factors was nonsignificant, F(1, 172) = 3.49, p = .063, ηp 2 = .02 (see Fig. 9a)</t>
  </si>
  <si>
    <t>Table 1: PA &amp; Chat (r = .17**, p &amp;lt;.01); NA &amp; Chat (r = .02, ns); SWLS &amp; Chat (r = -.001, ns)</t>
  </si>
  <si>
    <t>Importantly, in line with H3, there was a significant interaction between these variables, F(1,488) =
132.97, p &amp;lt; .001, eta2 = .08. To decompose this interaction, we examined the simple condition effects
(see Table 8). These revealed that the positive effect of high (vs. low) competence on role modeling
was almost ten times greater among moral supervisors, F(1,488) = 480.63, p &amp;lt; .001. eta2 = .48, than it was among their immoral counterparts, F(1,488) = 26.23, p &amp;lt; .001, eta2 = .05</t>
  </si>
  <si>
    <t>Participants with a more liberal political orientation were more likely to support resettling refugees, b= 0.77, 95% CI = [0.68, 0.86], SE= 0.046, β= 0.63, t(400) = 16.75, p&amp;lt; .001, consistent with prior research (Altemeyer, 1998).</t>
  </si>
  <si>
    <t>Results for hypothesis tests are presented in Table 1 (...) Specifically, means were lower in the descending condition for enhancement motives (...) hypotheses were not supported for all other variables [Results extracted from Table 1,  Social: x2(1) = 1.72, p =.19 | Enhancement: x2(1) = 6.01, p =.01 | Conformity: x2(1) = .001, p=.97 | Coping: x2(1) = .16, p=.69]</t>
  </si>
  <si>
    <t>When
asked which strategy they should choose on the basis of rational analysis, 335 out of 400 participants (83.8%) accurately reported that they should go for it. In the experimental condition, 153 out of 205 participants (74.6%) answered correctly, while in the control condition, 182 out of 195 participants (93.3%) answered correctly. This provides reasonable support for Criterion 2.</t>
  </si>
  <si>
    <t>The 2 by 2 mixed ANOVA on the proportion of human‐coded spatial
details indicated a significant main effect of Veracity, F (1, 77) = 8.68,
p = 0.004, f = 0.36, suggesting that—contrary to the expectation—
deceptive answers (M = 9.65, SD = 6.10) contained more spatial
details than truthful ones (M = 7.46, SD = 4.87) regardless of Question
focus. A significant main effect of Question focus, F (1, 77) = 52.51,
p &amp;lt; 0.001, f = 0.82, showed that answers to the route description
question (M = 11.29, SD = 6.04) contained more spatial details than
those to the time schedule question (M = 5.73, SD = 3.27). The interaction
was not significant, F (1, 77) = 0.18, p = 0.674, f = 0.05.</t>
  </si>
  <si>
    <t>intended planning during the week to come (r=.328, N=201, p &amp;lt; .001).</t>
  </si>
  <si>
    <t>The PROCESS model confirmed that both the direct effect (b = 2.10, 95% CI = [0.03, 4.16]) and indirect effect (b = 0.28, 95% CI = [0.01, 0.70]) of the emotion manipulation on behavior were significant, thereby confirming the causal efficacy of felt gratitude.</t>
  </si>
  <si>
    <t>An independent samples t-test comparing the two conditions revealed no significant difference between compensation in the joint exception and the routine condition (Exp1: t(246) = 0.79, p = .428, d = 0.09</t>
  </si>
  <si>
    <t>nor a significant WHPP × BMI interaction b = 0.01, p = 0.82, Cohen’s d = 0.03).</t>
  </si>
  <si>
    <t>In Experiment 3b, participants were willing to invest a significantly larger portion of the last $1 million in the fuel-efficient plane when they had already invested $99 million in that same project (sunk cost for self) than when they had invested the $99 million in other projects (no sunk cost for self), Ms = 64.99% vs. 43.77%, t(291) = 4.48, p &amp;lt; .0001, d = 0.52, 95% CI = [.29, .76], BF = 1,445</t>
  </si>
  <si>
    <t>The irrelevant and negative questions were statistically different, OR=1.46, 95% CI [1.23, 1.72], p &amp;lt; .001.</t>
  </si>
  <si>
    <t>The irrelevant question was also associated with below-baseline but above-chance levels of repeated action, OR=0.69, 95% CI [0.59, 0.81], p &amp;lt; .001</t>
  </si>
  <si>
    <t>The effect of viral (vs. nonviral) outrage on negative impressions of the target commenter were mediated by sympathy toward the offender, 95% CI for the indirect effect = [0.088, 0.253], path a: b = 0.37, path b: b = 0.45.</t>
  </si>
  <si>
    <t>while Loyalty had the opposite relationship (B=−0.281, p &amp;lt; .001; see Table 7). Consistent with Study 1, Loyalty
and Concern for Others have standardized coefficients with the largest
absolute value and explain the greatest amount of unique variance in
the regression model</t>
  </si>
  <si>
    <t>The proportion of environmentally friendly choices was positively related to self-report measures of environmental attitudes, environmental concern, environmental identity, ecological behavior, and biospheric value orientation while being negatively related to egoistic value orientations. (...) all correlations were significant at the corrected significance level of a = .0083, all p &amp;lt; .001</t>
  </si>
  <si>
    <t>The results of the fixed effects estimation are shown in Table 2 and are represented graphically in Fig. 5. (...) A significant fixed effect of similarity to positive beans demonstrated that as similarity to positive learned beans increased, the classifications were more positive.</t>
  </si>
  <si>
    <t>There was also no significant interaction of feature relevance and time interval F(2,22) = 1.998, p =.110, np2 = .154.</t>
  </si>
  <si>
    <t>On the desire for thinness, we found no significant effects of the linear contrast, β = 0.06, t(124) = 0.76,
p =0.44, or of the residual contrast, β = −0.06, t(124) = −0.69, p = 0.49.</t>
  </si>
  <si>
    <t>We then conducted the same indirect effects model as in Study 1, and again found indirect effects of
both the negative, b=-0.168, Boot SE=0.060, 95% CI [-0.287, -0.055], and positive, b=0.099, Boot
SE=0.054, 95% CI [0.007, 0.222] conditions, such that, in the negative condition, positive attitudes
predicted less entitativity and less collective responsibility, while, in the positive condition, more positive
attitudes predicted more entitativity and more collective responsibility. No indirect effect emerged in the
neutral condition, b=0.069, Boot SE=0.049, 95% CI [-0.024, 0.170]. Additionally, the negative condition
differed significantly from the positive and neutral conditions, b=-0.237, Boot SE=0.079, 95% CI [-0.401,
-0.089], while the positive condition did not differ significantly from both the negative and neutral
conditions, b=0.030, Boot SE=0.071 95% CI [-0.102, 0.174].</t>
  </si>
  <si>
    <t>Simple effects analyses indicated that weakly fused individuals (-1 SD)
were more likely to endorse public punishment after private trans
gressions
than public transgressions (ß=-0.34, t(515)=-2.76,
p=.006)</t>
  </si>
  <si>
    <t>underestimated how positive recipients would feel, paired-samples t(77) = 8.43, p &amp;lt; .0001, d = 0.96</t>
  </si>
  <si>
    <t xml:space="preserve">The predicted main effect of rarity/commonness was also sig
2
nificant,
F(1, 111)=223.51, p &amp;lt; .001,
.p
0.668, 95% CI of the
difference [15.88, 20.84]. Percentile estimates were higher for beha
viors
in the common set (M=58.76, SD=9.71) than for behaviors in
the uncommon set (M=40.39, SD=10.89). In fact, the means for the
two sets were significantly above and below the 50th percentile, re
spectively,
t(111)=9.55, p &amp;lt; .001, d=0.90, 95% CI [6.94, 10.57]
and t(111)=-9.34, p &amp;lt; .001, d=-0.88, 95% CI [-11.65,
-7.57].
</t>
  </si>
  <si>
    <t>[positive traits] fragment task: F(1, 259) = 2.16, p = .143, ηp 2 = 0.01, 
[negative traits] F(1, 259) = 0.81, p = .370, ηp 2 = 0.00,</t>
  </si>
  <si>
    <t>Consistent with our prediction that using nonlinear
pricing would not change our results, and inconsistent
with Wilson and Stolarz-Fantino’s (2018) contention that
it would, results showed no interaction between menu
type (bundled vs. regular) and pricing (linear vs. nonlinear),
F(1, 606) = 0.25, p = .62, η2 = .00, Bayes factor =
0.14 (Fig. 1).</t>
  </si>
  <si>
    <t>TAP scores were positively associated with (...) the number of voodoo doll pins (Figure 2, Table 2).</t>
  </si>
  <si>
    <t>The results confirmed that our difficulty manipulation had the expected effect, with longer occlusion
durations leading to more variable performance in both the position, F(2,116) = 123.81, P&amp;lt;0.001, n2p = .68, and accumulation, F(2,116) = 42.44, P&amp;lt;.001, np2 = 0.42 tasks.</t>
  </si>
  <si>
    <t>Consistent with the bivariate correlation results, Black/poor automatic associations uniquely predicted less support for redistribution (see Fig. 1), b=-0.19, SE=0.07, p=.009.</t>
  </si>
  <si>
    <t>Participants in the sampling condition sampled, on average, 6.25 times from the uncertain option (Mdn = 5, SD = 4.72), almost exactly replicating the number of samples observed in Study 1. Again, there was sampling error, and the experienced relative frequencies of the rare delays tended to be lower than their objective probabilities: For an objective probability of .1, the median experienced relative frequency was 0, whereas for an objective probability of .2, the median experienced relative frequency was .167. For both probabilities, the rare delay was credibly more likely to be underexperienced than overexperienced (95% CIs for the probability of underexperiencing were [0.59, 0.64] and [0.54, 0.59], respectively).</t>
  </si>
  <si>
    <t>In the loss condition, a large repulsion effect was present, as confirmed by a one-tailed, one-sample t-test on RSTs, t(30) = 7.18, p &amp;lt; .001, d = 1.29, 95% CI = [0.81, 1.76].</t>
  </si>
  <si>
    <t>We found that the probability of reporting a matching outcome across 18 trials was significantly higher than expected based on the probability distribution assuming full honesty (a binomial distribution with p=1/6) in both the A-honest condition, G2(93) =1287.99, p &amp;lt; .001 one-sided</t>
  </si>
  <si>
    <t>Participants in the low inequality condition believed that they were more likely to rise up the economic
ladder than participants in the high inequality condition, β=0.98, t(1110)=2.02, 95% CI [0.03, 1.94],
p=.043, partial η2=0.004 (Fig. 4). The interaction between condition</t>
  </si>
  <si>
    <t>Likewise, primary participants in the friend condition predicted
they would need to approach significantly more people (M=3.88,
SD=1.59) than they had to (M=3.07, SD=0.26), t(80)=4.54,
p &amp;lt; .001, dav=0.70, 95% CI=[0.43, 0.97]. The underestimation
effect again held for requests of friends (our first exploratory research
question).</t>
  </si>
  <si>
    <t>[strangers] 
'dA paired samples t-test revealed help-seekers in the stranger condition predicted they would need to approach significantly more people (M=9.39, SD=6.97) than they had to (M=4.54, SD=2.31), t(81)=6.30, p &amp;lt; .001, dav=0.93, 95% CI=[0.66, 1.20].</t>
  </si>
  <si>
    <t>and lower probability of guessing the color, t(22) = 8.50, p &amp;lt; .001, ηp2 = .77, 90% CI = [.58, .84], BF10
= 6.4 × 105,</t>
  </si>
  <si>
    <t>End-of-study CS pleasantness ratings in the new context provided some evidence for an EC effect in the extinction conditions</t>
  </si>
  <si>
    <t>Only when participants were asked a follow-up question did they adjust their
answers. This adjustment was upward if they were next asked what women actually want</t>
  </si>
  <si>
    <t>Our primary
confirmatory hypothesis for UAP constructs received weak
support. Positive correlations between UAP constructs and
power (summary r = .04, SE = 0.04, 99% CI: ?0.056,
0.126) and power residual (summary r = .06, SE = 0.04,
99% CI: ?0.028, 0.153) were, on average, very weak and
approached zero. For secondary confirmatory analyses,
Machiavellianism and psychopathy manifested about weak
correlations on power and slightly stronger, but still weak,
relations of power residual, whereas grandiose narcissism
and sadism manifested correlations approaching zero</t>
  </si>
  <si>
    <t>The interaction was not significant, F(1, 267) = .06, p = .811, ηp 2 &amp;lt; .01.</t>
  </si>
  <si>
    <t>As expected, we found a significant pathway from condition to
experience to suffering to punishment satisfaction 95% CI=[0.0006, 0.0182].</t>
  </si>
  <si>
    <t>we observed an interaction between Face Orientation and Trait Condition, F (1, 293) = 12.49, p &amp;lt; 0.001, η2 partial =0.041.</t>
  </si>
  <si>
    <t>IAT scores indicated
an implicit preference for the positive over the
negative brand in all task conditions of both experiments,
ps &amp;lt; .001, dzs &amp;gt; 0.42 [Specified results in Table 1]</t>
  </si>
  <si>
    <t>Open participants’ ratings of social distance for targets in open
relationships (M = 2.44, SE = 0.19) did not significantly differ
from their ratings of monogamous targets (M = 2.06, SE = 0.16),
t(621) = 􀀀1.95, p = 0.051.</t>
  </si>
  <si>
    <t>Specifically, in Study
2, general distinctiveness was significantly associated with all maladaptive
identity formation and social well-being indicators and
not with only one out of three or two out of three indicators,
respectively. ?0.23***</t>
  </si>
  <si>
    <t>suggested, as in Study 2, that both perceived discrepancy in motivation,
a*b=0.03, SE=0.01, z=2.31, p=.021, CI.95 (0.01, 0.06), and prohibitive
norms, a*b=0.06, SE=0.02, z=2.97, p=.003, CI.95 (0.02,
0.09), but not perceived discrepancy in ability, a*b=0.01, SE=0.01,
z=1.31, p=.189, CI.95 (−0.01, 0.03), partially accounted for the
relationship between perceived status discrepancies and the tendency
to support social action more for male- than for female-dominated careers</t>
  </si>
  <si>
    <t>Additionally and
consistent with our pre-registered hypotheses, the main effect of condition
on positive affect was significant when controlling for baseline
happiness and socially desirable responding, F(1,1287)=3.590,
p=.029 one-tailed.</t>
  </si>
  <si>
    <t>Inconsistent with Hypothesis 4, there is no statistically significant
interaction between moral choice and moral frame on DG donations,
b=−0.32, SE=0.40, t=−0.79, p=0.429.</t>
  </si>
  <si>
    <t>These  tests  revealed  no  significant  difference between conditions when the dependent measure was either […] mean HR, t(34) = 0.89, p = .378, d = 0.15, 95% CI = [–0.18, 0.48], BF 01  = 3.81 (see Table 1).</t>
  </si>
  <si>
    <t>The effect of partner-focused reasons on relationship survival was
marginal over and above the investment model components (satisfaction,
investment, alternatives, and commitment; Model 2),</t>
  </si>
  <si>
    <t>Results showed no differences between the taste-
focused labels from any two schools on participants’ 
expectations of a positive taste experience (bs for dif-
ferences between schools = 0.02–0.22, all ps &amp;gt; .134, 
ds = 0.01–0.17). Absent the school context, the taste-
focused labels used at School E (where the intervention 
was least effective) did not elicit decreased expectations 
of a positive taste experience compared with the taste-
focused labels used at School A (where the intervention 
was most effective), b = –0.02, 95% CI = [–0.34, 0.30], 
p = .92, d = –0.01, 95% CI = [–0.27, 0.24].</t>
  </si>
  <si>
    <t xml:space="preserve"> Perceived pain (b ¼ .49, p &amp;lt; .001), surprise (b ¼ 31, p &amp;lt;
.001), and character (b ¼ .17, p ¼ .01) all uniquely predicted
outrage</t>
  </si>
  <si>
    <t xml:space="preserve">The second model examined internalizing 
problems  and  showed  that  need  satisfaction,  β(519)  = 
−0.067, p = .060, need frustration, β(519) = 0.584, p &amp;lt; .001, 
and dysregulated GAMING, β(519) = 0.075, p = .038, </t>
  </si>
  <si>
    <t>Similarly, we found that the predicted effect size for explanatory differences (−0.41) is significantly different from its estimated effect size (−0.21), z=−8.37, p &amp;lt; .001.</t>
  </si>
  <si>
    <t>In contrast, in the pay-for-accuracy condition, the indirect effect was not significant, as the 95% CI contained zero [−0.021, 0.306]; these results suggest that no mediation was present.</t>
  </si>
  <si>
    <t>Lastly, and consistent with the analyses reported earlier, target political orientation did not predict malleability beliefs about the target (B=0.04, p=.283; pathway c'),</t>
  </si>
  <si>
    <t xml:space="preserve"> However, except for the effect of care rhetoric on donation motivation (Model 1), the between condition effects remained significant and diminished only moderately (See Table 7).
Table 7:  Loyalty 0.36 0.16 2.26 p = 0.02</t>
  </si>
  <si>
    <t>There was a clear improvement in recall performance across all three test sessions (delay1; delay2) [ z = 8.00, p &amp;lt; 0.001, z = 7.61, p &amp;lt; 0.001]</t>
  </si>
  <si>
    <t>The correlation between individualism score on the Singelis Self-Construal Scale and overprecision was not significant, r (384) = 0.04, p = 0.45.</t>
  </si>
  <si>
    <t>As hypothesized, the indirect effects (the ab paths) of condition on receptiveness and attitude change were mediated by value congruence—attitude change: indirect effect b = -0.04, 95% CI [-0.09,0.00], p = .02.</t>
  </si>
  <si>
    <t>The count of participant swipe-ins to the recreation center during the winter
term did not correlate with ratings of the written goals.</t>
  </si>
  <si>
    <t>and not on the 14th intervention
day (T3), or 6 months (T5) after the
intervention (p’s = 0.397 and 0.177).</t>
  </si>
  <si>
    <t>Consistent with the predictions, there was not a significant main effect of the participants’ relationship orientation on [...] birth control, F(3, 626) = 1.58, p = .193, ηp2 = .01</t>
  </si>
  <si>
    <t>The difference
between the indirect effects was not significant, b =
-.08, 95% CI = [-1.08, 0.36], implying that Honesty-
Humility did not moderate the mediation effect of perceived
conflict.</t>
  </si>
  <si>
    <t>There was no main effect of order, F(1, 172) = 0.36, p &amp;gt; .25, ηp 2 = .002, or interaction of the two factors, F(1, 172) = 3.77, p = .054, ηp 2 = .02 (see Fig. 9b). Notably, the effect of profile was significant no matter whether mediators were presented first, F(1,86) = 19.30, p &amp;lt; .001, 95% CI for the mean difference = [1.62, 2.34], ηp 2 = .18, or last, F(1, 85) = 5.64, p = .02, 95% CI for the mean difference = [0.97, 1.79], ηp 2 = .062.</t>
  </si>
  <si>
    <t>PA, but not NA or life satisfaction, was also related to the extent to which participants predicted they would enjoy chatting with the targets.</t>
  </si>
  <si>
    <t>Results H4: This revealed that the competence main effect had a significant indirect effect on role modeling through emulation (c = .56, 95% bias corrected C.I.: 0.47 to 0.66),</t>
  </si>
  <si>
    <t>χ2(1, N = 400) = 77.31, p &amp;lt; .001, r = .44, 95% CI = [.35, .52].</t>
  </si>
  <si>
    <t>Likewise, for the LIWC‐coded spatial details, there was no Veracity main effect, F (1, 77) = 3.04, p =
0.085, f = 0.20, and no significant interaction effect between Veracity and Question focus, F (1, 77) =
0.01, p = 0.911, f = 0.01. A significant Question focus main effect, F (1, 77) = 6.94, p = 0.010, f = 0.30,
indicated that answers to the route description question contained more spatial details, (M = 3.37, SD =
3.34) than to the time schedule question (M = 2.26, SD = 2.61).</t>
  </si>
  <si>
    <t>We also explored how demographic factors impacted the observed effects Age, gender, employment
status, job category, and years employed were all unassociated with likelihood of blowing the whistle
and adding these demographic factors in a second step of the regression did not improve the model
(p=.581) [statiscal result not related to hypothesis]</t>
  </si>
  <si>
    <t>The proportion of environmentally friendly choices was positively related to self-report measures of
environmental attitudes (...) all correlations were significant at the corrected significance level of alpha =
.0083, all p &amp;lt; .001 (see Table 1).</t>
  </si>
  <si>
    <t>The results of the fixed effects estimation are shown in Table 2 and are represented graphically in Fig. 5. (...) An interaction between these two variables indicated that similarity to negative had a stronger effect at lower levels of similarity to positive learned beans. That is, as the similarity to negative learned beans increased, the classifications were less positive, especially when the similarity to positive learned beans was low.</t>
  </si>
  <si>
    <t>Regarding the main hypotheses (H1a, H1b and H2), we replicated the results from our prior studies. Again, we observed a null effect of processing mode on social mindfulness (for all three scores p &amp;gt;0.77, BF01 &amp;gt; 8.79, d ≤ 0.03; see Table 5)</t>
  </si>
  <si>
    <t>We did not find a significant interaction of fusion and publicness on
directly reporting transgressive group members in either Study 2a
(p=.24) or Study 2b (p=.27), suggesting that when strongly fused
members encounter public ingroup transgressions, they are especially
motivated to have their group publicly distance itself from the transgressor
but not do so themselves. This finding strengthens (!) our argument
that public punishment enacted by the group serves a special function
of maximizing group reputation.</t>
  </si>
  <si>
    <t xml:space="preserve"> As expected, we
also observed a significant correlation between expressers’
competence ratings and their expectations about
their recipient’s mood (r = .32, p &amp;lt; .01).</t>
  </si>
  <si>
    <t xml:space="preserve">Consistent with our prediction that using nonlinear pricing would not change our results, and inconsistent with Wilson and Stolarz-Fantino’s (2018) contention that it would, results showed no interaction between menu type (bundled vs. regular) and pricing (linear vs. nonlinear), F(1, 606) = 0.25, p = .62, η2 = .00, Bayes factor = 0.14 (Fig. 1). </t>
  </si>
  <si>
    <t>TAP scores were (...) positively associated with revengeful aggression motivations, r(175) =.41 [.28, .56], p &amp;lt; .001.</t>
  </si>
  <si>
    <t>Black/poor automatic associations uniquely predicted
less support for redistribution (see Fig. 1), b=−0.19, SE=0.07,
p=.009. There was no relation between White/poor automatic associations
and support for redistribution, b=0.002, SE=0.07, p=.98.</t>
  </si>
  <si>
    <t>This interaction between learning mode and type of rare delay (as represented by the probability of the longer delay) and the simple effects of learning mode given different types of rare delay were corroborated by the results of the mixed-effects logistic regression (Table 4). Note that the description–experience gap emerged irrespective of whether sampling was fixed so that the experienced relative frequencies perfectly matched the objective probabilities.</t>
  </si>
  <si>
    <t xml:space="preserve">Children increased the value of their own monster (M=1.09, 95% CI=[0.65, 1.52]) over the course of the experiment more than they increased the value of the identical monster (M=−0.03, 95% CI=[−0.39, 0.32], F(1,119)=25.55, p &amp;lt; .001, ηp2 =0.18). (...) However, there was no effect of the amount of effort they invested in the build task on value-change (high: M=0.30, 95% CI=[−0.05,
0.64], low: M=0.76, 95% CI=[0.30, 1.21], F(1,119)=1.88, p=.173, ηp2 =0.016). All other effects and interactions were non-significant. </t>
  </si>
  <si>
    <t>In the gain condition, there was no attraction effect, t(30) = −5.57, p &amp;gt; .250, d = −1.00, 95% CI = [−1.43, −0.56], but another clear repulsion effect (as reflected in the sign of the t value and effect size).</t>
  </si>
  <si>
    <t>However, although directionally consistent with the hypothesis,
condition failed to reach traditional levels of significance,
β=0.86, t(1107)=1.45, 95% CI [−0.31, 2.02], p=.15, partial
η2=0.002.</t>
  </si>
  <si>
    <t>Analysis of our dependent measure of target-preference generalization to the best friend indicated that, although results were in the predicted direction, the children did not significantly prefer the friend of the target of positive nonverbal signals (56%) to the friend of the target of negative nonverbal signals</t>
  </si>
  <si>
    <t>In the extinction procedure, the EC effects for the context of CS-alone trials and the new context were of comparable magnitude, BF01= 5.10(one-tailed)</t>
  </si>
  <si>
    <t>We tested relational evaluation as a mediator of the effect of partner behavior on basic needs using
Hayes’s Process (2013; Model 4; see Figure 3). The indirect effect of relational evaluation was
significant, 1.02, 5000 bootstrap 95% confidence interval [−1.30, -.77]. The mediation was partial;
the direct effect of partner behavior remained significant after controlling for relational evaluation,
b = -.47, t(268) = −4.01, p &amp;lt; .001.</t>
  </si>
  <si>
    <t>M = 0.28 (0.47) 95% CI = [0.20, 0.33] dz = 0.59</t>
  </si>
  <si>
    <t>IAT scores indicated
an implicit preference for the positive over the
negative brand in all task conditions of both experiments,
ps &amp;lt; .001, dzs &amp;gt; 0.42. [Specified result in Table 1]</t>
  </si>
  <si>
    <t>Lastly,
swinging participants’ ratings of social distance for swinger
targets (M = 2.41, SE = 0.24) did not significantly differ
from ratings of monogamous targets (M = 2.09, SE = 0.20),
t(621) = 􀀀1.26, p = 0.210).</t>
  </si>
  <si>
    <t>At the longer retention
interval, a slight and non-significant difference was found in the
opposite direction between the massed (M = 1.79, SE = 0.34)
and distributed condition (M = 2.34, SE = 0.40), t(137) = 1.05,
p = 0.297.</t>
  </si>
  <si>
    <t>Both H1 and H2 results remain similar
after adjusting for age, gender [not female=0, female=1] and education
[0=less than college, 1=college or above] in the model: Main
effect of choice frame OR=3.74 [2.45, 5.72], Z=6.11, p &amp;lt; 0.001;</t>
  </si>
  <si>
    <t xml:space="preserve">we examined the average decision time (in seconds) in the conceal condition (M = 14.52 s, 95% CI = [13.34, 15.69]) and reveal condition (M = 13.62 s, 95% CI = [12.55, 14.69]). A paired-samples t test comparing the two conditions showed no significant difference, t(35) = 1.44, p = .160, d = 0.24, 95% CI = [–0.09, 0.57]. </t>
  </si>
  <si>
    <t>As hypothesized, taste-focused labels shifted people’s reason for choosing vegetables from being primarily for health benefits to being more for a tasty experience compared with basic labels (b = 0.81, 95% CI = [0.73, 0.89], p &amp;lt; .001, d = 0.58, 95% CI = [0.53, 0.64]) and to a greater extent compared with health-focused labels (b = 1.08, 95% CI = [1.00, 1.16],  p &amp;lt; .001, d = 0.80, 95% CI = [0.74, 0.86]). Health-focused labeling shifted people’s reason for choosing vegetables to be more toward health benefits compared with basic labeling (b = –0.27, 95% CI = [–0.35, –0.19], p &amp;lt; .001,  d = –0.20, 95% CI = [–0.26, –0.14]).</t>
  </si>
  <si>
    <t>generosity, ICC = .82, F(43, 3483) = 6.6, 95% CI = [.74, .89].</t>
  </si>
  <si>
    <t>Online context and anonymity did not interact, F(1,264) = 1.37, p = .24, n2 = .005.</t>
  </si>
  <si>
    <t>). The second model examined internalizing 
problems  and  showed  that  need  satisfaction,  β(519)  = 
−0.067, p = .060,</t>
  </si>
  <si>
    <t xml:space="preserve"> Analyses of first saccades, how-
ever, did not reproduce the original findings: Participants 
looked more often at the object location (n = 56) than 
at the no-object location (n = 30) only in the true-belief 
condition, p = .007 (binomial test), d = 0.34, but did not 
look differentially in the false-belief condition—no object:  
n = 33, object: n = 50; p = .078 (binomial test), d = −0.20 
(but  note  a  tendency  to  the  belief-incongruent  loca-
tion according to Bayesian analyses: BF 10  = 1.335). </t>
  </si>
  <si>
    <t xml:space="preserve">Personal characteristics of forecasters, such as their gender, age,
education level, whether they were an academic or not, and their po-
litical ideology on social issues were not consistently associated with
the direction and extremity of predictions, nor with forecasting accu-
racy (Tables 3 and 4). </t>
  </si>
  <si>
    <t xml:space="preserve">Personal characteristics of forecasters, such as their gender, age, education level, whether they were an academic or not, and their political
ideology on social issues were not consistently associated with the direction and extremity of predictions, nor with forecasting accuracy (Tables 3 and 4). [Results in Table 3]
</t>
  </si>
  <si>
    <t>the distributions for both
RCJs and JOLs for incorrect prejudgment recall were
highly positively skewed</t>
  </si>
  <si>
    <t>As expected, target and participant political orientation interacted
to predict prejudice, B=0.09, SE=0.004, t=24.59, p &amp;lt; .001
(pathway d</t>
  </si>
  <si>
    <t>Table 6 of suplementary info: Care Retweet 4.19 3.43 0.76 [0.4, 1.11] 0.42 4.22 p &amp;lt; 0.001</t>
  </si>
  <si>
    <t>Model A: b = 0.04, SE = .02, 95% CI [0.012; 0.084],
[relationship status as added moderator]</t>
  </si>
  <si>
    <t>Recognition performance was very high (M = 0.88, SD = 0.32) and showed significant improvements
across the week: performance was lower at T1 than subsequent tests (b = 0.28, Z = 4.94, p &amp;lt; 0.001),
and continued to improve between T2 and T3 (b = 0.39, Z = 3.48, p &amp;lt; 0.001).</t>
  </si>
  <si>
    <t>However, neither of the replacement apophenia measures was significantly correlated with PPBS</t>
  </si>
  <si>
    <t>Contrary to our predictions,
we did not find these effects with participants
in the gradual reduction condition
compared to the control condition for either
measure, at either time point (frequency and
percent at 1 month, p’s = 0.701 and 0.796, and
6 months, p’s = 0.919 and 0.855).</t>
  </si>
  <si>
    <t>table 4, penultimate set</t>
  </si>
  <si>
    <t>We found support for the mediating role of distraction
across all outcomes (see Table 6). To the extent people felt more distracted
when they used their phones, they reported feeling less enjoyment,
worse affect, less socially connected, more bored, and slower
time perception. [indirect effect = 0.29]</t>
  </si>
  <si>
    <t>This revealed that the competence main effect had a significant indirect effect on role modeling through emulation (...) but not inspiration (gamma = .01, 95% C.I.: 0.02 to 0.05) | The morality main
effect also had a significant indirect effect through emulation (...), but not inspiration (gamma = .01, 95% C.I.: 0.03 to 0.05) | The two-way interaction likewise had a significant indirect effect through emulation (...) but not inspiration (gamma = .01, 95% C.I.: 0.01 to 0.02).</t>
  </si>
  <si>
    <t>χ2(1, N = 335) = 50.84, p &amp;lt; .001, r = .39, 95% CI = [.29, .48].</t>
  </si>
  <si>
    <t xml:space="preserve">An independent samples t-test comparing the two conditions revealed no significant difference between compensation in the joint exception and the routine condition (Exp1: t(246) = 0.79, p = .428, d = 0.09  </t>
  </si>
  <si>
    <t>In line with Hypothesis 2 and the results of Study 1, the link between last fixation and subsequent choices was weaker for the exogenous than for the autonomous group (OR = 0.07, 95% CI = [0.06,
0.09], z = −20.67, p &amp;lt; .001; see Table 2).</t>
  </si>
  <si>
    <t>The proportion of environmentally friendly choices was positively related to self-report measures of (...) environmental concern (...) all correlations were significant at the corrected significance level of alpha = .0083, all p &amp;lt; .001 (see Table 1).</t>
  </si>
  <si>
    <t>To assess whether including condition as a factor improved goodness of fit, we used χ2 -distributed
likelihood ratio and its associated pvalue. The log-Likelihood for the simple model with 6 degrees of
freedom (M1) was −10,582. The more complex with condition as a fixed effect (M2) had 7 degrees of
freedom and −10,580 log- Likelihood. The change in log-Likelihood between these two models was
marginally significant; χ2(1)=3.115, p=.078. That is, condition marginally improved goodness of fit.</t>
  </si>
  <si>
    <t>Based on the random slope interpretation, we can confirm that there was a spillover effect of fictitious
tax-related experiences on motivational postures (H4). If individuals previously imagined having
positive experiences, they reported being more committed toward taxes and felt more captured by the
authorities, while they stated being less resistant, disengaged, and in favor of playing games with the
authorities. (...) However, the random slope of valence indicated that the effect of valence differed
between the six dependent variables (σ2=0.19, χ2 (3)=44.13, p &amp;lt; .001)</t>
  </si>
  <si>
    <t>On the measure of discrepancy between actual and ideal body images, none of the predicted interactions were significant.</t>
  </si>
  <si>
    <t>The
most unhealthy quartile of participants on a given behavior—those who
were in the bottom quartile and whose actual percentiles necessarily
centered around 12.5—significantly overestimated their percentiles
(Mestimate=37.53, SD=20.12), t(9)=3.943, p=.003, drm=1.79,
95% CI [10.71, 39.52].4</t>
  </si>
  <si>
    <t xml:space="preserve">Consistent with our prediction that using nonlinear
pricing would not change our results, and inconsistent
with Wilson and Stolarz-Fantino’s (2018) contention that
it would, results showed no interaction between menu
type (bundled vs. regular) and pricing (linear vs. nonlinear),
F(1, 606) = 0.25, p = .62, η2 = .00, Bayes factor =
0.14 (Fig. 1). </t>
  </si>
  <si>
    <t>Offering mixed evidence of the TAP’s external validity, TAP scores were unassociated with the number of physical fights participants had been in over the past 5 years, yet were positively associated with those over the past year (Table 3) [table 3: X = 0.01, p = .934)</t>
  </si>
  <si>
    <t>Our second hypothesis was that autistic children would be less prone to false memories than  typically developing children. A one-sided independent samples t-test on false memory d0 (i.e., discrimination of true listed items vs. lure items; Fig. 3A) found a non-significant difference between the two groups (typically developing: M51.66, SD5.89; autistic: M52.05, SD51.02), t(58)51.55, one-sided P50.06, d5.40.</t>
  </si>
  <si>
    <t>To test for the superiority of the range decoy relative to the other decoy types in the gain condition  as
observed by Trueblood et al., 2013), we computed a one-tailed repeated measures t test on mean RSTs. The range decoy did not lead to a stronger attraction effect than the other decoy types (M = .43, SD = .07 vs. M = .43, SD = .07), t(30) = 0.99, d = 0.18, 95% CI = [−0.18, 0.53]. Figure 3 (hatched bars) reports the choice proportions for each of the rectangles.</t>
  </si>
  <si>
    <t>the A-brazen condition, G2(105) = 3155.23, p &amp;lt; .001 one-sided.</t>
  </si>
  <si>
    <t>Participants’ inherence bias was positively related to their ought inferences about typical behaviors, b = 1.45, 95% CI = [0.12, 2.79], p = .032 (...) Because our analysis took into account participants’ political views, their education, and their more general tendency to reason heuristically, these findings speak against the possibility that the relationship between explanatory biases and ought inferences is simply a by-product of one of these other variables.</t>
  </si>
  <si>
    <t>We found no noteworthy evidence for any other effects of our manipulations, BF10 ? 2.82.</t>
  </si>
  <si>
    <t>Only when participants were asked a follow-up question did they adjust their answers. This adjustment ... was downward if they were next asked what women say</t>
  </si>
  <si>
    <t>Our primary
confirmatory hypothesis for UAP constructs received weak
support. Positive correlations between UAP constructs and
power (summary r = .04, SE = 0.04, 99% CI: ?0.056,
0.126) and power residual (summary r = .06, SE = 0.04,
99% CI: ?0.028, 0.153) were, on average, very weak and
approached zero. For secondary confirmatory analyses,
Machiavellianism and psychopathy manifested about weak
correlations on power and slightly stronger, but still weak,
relations of power residual, whereas grandiose narcissism
and sadism manifested correlations approaching zero.
Self-transcendence and innocuous self-enhancement. For
primary exploratory analyses, negative correlations between
UAP constructs and self-worth (summary r = ?.10, SE =
0.04, 99% CI: ?0.012, ?0.193), self-worth residual
(summary r = ?.12, SE = 0.04, 99% CI: ?0.024, ?0.206),
and love (summary r = ?0.10, SE = 0.04, 99% CI:
?0.009, ?0.191) were, on average, weak. Correlations
between UAP constructs and gratitude (summary r = .02,
SE = 0.04, 99% CI: ?0.068, 0.113) and security (summary
r = .02, SE = 0.04, 99% CI: ?0.068, 0.113), on average,
approached zero.</t>
  </si>
  <si>
    <t>There was no significant difference in the company's perceived
agency between the CEO condition (M=5.42, SD=1.21) and the
headquarters condition (M=5.47, SD=1.23), F(1,199)=0.30,
p=.582.</t>
  </si>
  <si>
    <t>M = 0.20 (0.48) 95% CI = [0.13, 0.27] dz = 0.42</t>
  </si>
  <si>
    <t>Higher general distinctiveness was linked with higher social well-being</t>
  </si>
  <si>
    <t>Both H1 and H2 results remain similar
after adjusting for age, gender [not female=0, female=1] and education
[0=less than college, 1=college or above] in the model: interaction between choice frame and moral frame OR=0.89 [0.49,
1.61], Z=−0.39, p=0.697</t>
  </si>
  <si>
    <t>For the SCR, there was no statistically significant difference between conditions, but this result
could not be confirmed by the BF, t(33) = 1.43, p = .162, d = 0.25, 95% CI = [–0.10, 0.59], BF01 = 2.15.</t>
  </si>
  <si>
    <t>Results (see Table S1 in the Supplemental Material for coefficients and 95% confidence intervals, or CIs) showed that at an individual level, judgments of a face for traits with the same valence
were positively correlated (repeated measures rs ranging from .24 to .31, ps &amp;lt; .001), and judgments of a face for traits with opposite valences were negatively correlated (repeated measures rs ranging from –.30 to –.21, ps &amp;lt; .001).</t>
  </si>
  <si>
    <t>Indirect effects of online context upon outrage emerged through both perceived pain (effect = ?.30, CI ?.57, ?.06) and surprise (effect = ?.33; CI [?.56, ?.13])</t>
  </si>
  <si>
    <t xml:space="preserve">). The second model examined internalizing 
problems  and  showed  that  need  satisfaction,  β(519)  = 
−0.067, p = .060, need FRUSTRATION, β(519) = 0.584, p &amp;lt; .001, </t>
  </si>
  <si>
    <t>Participant political orientation did not moderate this effect, p=.789 (pathway f).</t>
  </si>
  <si>
    <t>Hence, the mediation by perceived sexual health threat between a predominant focus on prevention and condom use intentions was observed for individuals with out
a romantic relationship, Model B: b = 0.08, SE = .03, 95% CI [0.038; 0.140], [Model B = regular partners]</t>
  </si>
  <si>
    <t>Performance was slightly worse in picture‐recognition than formrecognition
(M = 0.77, SD = 0.42), but remained stable over time.</t>
  </si>
  <si>
    <t>Paranormal belief was positively correlated with PPBS, also as expected</t>
  </si>
  <si>
    <t>mindfulness participants
consumed their coffee sugar-free more frequently
than control participants 1 month after
the intervention ended (Mm = 2.89, Mc = 2.25,
95% confidence interval (CI) [0.168, ∞],
t(66) = 2.27, p = 0.013, d = 0.56),</t>
  </si>
  <si>
    <t>last columns of table 4</t>
  </si>
  <si>
    <t>This revealed that the competence main effect had a significant indirect effect on role modeling through emulation (...) but not self-efficacy (gamma = .05, 95% C.I.: 0.01 to 0.09) | The morality main effect also had a significant indirect effect through emulation (...) but not self-efficacy (gamma = .09, 95% C.I.: 0.03 to 0.16). | The two-way interaction likewise had a significant indirect effect through emulation (...) but not self-efficacy (gamma = .03, 95% C.I.: -0.01 to 0.06).</t>
  </si>
  <si>
    <t>Models with age, sex, race, and their two-way interactions with condition were run to test RQ1 (...) Being Caucasian was associated with higher alcohol problems [Extracted from Table 2: 0.78 [0.55,1.00]]</t>
  </si>
  <si>
    <t>For the experimental scenario, participants’ intuitions significantly predicted their decisions, b = -0.06, z(203) = -7.27, p &amp;lt; .001.</t>
  </si>
  <si>
    <t xml:space="preserve">With collapsed exceptional conditions an independent samples t-test revealed significantly stronger
regret in the exceptional conditions in comparison to the routine condition (Exp1: t(184) = 3.99, p &amp;lt; .001,
d = 0.50; </t>
  </si>
  <si>
    <t>In line with Hypothesis 2 and the results of Study 1, the link between last fixation and subsequent choices was weaker for the exogenous than for the autonomous group (OR = 0.07, 95% CI [0.06, 0.09], z = -20.67, p &amp;lt;.001; see Table 2).</t>
  </si>
  <si>
    <t>The results of the fixed effects estimation for this model are shown in Table 2. The previous effects stayed stable. There was an interaction between condition and similarity to positive learned beans, which indicated a smaller effect of this variable in the 3-alterantives condition.</t>
  </si>
  <si>
    <t>On the measure of desire for thinness, none of the predicted interactions were significant.</t>
  </si>
  <si>
    <t xml:space="preserve">More important, miscalibration was significantly larger for competence (mean difference = 2.28, SD = 1.90) than for warmth (mean difference = 1.14, SD = 1.45), paired-samples t(77) = 7.33, p &amp;lt; .0001, d = 0.83. </t>
  </si>
  <si>
    <t>TAP scores were unassociated with trait verbal aggression, r(175) = .10 [-.05, .24], p = .204,</t>
  </si>
  <si>
    <t>Finally, Figure 3B shows the proportion
of lures correctly rejected. Most children, in
both groups, demonstrated false memories for at least
one critical lure item. Here too, the groups did not differ
significantly (typically developing: M50.51,
SD50.26; autistic: M50.58, SD5.25), t(58)51.16,
one-sided P50.13, d50.30, corresponding to a BF01 of
1.20 suggesting weak evidence in favor of the null
hypothesis.</t>
  </si>
  <si>
    <t>To test for the superiority of the range decoy relative to the other decoy types in the gain condition as
observed by Trueblood et al., 2013), we computed a one-tailed repeated measures t test on mean RSTs. The range decoy did not lead to a stronger attraction effect than the other decoy types (M = .43, SD = .07 vs. M = .43, SD = .07), t(30) = 0.99, d = 0.18, 95% CI = [-0.18, 0.53]. Figure 3 (hatched bars) reports the choice proportions for each of the rectangles.</t>
  </si>
  <si>
    <t>We found that in comparison to the B-honest condition, the probability of reporting a higher number was larger in the B-brazen signaling condition (b = 1.27, OR = 3.57, 95% CI [2.29, 5.59], z = 5.58, p &amp;lt; .001 one-sided) but not in the B-brazen matching condition (b = 0.34, OR = 1.41, 95% CI [0.92, 2.16], z =1.57, p=.06 one-sided).</t>
  </si>
  <si>
    <t>but not atypical behaviors, b = −0.98 [−2.31, 0.35], p = .148 (see Fig. 1). (...) Because our analysis took into account participants’ political views, their education, and their more general tendency to reason heuristically, these findings speak against the possibility that the relationship between explanatory biases and ought inferences is simply a by-product of one of these other variables.</t>
  </si>
  <si>
    <t>children were significantly
more likely to imitate the action demonstrated by the
friend of the target of positive nonverbal signals (62%)
than to imitate the action demonstrated by the friend of
the target of negative nonverbal signals (two-tailed binomial
sign test, N = 81)</t>
  </si>
  <si>
    <t>As predicted, we found strong
evidence that the changes in US expectancy across contexts differed between acquisition and extinction procedures. We observed this pattern irrespective
of US valence</t>
  </si>
  <si>
    <t>ratings for the “say” and “want” questions
were equivalent when these questions were asked first</t>
  </si>
  <si>
    <t>An exact binomial test revealed that accuracy was significantly higher than chance (p = .002).</t>
  </si>
  <si>
    <t>Replacing perceived experience with perceived agency did not
mediate punishment satisfaction, 95% CI=[−0.1056, 0.0318].</t>
  </si>
  <si>
    <t>Explicit ratings indicated a preference for the positive
over the negative brand in all task conditions of
both experiments, ps &amp;lt; .001, dzs &amp;gt; 0.74 [Specified result in Table 1]</t>
  </si>
  <si>
    <t>general distinctiveness was significantly associated with social well-being indicators and
not with only one out of three or two out of three indicators,
respectively.</t>
  </si>
  <si>
    <t>Participants also reported liking the student in the CRP condition
(M=3.72, SD=1.28) less than no CRP (M=4.21, SD=1.23), F(1,
197)=7.77, p=0.006, ηр
2=0.04, 95% CI=[0.003, 0.10]</t>
  </si>
  <si>
    <t xml:space="preserve">For  both  the  RLL  and  the  ΔHR, significantly larger detection scores were found in the 
conceal condition than in the reveal condition, which were also confirmed by the BF—RLL: t(36) = 6.32, p &amp;lt; .001, d = 1.04, 95% CI = [0.63, 1.44], BF 10  = 60,522.45; ΔHR: t(35) = 3.24, p = .003, d = 0.54, 95% CI = [0.19, 0.89], BF 10  = 13.60.
</t>
  </si>
  <si>
    <t>ΔHR: t(35) = 3.24, p = .003, d = 0.54, 95% CI = [0.19, 0.89], BF10 = 13.60.</t>
  </si>
  <si>
    <t xml:space="preserve"> I conducted this analysis three different ways: 
(a) comparing postinauguration responses with Decem-
ber responses, (b) comparing postinauguration responses 
with  preinauguration  responses,  and  (c)  comparing 
postinauguration responses with responses during both 
other phases collapsed together. In all three cases, the 
rationalization effect was no longer significant (analysis 
a: 95% CI = [−0.04, 0.15], analysis b: 95% CI = [−0.14, 
0.05], analysis c: 95% CI = [−0.04, 0.05]), and an indirect 
effect through psychological realness emerged (analysis 
a: 95% CI = [0.14, 0.24], analysis b: 95% CI = [0.16, 0.28], 
analysis c: 95% CI = [0.06, 0.10]). In other words, par-
ticipants’ increased sense that the Trump presidency 
was psychologically real in the week after the inau-
guration and the week after he was the current presi-
dent accounted for their more positive attitudes at that 
time</t>
  </si>
  <si>
    <t>A similar analysis found an indirect effect of anonymity upon outrage through perceived harm (effect¼?.23, CI [?.41, ?06]) but not through surprise (effect ¼ ?.02, CI [?.15, .13]) or character evaluations (effect ¼ .004, CI [ ?.04, .06]).</t>
  </si>
  <si>
    <t xml:space="preserve">The first model regressed externalizing problems simulta-
neously onto need satisfaction, β(519) = −0.138, p = .001, 
need frustration, β(519) = 0.474, p &amp;lt; .001, and dysregu-
lated GAMING, β(519) = 0.117, p = .003. </t>
  </si>
  <si>
    <t>The first model regressed externalizing problems simultaneously onto need satisfaction, β(519) = −0.138, p = .001, need frustration, β(519) = 0.474, p &amp;lt; .001, and dysregulated gaming, β(519) = 0.117, p = .003.</t>
  </si>
  <si>
    <t xml:space="preserve">an interaction of object location and belief, F(1, 
431) = 6.98, p = .009, d = 0.26. Planned t tests showed 
that  there  was  no  significant  difference  between  false-
belief  and  true-belief  trials  at  the  no-object  location, 
t(431) = −0.79, p = .429, d = −0.08, Bayes factor in sup-
port of the null over the alternative hypothesis (BF 10 ) = 
0.074; </t>
  </si>
  <si>
    <t>Loyalty Retweet 4.25 3.43 0.82 [0.46, 1.19] 0.50 4.42 p&amp;lt; 0.001</t>
  </si>
  <si>
    <t xml:space="preserve">but there was an initial benefit that changed with consolidation (delay2:neighb1). </t>
  </si>
  <si>
    <t>However, neither of the replacement apophenia measures was significantly correlated with PPBS nor were intellect and intellectual curiosity.</t>
  </si>
  <si>
    <t>Only one
contrast analysis that we conducted was statistically
significant (in the direction consistent with our a priori
expectations). Specifically, the scrambled-phrases
manipulation increased general self-sufficiency.</t>
  </si>
  <si>
    <t>Most participants rated Mr. Jones’s behaviour as more common (326, 95%), compared to that of Mr. Smith (16, 5%; χ2 (1, N = 342) = 280.99, p &amp;lt; .001)</t>
  </si>
  <si>
    <t>Participants were also willing to invest a
significantly larger share of the last $1 million in the fuel-efficient plane when someone else had invested the $99 million in the plane’s development than when that person had invested the $99 million in other projects, Ms = 62.68% vs. 48.20%, t(308) = 3.00, p &amp;lt; .003, d = 0.34, 95% CI = [.12, .57], BF = 8.94.</t>
  </si>
  <si>
    <t xml:space="preserve">When analyzing whether the attention–choice relationship was more pronounced for moral as opposed to other-regarding choices (Hypothesis 3), we found that results replicated the pattern in Study 1 in that the top-down influence of last fixation on choice behavior was stronger for moral choices than other-regarding choices (OR = 1.48, 95% CI = [1.01, 2.17], z = 1.99, p = .047; see Fig. 2). </t>
  </si>
  <si>
    <t>With the exception of the relationship to biospheric value orientation, p = .019 (one-tailed correlation)</t>
  </si>
  <si>
    <t>On the measure of body appearance anxiety, none of the predicted interactions were significant</t>
  </si>
  <si>
    <t>First, in line with H3a – and further supporting the intentional nature of social mindfulness (as opposed to guessing) – the skill induction indeed resulted in higher levels of social mindfulness as evidenced by an independent-samples t-test, t (405) = 2.09, p= 0.037, d = 0.21 (see Table 5).</t>
  </si>
  <si>
    <t>Scores on our measures of destroying (Study 2a) and tampering with (Study 2b) evidence severely
violated normality. We addressed this problem by testing our hypothesis using an ordinal logistic
regression. In Study 2a, an ordinal regression revealed that the interaction of fusion and publicness had
no effect on willingness to destroy evidence (p=.28). However, fusion was significantly associated with
destroying evidence (b=0.42, t(517) =4.28, OR=1.52, 95% CI=[1.26,1.84], p &amp;lt; .001) indicating that
fused individuals were most willing to destroy evidence. An ordinal logistic regression in Study 2b
similarly revealed no interaction effect of fusion and publicness of transgression (p=.17). Further,
confirming our finding in Study 2a, fused members were most willing to endorse tampering with
evidence (b=0.29, t(443) =3.12, OR=1.34, 95% CI=[1.12, 1.63], p=.002).</t>
  </si>
  <si>
    <t>yet unexpectedly were positively associated with current self-harm tendencies,r(175) =.16 [.01, .30], p = .032.</t>
  </si>
  <si>
    <t xml:space="preserve">[PARTIAL SUPPORT] Opposite to prediction, false memory d' was significantly negatively correlated with standard deviation in the accumulation task, r(56) = 2.29, P=0.03, and correlated in the same direction, but not significantly, in the position task, r(56)=2.21, P=0.11. </t>
  </si>
  <si>
    <t>Table 6 shows
the means and credible intervals for the differences
between the three conditions on the group-level parameters.
For the curvature parameter, the differences
between the description condition on the one hand and
the two experience conditions on the other hand were
credibly lower than zero, suggesting distinct patterns
of probability weighting. By contrast, the difference
between the two experience conditions was not credible.
Finally, the solid dots in Figure 6 show the means
of the posterior predictive distribution of the additive
RDDU model. Again, the model captured the data rather
well, verifying the validity of the model</t>
  </si>
  <si>
    <t>As expected on the basis of the results of the first hypothesis, there was no main effect of gain/loss framing (F &amp;lt; 1). There was, however, the predicted main effect of distance, F(2, 120) = 25.67, p &amp;lt; .001, ηp2 = .30, 95% CI = [.17, .46]. It was characterized by an increase of RSTs (i.e., weakening
repulsion effects), with M = .41 (SD = .08), M = .42 (SD = .07), and M = .45 (SD = .06) for the 2%, 5%, and 9% distances, respectively (see the solid lines in Fig. 4, top left panel, for the choice proportions of the individual rectangles). This main effect was independent of gain/loss framing, as corroborated by a nonsignificant interaction term (F &amp;lt; 1).</t>
  </si>
  <si>
    <t>As expected on the basis of the results of the first hypothesis, there was no main effect of gain/loss framing (F &amp;lt; 1). There was, however, the predicted main effect of distance, F(2, 120) = 25.67, p &amp;lt; .001, ηp2 = .30, 95% CI = [.17, .46]. It was characterized by an increase of RSTs (i.e., weakening repulsion effects), with M = .41 (SD = .08), M = .42 (SD = .07), and M = .45 (SD = .06) for the 2%, 5%, and 9% distances, respectively (see the solid lines in Fig. 4, top left panel, for the choice proportions of the individual rectangles). This main effect was independent of gain/loss framing, as corroborated by a nonsignificant interaction term (F &amp;lt; 1).</t>
  </si>
  <si>
    <t>In line with our hypothesis, we found that participants in the A-conditions were more likely to report a matching outcome across 18 trials when they were paired with a brazen/dishonest partner than when they were paired with an honest partner (b = 1.51, OR = 4.51, 95% CI [2.31, 8.82], z = 4.40, p &amp;lt; .001 onesided). This result implies that the odds of reporting a matching outcome in the A-brazen condition were 4.51 times higher than in the A-honest condition</t>
  </si>
  <si>
    <t>This analysis resulted in an accuracy of 61.30% (56.23–66.19%) with an AUC of 0.64 (95% CI [0.59, 0.70]; sensitivity = 68.59; specificity = 54.12, p &amp;lt; .001).</t>
  </si>
  <si>
    <t>general distinctiveness was significantly associated with all social well-being indicators and
not with only one out of three or two out of three indicators,
respectively.</t>
  </si>
  <si>
    <t>Adjusting for age, gender, and education in
the model did not meaningfully change this result, b=−0.33,
SE=0.40, t=−0.81, p=0.418</t>
  </si>
  <si>
    <t>The first model regressed externalizing problems simulta-
neously onto need satisfaction, β(519) = −0.138,</t>
  </si>
  <si>
    <t>Results revealed that there were no 
significant correlations between mean DLS and compos-
ite DLS in any two of the paradigms (see Table 1 for cor-
relation coefficients and Supplement C in the Supplemental 
Material for detailed analyses and Bayesian statistics).</t>
  </si>
  <si>
    <t>Participants in the JOL condition chose to restudy more items (55.4%) that had been retrieved correctly at prejudgment recall, compared with participants in the RCJ condition (29.0%).</t>
  </si>
  <si>
    <t>The improvement after T1 was also related to
changes in neighbour benefit, consistent with the cued-recall data:
there was a larger difference between no and one/many neigh
bours
(b = -0.06, Z = -2.18, p = 0.029) and between one and many
neighbours (b = -0.11, Z = -2.13, p = 0.034) at T1 compared to the
subsequent sessions (Figure 7).</t>
  </si>
  <si>
    <t>Consistent with expectations, cognitive ability and cognitive
reflectio
were positively correlated with discrimination</t>
  </si>
  <si>
    <t>Consistent with expectations, cognitive ability and cognitive reflection were positively correlated with
discrimination, mirroring the simple correlations with PPBS ratings (Table 8).</t>
  </si>
  <si>
    <t>Mr. Smith was evaluated as more likely to be criticised by others (310; 91%) than Mr. Jones (32, 9%; χ2 (1, N = 342) = 225.98, p &amp;lt; .001).</t>
  </si>
  <si>
    <t>[Partial Support] When analyzing whether the attention–choice relationship was more pronounced for moral as opposed to other-regarding choices  (Hypothesis 3), we found that results replicated the pattern in Study 1 in that the top-down influence of last fixation on choice behavior was stronger for moral choices than other-regarding choices (OR = 1.48, 95% CI = [1.01, 2.17], z = 1.99, p = .047; see Fig. 2). As expected, there was again no difference between other-regarding and moral choices for exogenously guided attention on choices (OR = 1.22, 95% CI = [0.91, 1.64], z = 1.31, p = .190).</t>
  </si>
  <si>
    <t xml:space="preserve">The proportion of environmentally friendly choices was (...) negatively related to egoistic value orientations. (...) all correlations were significant at the corrected significance level of alpha = .0083, all p &amp;lt; .001 (see Table 1). </t>
  </si>
  <si>
    <t>Specifically, when regressing social mindfulness on Honesty-Humility (centered on the sample mean),
processing mode (dummy-coded: 0= deliberation, 1 =intuition), and their interaction only revealed a main effect of Honesty-Humility, β= 0.15, p= 0.031</t>
  </si>
  <si>
    <t>but for uncommon behaviors the deviation
scores were larger in the 4th quartile (M=23.85, SD=12.15)
than in the 1st (M=9.04, SD=10.16, p=.021, 95% CI [2.51,
27.10]).</t>
  </si>
  <si>
    <t>Participants who were assigned to the negative feedback condition (n = 87) reported greater levels of provocation due to their essay feedback than participants who received positive feedback (n = 90) (...) and had higher TAP scores , t(175) = 3.56, p &amp;lt;.001, d = 0.54 [0.24, 0.83; Figure 1]</t>
  </si>
  <si>
    <t xml:space="preserve">As expected on the basis of the results of the first hypothesis, there was no main effect of gain/loss framing (F &amp;lt; 1). There was, however, the predicted main effect of distance, F(2,120) = 25.67, p &amp;lt; .001, ηp2 = .30, 95% CI = [.17, .46]. It was characterized by an increase of RSTs (i.e., weakening repulsion effects), with M = .41 (SD = .08), M = .42 (SD = .07), and M = .45 (SD = .06) for the 2%, 5%, and 9% distances, respectively (see the solid lines in Fig. 4, top left panel, for the choice proportions of the individual rectangles). This main effect was independent of gain/loss framing, as corroborated by a nonsignificant interaction term (F &amp;lt; 1). </t>
  </si>
  <si>
    <t>The predicted interaction between the measure of inherence bias and behavior typicality was significant in this model, b = 2.44, 95% CI = [0.78, 4.10], p = .004 (for results for the full model, see Table 4). The results were consistent with our argument: Participants’ inherence bias was positively related to their ought inferences about typical behaviors, b = 1.45, 95% CI = [0.12, 2.79], p = .032</t>
  </si>
  <si>
    <t>There were no veracity‐by‐model statement interaction effects.</t>
  </si>
  <si>
    <t>There were no
veracity‐by‐model statement interaction effects.</t>
  </si>
  <si>
    <t>M = 3.31 (3.75) 95% CI = [2.83, 3.80] dz = 0.88</t>
  </si>
  <si>
    <t>Explicit ratings indicated a preference for the positive
over the negative brand in all task conditions of
both experiments, M = 3.31 (3.75) 95% CI = [2.83, 3.80] dz = 0.88</t>
  </si>
  <si>
    <t>There was a significant
indirect effect through stereotype activation and trust for [...] target
evaluation, b=−0.06, SEboot=0.03, 95% CI=[−0.14, −0.01].</t>
  </si>
  <si>
    <t xml:space="preserve">The memory data were analyzed using a paired-samples t test, which revealed significantly better memory of the critical cards in the reveal condition (M = 90.72%, 95% confidence interval, or CI = [86.06, 95.38]) compared with the conceal condition (M = 72.97%, 95%  CI = [64.83, 81.11]), t(36) = −4.44, p &amp;lt; .001, d = 0.73, 95% CI = [0.36, 1.09], BF 10  = 293.48.
</t>
  </si>
  <si>
    <t>Results revealed that there were no significant correlations between mean DLS and composite DLS in any two of the paradigms [r = –.20, p = .204 (N = 42)]</t>
  </si>
  <si>
    <t>For items incorrectly retrieved at prejudgment or final recall, the difference in the percentage of restudy decisions between the RCJ and JOL conditions was not meaningful.</t>
  </si>
  <si>
    <t>For items incor
rectly
retrieved at prejudgment or final recall, the
difference in the percentage of restudy decisions
between the RCJ and JOL conditions was not meaning
ful.</t>
  </si>
  <si>
    <t>[PARTIAL SUPPORT] Models with age, sex, race, and their two-way interactions with condition were run to test RQ1 (...) Being Caucasian was associated with (...)  lower hopelessness and impulsivity. [Extracted from Table 2: Hopeless: 0.98 [0.96, 0.99], Anx. Sens: -0.18 [-0.42, 0.07], Sens. Seek: 0.04 [-0.24, 0.32], Imp: -0.33 [-0.55, -0.12]]</t>
  </si>
  <si>
    <t>Participants perceived Mr. White (exception) to be less lucky than Mr. Adams (routine), with 114
participants (33%) considered Mr. Adams as less lucky, whereas 228 (66%) felt that Mr. White was less
lucky, χ2 (1, N = 342) = 38.00, p &amp;lt; .001, d = 0.71).</t>
  </si>
  <si>
    <t>On the measure of desire for thinness, none of the predicted interactions were significant</t>
  </si>
  <si>
    <t>Finally, expressers
again indicated that they did not express gratitude often
enough (M = −2.29, SD = 2.09), one-sample t(126) =
12.36, p &amp;lt; .0001, d = 1.10</t>
  </si>
  <si>
    <t>Males (coded as 1) did not have higher TAP scores than females (coded as 0), t(175)=-0.93, p = .356, d=- .14 [-0.44, 0.16]. Online Supplemental Table S2 summarizes gender comparisons in TAP scores within each provocation condition and on selfreported aggression variables.</t>
  </si>
  <si>
    <t>As expected on the basis of the results of the first hypothesis, there was no main effect of gain/loss framing (F &amp;lt; 1). There was, however, the predicted main effect of distance, F(2, 120) = 25.67, p &amp;lt; .001, ηp 2 = .30, 95% CI = [.17, .46]. It was characterized by an increase of RSTs (i.e., weakening repulsion effects), with M = .41 (SD = .08), M = .42 (SD = .07), and M = .45 (SD = .06) for the 2%, 5%, and 9% distances, respectively (see the solid lines in Fig. 4, top left panel, for the choice proportions of the individual rectangles). This main effect was independent of gain/loss framing, as corroborated by a nonsignificant interaction term (F &amp;lt; 1).</t>
  </si>
  <si>
    <t>The
mediation model revealed a significant indirect effect of
abstract thinking on vigorous physical activity through
autonomous motivation (B = 1.02, SE = 0.31, 95% CI 0.49,
1.70),</t>
  </si>
  <si>
    <t>Correlations between all variables of interest are shown in
Table 3 and resembled those found in Study 1. 0.23***</t>
  </si>
  <si>
    <t>The second text presentation was read faster
than the first, in the massed condition, t(25062.99) = 33.63,
p &amp;lt; 0.001, and in the distributed condition, t(25062.99) = 11.72,
p &amp;lt; 0.001. However, this difference was larger in the massed
TABLE 1 | Estimated coefficients, standard errors and z-values for the generalized
linear mixed model with text comprehension as dependent variable.
Estimated coefficients SE z
(Intercept) 􀀀0.695 0.316 􀀀2.202?
Learning condition (LC) 􀀀0.082 0.098 􀀀0.839
Retention interval (RI) 0.305 0.098 3.100???
Item type 􀀀0.542 0.304 􀀀1.782
Prior knowledge (PK) 0.477 0.111 4.309???
Learning condition ? retention interval 􀀀0.192 0.098 􀀀1.949?
Learning condition ? item
type
􀀀0.006 0.052 􀀀0.115
Learning condition ? prior
knowledge
0.087 0.111 0.787
Retention interval ? item
type
􀀀0.072 0.052 􀀀1.383
Retention interval ? prior
knowledge
0.011 0.110 0.103
Prior knowledge ? item
type
0.174 0.060 2.953??
Learning
condition ? retention
interval ? item type
0.029 0.052 0.556
Learning
condition ? retention
interval ? prior knowledge
􀀀0.090 0.110 􀀀0.810
Learning condition ? prior
knowledge ? item type
0.151 0.060 2.587 ??
Retention interval ? prior
knowledge ? item type
􀀀0.117 0.060 􀀀1.992?
Learning
condition ? retention
interval ? item type ? prior
knowledge
􀀀0.011 0.060 􀀀0.180
Learning condition (contrast coded: distributed = 1, massed = 􀀀1). Retention
interval (contrast coded: immediate = 􀀀1, delayed = 1). Item type (contrast coded:
CR = 1, SC = 􀀀1). Prior Knowledge was included z-standardized. ?p &amp;lt; 0.05,
??p &amp;lt; 0.01, and ???p &amp;lt; 0.001 (one-tailed for directional hypotheses).
condition, as indicated by the significant interaction between
learning condition and text presentation, b = 􀀀9.04, SE = 0.65,
t(25062.99) = 􀀀13.88, p &amp;lt; 0.001 (</t>
  </si>
  <si>
    <t>Results showed that, as expected, male-dominated
careers were perceived as significantly higher in status/salary than
female-dominated careers, t(328)=43.23, p &amp;lt; .001, d=2.38, CI.95
(2.18, 2.58).</t>
  </si>
  <si>
    <t>Post hoc analyses adjusted with Bonferroni correction showed that [...] the EMDR and VSDT condition did not differ (p=1.00).</t>
  </si>
  <si>
    <t>As expected, we found significant actor effects, indicating that high pnCommunion was associated with one’s own high global assessment of relationship satisfaction and specifically
positive evaluation of the relationship (PRQ)</t>
  </si>
  <si>
    <t>This pattern also held for final recall: Participants in the JOL condition chose to restudy more items (61.3%) than participants in the RCJ condition (26.1%) that were ultimately correctly retrieved at final recall</t>
  </si>
  <si>
    <t>However, contrary to expectations, neither of the intellect measures was significantly positively
correlated with discrimination</t>
  </si>
  <si>
    <t>but unexpectedly, participants in the mindfulness
condition did not increase at a faster rate
(T3 minus T1; M3m – M1m = 0.118, M3c –
M1c = 0.132, 95% CI [–0.176, ∞], t(78) = –0.144,
p = 0.557).</t>
  </si>
  <si>
    <t>[PARTIAL SUPPORT: 3/4 results] Models with age, sex, race, and their two-way interactions with condition were run to test RQ1 (...) Men reported higher levels of (...) social motives, enhancement, conformity (...) [Extracted from Table 2: Social: 0.24 [0.06, 0.43], Enhance: 0.20 [0.01, 0.39], Conform: 1.06 [1.02, 1.10], Coping: 1.01 [0.96, 1.05]]</t>
  </si>
  <si>
    <t>The 50 individual measurements of the TAP (25 trials x 2 responses per trial) exhibited excellent
internal consistency (Table 1). A principal components analysis (PCA), with direct oblimin rotation
(which allows the extracted components to correlate with one another), was conducted on all 50 TAP settings. The data exhibited a single-component structure, as evidenced by a large initial component, which explained almost half of the variance in TAP responses (Figure 3; Online Supplemental Table S3).</t>
  </si>
  <si>
    <t>However, there was no effect of the amount of effort they invested
in the build task on value-change (high: M=0.30, 95% CI=[−0.05,
0.64], low: M=0.76, 95% CI=[0.30, 1.21], F(1,119)=1.88,
p=.173, ηp
2 =0.016). All other effects and interactions were non-significant.
This indicates that the amount of effort invested in a task is not
reflected by increased valuation</t>
  </si>
  <si>
    <t>With respect to personality traits, we found that while controlling for differences between conditions, there was a negative relation between Honesty–Humility and the probability of reporting a higher number (b =-0.27, OR = 0.76, 95% CI [0.64, 0.91], z=-3.07, p = .001 one-sided), which means that the odds of reporting a higher number were 0.76 times lower for an increase of one SD in Honesty–Humility.</t>
  </si>
  <si>
    <t>For person references
(with &amp;gt; without model statement) as well as for temporal
information (without &amp;gt; with a model statement) and date references
(without &amp;gt; with a model statement), there was a significant main effect
of the provision of the model statement, albeit only for person references
in the expected direction</t>
  </si>
  <si>
    <t>There were no
veracity‐by‐model statement interaction effects</t>
  </si>
  <si>
    <t>Crucially, participants selected the positive brand more often in the avatar-consequences condition than in the mannequin or avatar condition, ps &amp;lt; .003</t>
  </si>
  <si>
    <t>Again, abstract thinking accounted for a significant proportion of variance in autonomous motivation to exercise (B = 0.304, SE = 0.084, t(462) = 3.631, p &amp;lt; .001, 95% CI 0.140, 0.469), but autonomous motivation did not account for a significant proportion of variance in moderate physical activity (B = 0.755, SE = 0.519, t(462) = 1.456, p = .146, 95% CI − 0.264, 1.774).</t>
  </si>
  <si>
    <t>The effect of learning condition on perceived reading difficulty
was not significant (Figure 5A); it failed to reach significance by
a narrow margin, b = 0.11, SE = 0.07, t(169) = 1.65, p = 0.051,
one-tailed, 1R2 = 0.02.</t>
  </si>
  <si>
    <t>We conducted a parallel paired-samples ttest
to examine perceptions of career-status for male- vs. femaledominated
careers. Results showed that, as expected, male-dominated
careers were perceived as significantly higher in status/salary than
female-dominated careers, t(328)=43.23, p &amp;lt; .001, d=2.38, CI.95
(2.18, 2.58).</t>
  </si>
  <si>
    <t>Bayesian analyses of pre-to post scores showed the strongest
support for Model 1, reflecting the fact that the VSDT condition
outperformed the EMDR condition and that the EMDR condition was
superior to the CC. There was also support for Model 2
(VSDT=EMDR &amp;gt; CC), but there was a relative benefit for Model 1
of (BF1: BF2) 1.30. 5.17</t>
  </si>
  <si>
    <t xml:space="preserve"> Results revealed that there were no 
significant correlations between mean DLS and compos-
ite DLS in any two of the paradigms (see Table 1 for cor-
relation coefficients and Supplement C in the Supplemental 
Material for detailed analyses and Bayesian statistics).</t>
  </si>
  <si>
    <t xml:space="preserve">Personal characteristics of forecasters, such as their gender, age, education level, whether they were an academic or not, and their political ideology on social issues were not consistently associated with the direction and extremity of predictions, nor with forecasting accuracy (Tables 3 and 4). [Results in Table 3]
</t>
  </si>
  <si>
    <t>Consistent with expectations, core-knowledge confusions was significantly negatively correlated with discrimination [-0.19 [-0.33,0.03]]</t>
  </si>
  <si>
    <t>With respect to personality traits, we found that while controlling for differences between conditions, there was a negative relation between Honesty–Humility and the probability of reporting a higher number (b = -0.27, OR = 0.76, 95% CI [0.64, 0.91], z=-3.07, p = .001 one-sided), which means that the odds of reporting a higher number were 0.76 times lower for an increase of one SD in Honesty– Humility. Figure 4 illustrates this effect: For persons higher in Honesty–Humility, the estimated probability of reporting the number 6 decreased, whereas the probability of reporting any of the lower numbers between 1 and 5 increased toward the baseline probability of p = 1/6 assuming honest responding. Moreover, Figure 4 shows that the probability of reporting the highest number 6 was on average higher in the B-brazen signaling condition than in the B-honest condition (see previous section).</t>
  </si>
  <si>
    <t>Crucially, participants selected the positive brand
more often in the avatar-consequences condition than in
the mannequin or avatar condition, ps &amp;lt; .003</t>
  </si>
  <si>
    <t>The indirect effect of abstract thinking on fruit and vegetable consumption through autonomous motivation to maintain a healthy diet was significant (B = 0.079, SE = 0.023, 95% CI 0.036, 0.127), with autonomous motivation accounting for more than half of the total effect, PM = 0.566.</t>
  </si>
  <si>
    <t>Moreover, unlike in Study 1, there was no significant
association with narcissistic rivalry.</t>
  </si>
  <si>
    <t>Learning condition exerted an effect on predicted learning
success, b = 􀀀0.16, SE = 0.07, t(169) = 􀀀2.46, p = 0.008, onetailed,
1R2 = 0.03. In line with Hypothesis 6, students in the
distributed condition (M = 2.71, SE = 0.10) predicted lower
learning success than students in the massed condition (M = 3.04,
SE = 0.09)</t>
  </si>
  <si>
    <t>Post hoc analyses
adjusted with Bonferroni correction showed that the EMDR and VSDT condition did not differ
(p=1.00).</t>
  </si>
  <si>
    <t>Consistent with our hypothesis, implicit pnCommunion predicted mean communion motivation in the MLM, b = 0.11, SEb = 0.05, pone-tailed = .023.</t>
  </si>
  <si>
    <t xml:space="preserve">Results revealed that there were no significant correlations between mean DLS and composite DLS in any two of the paradigms [r = .02, p = .835 (N = 80)] </t>
  </si>
  <si>
    <t>although, contrary to expectations, paranormal belief and
magical ideation were not.</t>
  </si>
  <si>
    <t>[partial support: 2/4] Models with age, sex, race, and their two-way interactions with condition were run to test RQ1 (...) Being Caucasian was associated with higher (...) social motives, and enhancement motives [Extracted from Table 2: Social: 0.24 [0.04, 0.45], Enhance: 0.44 [0.24, 0.65], Conform: 1.03 [0.99, 1.07], Coping: 0.98 [0.94, 1.02]]</t>
  </si>
  <si>
    <t>With respect to personality, we found that while controlling for differences in cheating rates across conditions, Honesty–Humility negatively predicted the probability of reporting matching outcomes across 18 trials (b =-0.45, OR = 0.64, 95% CI [0.46, 0.88], z =-2.74 p =.003 one-sided). Figure 2 shows that the estimated probability of reporting a matching outcome decreased for persons higher in Honesty–Humility and was generally higher in the A-brazen than in the A-honest condition, while on average being above the baseline level of p =1/6 assuming completely honest responding.</t>
  </si>
  <si>
    <t>Positive correlations between UCP
constructs and self-worth (summary r = .08, SE = 0.04,
99% CI: ?0.021, 0.188), self-worth residual (summary r =
.08, SE = 0.04, 99% CI: ?0.025, 0.185), and love
(summary r = .10, SE = 0.04, 99% CI: ?0.008, ?0.201)
were, on average, weak to very weak</t>
  </si>
  <si>
    <t>Participants more often
approached the positive than the negative brand in all
task conditions of both experiments, ps &amp;lt; .001, dzs &amp;gt; 0.54</t>
  </si>
  <si>
    <t>Anticipatory looking in
the different tasks did not differ between participants as
a function of whether they did or did not guess the aim
of the study (indicated by the debriefing questionnaire),
F(1, 565) = 2.54, p = .111, d = 0.13, BF10 = 0.450</t>
  </si>
  <si>
    <t>Additionally, there was a nonsignificant
trend towards an effect of acquisition (F(1,119)=3.12,
p=.080, ηp
2 =0.03) in which children increased their valuation of the
monsters more when they were evaluating a monster that they built
(M=0.82, 95% CI=[0.40, 1.24]), compared to a monster that they
were given as a reward (M=0.23, 95% CI=[−0.15, 0.62]), regardless
of whether they were evaluating their own monster or the identical
one</t>
  </si>
  <si>
    <t>Learning condition also had an effect on the perceived on-task
focus during learning, b = 􀀀0.13, SE = 0.05, t(511) = 􀀀2.70,
p = 0.004, one-tailed, 1R2 = 0.01, but in the opposite direction
than predicted in Hypothesis 7. Students reported higher ontask
focus when rereading in a massed fashion (M = 3.49,
SE = 0.07) compared to a distributed fashion (M= 3.23, SE = 0.07)
(Figure 5C).</t>
  </si>
  <si>
    <t>Results revealed that there were no significant correlations between mean DLS and composite DLS in any two of the paradigms [r = .19, p = .054 (N = 101)]</t>
  </si>
  <si>
    <t>Overall, the average correlation in the ascending condition (r =.16) did not differ from the average correlation in the descending condition (r = .17), v2(1) = 0.07, p = .80.</t>
  </si>
  <si>
    <t xml:space="preserve">With respect to personality, we found that while controlling for differences in cheating rates across conditions, Honesty–Humility negatively predicted the probability of reporting matching outcomes across 18 trials (b = -0.45, OR = 0.64, 95% CI [0.46, 0.88], z = -2.74 p =.003 one-sided). </t>
  </si>
  <si>
    <t>Our
primary confirmatory hypothesis for UCP constructs
received some support. Positive correlations between UCP
constructs and self-worth (summary r = .08, SE = 0.04,
99% CI: ?0.021, 0.188), self-worth residual (summary r =
.08, SE = 0.04, 99% CI: ?0.025, 0.185), and love
(summary r = .10, SE = 0.04, 99% CI: ?0.008, ?0.201)
were, on average, weak to very weak.</t>
  </si>
  <si>
    <t>Correlations between all variables of interest are shown in
Table 3 and resembled those found in Study 1.?0.03</t>
  </si>
  <si>
    <t>However, this time, it [However, this time, it was significantly
positively associated with parent-related loneliness instead
of peer-related loneliness, and not significantly associated with
ruminative exploration] was  not significantly associated with
ruminative exploration</t>
  </si>
  <si>
    <t>Results (summarized in Table 1) showed that both aggregate-level and individuallevel inferences of traits were associated with actual corruption records of the facial identities at a level  better than chance. [results in Table 1, first row]</t>
  </si>
  <si>
    <t>PSP</t>
  </si>
  <si>
    <t>NrTests</t>
  </si>
  <si>
    <t>t</t>
  </si>
  <si>
    <t>F</t>
  </si>
  <si>
    <t>df1</t>
  </si>
  <si>
    <t>df2</t>
  </si>
  <si>
    <t>cor</t>
  </si>
  <si>
    <t>Statistical statement</t>
  </si>
  <si>
    <t>Relevant</t>
  </si>
  <si>
    <t>Notes</t>
  </si>
  <si>
    <t>Overall r presented</t>
  </si>
  <si>
    <t>Statistical statement NEW</t>
  </si>
  <si>
    <t>p</t>
  </si>
  <si>
    <t>The mediation was partial;
the direct effect of partner behavior remained significant after controlling for relational evaluation,
b = -.47, t(268) = −4.01, p &lt; .001.</t>
  </si>
  <si>
    <t>95%CI only</t>
  </si>
  <si>
    <t xml:space="preserve"> </t>
  </si>
  <si>
    <t>only p value</t>
  </si>
  <si>
    <t>Fs&gt;1 Ps &gt;0,25</t>
  </si>
  <si>
    <t>only regression coefficicent and p</t>
  </si>
  <si>
    <t>dz = 0.54</t>
  </si>
  <si>
    <t>dz 0.50</t>
  </si>
  <si>
    <t>same as last one</t>
  </si>
  <si>
    <t>d = 0.91</t>
  </si>
  <si>
    <t>d = 0.82</t>
  </si>
  <si>
    <t xml:space="preserve">OR=3.74 </t>
  </si>
  <si>
    <t>no mark in the pdf</t>
  </si>
  <si>
    <t>bayes factor</t>
  </si>
  <si>
    <t>no statscheck result</t>
  </si>
  <si>
    <t>no statscheck</t>
  </si>
  <si>
    <t>χ 2 (1) = 4.57</t>
  </si>
  <si>
    <t>χ 2 (1) = 0.16,</t>
  </si>
  <si>
    <t>95%CI</t>
  </si>
  <si>
    <t>d = 0.58</t>
  </si>
  <si>
    <t>wald test</t>
  </si>
  <si>
    <t>95%ci</t>
  </si>
  <si>
    <t>exact F value is not known</t>
  </si>
  <si>
    <t>no statscheeck result because I input the df myself</t>
  </si>
  <si>
    <t>got it from the Supplemental Material</t>
  </si>
  <si>
    <t>no statscheeck result</t>
  </si>
  <si>
    <t xml:space="preserve">no statscheeck result </t>
  </si>
  <si>
    <t>I inputed the 8 marked Pearson's r from the pdf</t>
  </si>
  <si>
    <t>no statscheck since I input sample size -1 as df</t>
  </si>
  <si>
    <t>, t(354) = 2.69, p = .007, d = 0.29, 
95% CI for the mean difference = [0.10, 0.65]</t>
  </si>
  <si>
    <t>x.2=8.93</t>
  </si>
  <si>
    <t>Mann-Whitney U=7083.50</t>
  </si>
  <si>
    <t>same as above</t>
  </si>
  <si>
    <t>3 Rs in a sentence</t>
  </si>
  <si>
    <t>no statscheck reulst</t>
  </si>
  <si>
    <t>two marked results , I entered the first one</t>
  </si>
  <si>
    <t>the marks for this paper contain multiple results</t>
  </si>
  <si>
    <t>three other tests are also marked in yellow</t>
  </si>
  <si>
    <t xml:space="preserve">more than one result are maked and the first one is entered </t>
  </si>
  <si>
    <t>d = 1.27</t>
  </si>
  <si>
    <t>more than one results are marked, the first one is encoded</t>
  </si>
  <si>
    <t xml:space="preserve">χ2
(1, N = 277) </t>
  </si>
  <si>
    <t>log odds = 1.01</t>
  </si>
  <si>
    <t>same result for next one</t>
  </si>
  <si>
    <t xml:space="preserve">two r in the same statement </t>
  </si>
  <si>
    <t>same result</t>
  </si>
  <si>
    <t>no statscheck result for this paper</t>
  </si>
  <si>
    <t>more than one result are marked yellow, first one is entered</t>
  </si>
  <si>
    <t>d = 1.58</t>
  </si>
  <si>
    <t>d = 0.10</t>
  </si>
  <si>
    <t>d = 0.03</t>
  </si>
  <si>
    <t>same result as next one</t>
  </si>
  <si>
    <t>no statschecks since I input df based on the reported n</t>
  </si>
  <si>
    <t>there are two rs for each pair of correlation, see table 1</t>
  </si>
  <si>
    <t>two marked result I entered the first one</t>
  </si>
  <si>
    <t>two result are marked, the first one is entered</t>
  </si>
  <si>
    <t>two result are marked, the second one is entered</t>
  </si>
  <si>
    <t>the author reported 0.00067</t>
  </si>
  <si>
    <t>no statcheck result</t>
  </si>
  <si>
    <t>the reported one is 0.44</t>
  </si>
  <si>
    <t>no statscheck since I input n-1 as df</t>
  </si>
  <si>
    <t xml:space="preserve"> However, the predicted interaction was significant,
F(1, 196) _x0002_ 20.87, p _x0006_ .001, _x0003_p
2 _x0002_ .096, 90% CI [.040, .165]. As
can be seen in Figure 3,</t>
  </si>
  <si>
    <t xml:space="preserve"> participants who had rehearsed 120 inward
words liked inward words more (M _x0002_ 4.69, SE _x0002_ 0.14) than
outward words (M _x0002_ 4.36, SE _x0002_ 0.14), t(102) _x0002_ 4.26, p _x0006_ .001,
dz _x0002_ 0.42, 95% CI [0.22, 0.62]. I</t>
  </si>
  <si>
    <t>more than one results, first one is entered</t>
  </si>
  <si>
    <t>two results are marked, first one if entered</t>
  </si>
  <si>
    <t>more than one marked result, the first one is entered</t>
  </si>
  <si>
    <t>more than one marked result, the second one is entered</t>
  </si>
  <si>
    <t>more than one marked result, the second is entered</t>
  </si>
  <si>
    <t>more than one marked result, the first is entered</t>
  </si>
  <si>
    <t xml:space="preserve">many duplication of rersults here </t>
  </si>
  <si>
    <t>There was a significant two-way interaction between item and famil_x0002_iarity, F(1,353) = 85.13, p &lt; .001, np
2 = .19,</t>
  </si>
  <si>
    <t>two r in table 2 , I entered the first one</t>
  </si>
  <si>
    <t>r(56) 5 2.29, P 5 0.03</t>
  </si>
  <si>
    <t>two marked results, the first one is entered</t>
  </si>
  <si>
    <t>three marked results, the second one is entered</t>
  </si>
  <si>
    <t>d = 2,18</t>
  </si>
  <si>
    <t>same results</t>
  </si>
  <si>
    <t xml:space="preserve">G square statistis </t>
  </si>
  <si>
    <t>no statcheck result for this paper</t>
  </si>
  <si>
    <t>no statscheck for this row</t>
  </si>
  <si>
    <t>β = −9.04, SE = 0.65,
t(25062.99) = −13.88, p &lt; 0.001</t>
  </si>
  <si>
    <t>ErrorLarge</t>
  </si>
  <si>
    <t>Double</t>
  </si>
  <si>
    <t>A bivariate correlation revealed that judges’ ratings were significantly positively associated with target ratings, r = 0.76, p &lt; .001</t>
  </si>
  <si>
    <t>As shown in Figure 5, this
hypothesis was supported (p &amp;lt; .001). For example, participants
adjusted less when they had previously considered
a range of 1 point around the expert prediction
(M = 2.82) than when they had previously considered
a range of 9 points around the expert prediction (M =
4.03). b = 0.158, SE = 0.024, p &amp;lt; .001</t>
  </si>
  <si>
    <t>Receiver-operating-characteristic
(ROC) analysis showed that people were better able to
discriminate between innocent and guilty suspects in
fair showups that prevented reliance on the distinctive
feature—partial area under the curve (pAUC) = .102,
95% confidence interval (CI) = [.091, .112]—than in
unfair showups that allowed people to rely on the nondiagnostic
distinctive feature—pAUC = .075, 95% CI =
[.065, .084], d = 3.75, p &amp;lt; .001; see Figure 2a.</t>
  </si>
  <si>
    <t>The simple effects analyses revealed significant facilitation for cognates compared to English controls in the standard version [χ2(1) = 27.99, p &lt; .001, Δ = 46 ms]</t>
  </si>
  <si>
    <t>The cognate facilitation effects in the mixed and +DW versions were not significant [mixed version: χ2(1) = 3.357, p = .067, Δ = 13 ms</t>
  </si>
  <si>
    <t>NA</t>
  </si>
  <si>
    <t>B = 1.02</t>
  </si>
  <si>
    <t>dz = 0.56</t>
  </si>
  <si>
    <t>η2 partial = 0.041</t>
  </si>
  <si>
    <t>no error because one-tailed</t>
  </si>
  <si>
    <t>OR=3.55</t>
  </si>
  <si>
    <t>OR=0.91</t>
  </si>
  <si>
    <t>I used the N from the section method</t>
  </si>
  <si>
    <t>χ2(1) = 3.39</t>
  </si>
  <si>
    <t>Z</t>
  </si>
  <si>
    <t>d = 0.35</t>
  </si>
  <si>
    <t>d = 0.22</t>
  </si>
  <si>
    <t>Correction</t>
  </si>
  <si>
    <t>second entered</t>
  </si>
  <si>
    <t>Participants reported less receptiveness to the counterattitudinal view in the perspective-taking (M = 3.27, 95% CI = [3.11, 3.43]) relative to the control (M = 3.53, 95% CI = [3.36, 3.69]) condition, t(482) = −2.15, p = .032, d = 0.20.</t>
  </si>
  <si>
    <t>As hypothesized, the indirect
effects (the ab paths) of condition on receptiveness and
attitude change were mediated by value congruence—receptiveness: indirect effect = −0.10, 95% CI = [−0.19, −0.02], p = .02; attitude change</t>
  </si>
  <si>
    <t>more than two result are marked, I entered the first one</t>
  </si>
  <si>
    <t>two tests are marked, I entered the first one</t>
  </si>
  <si>
    <t>We suspected that changing the nature of an existing relationship requires more than simply holding a cold/warm cup. Our suspicion was confirmed: There was no main effect of temperature (B=0.06, t(174)=0.13, p=.90), nor an interaction effect between the RCR and temperature (B=-0.07, t(174)=-0.04, p=.66). We also ran the three-way interaction with temperature condition, the RCR, and order included. This was not significant (B=−0.30, t(342)=−1.51, p=.07).</t>
  </si>
  <si>
    <t xml:space="preserve">more than one pearson's r are marked and the first one is entered </t>
  </si>
  <si>
    <t>more than one result, first one is entered</t>
  </si>
  <si>
    <t>d = 0.71</t>
  </si>
  <si>
    <t xml:space="preserve"> Simple slopes analyses showed that weight stigma increased due to WHPP Presence, but only in participants with a relatively high BMI (b = 0.33, p = 0.02, Cohen’s d = 0.51) and not participants with a relatively low BMI (b = −0.11, p = 0.43, Cohen’s d = 0.16).</t>
  </si>
  <si>
    <t>more than two result, the first one is entered</t>
  </si>
  <si>
    <t>probably one-sided but they don’t say</t>
  </si>
  <si>
    <t>more than one results, third one is entered</t>
  </si>
  <si>
    <t>first entered</t>
  </si>
  <si>
    <t>ErrorSmall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</si>
</sst>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6100"/>
      <name val="Calibri"/>
      <family val="2"/>
      <scheme val="minor"/>
    </font>
    <font>
      <b/>
      <sz val="11"/>
      <color theme="1"/>
      <name val="Calibri"/>
      <family val="2"/>
      <scheme val="minor"/>
    </font>
    <font>
      <sz val="11"/>
      <name val="Calibri"/>
      <family val="2"/>
      <scheme val="minor"/>
    </font>
    <font>
      <sz val="11"/>
      <color rgb="FF333333"/>
      <name val="Calibri"/>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31">
    <xf numFmtId="0" fontId="0" fillId="0" borderId="0" xfId="0"/>
    <xf numFmtId="49" fontId="3" fillId="0" borderId="0" xfId="1" applyNumberFormat="1" applyFont="1" applyFill="1" applyBorder="1" applyAlignment="1"/>
    <xf numFmtId="49" fontId="3" fillId="0" borderId="0" xfId="0" applyNumberFormat="1" applyFont="1" applyAlignment="1"/>
    <xf numFmtId="49" fontId="0" fillId="0" borderId="0" xfId="0" applyNumberFormat="1" applyAlignment="1"/>
    <xf numFmtId="0" fontId="3" fillId="0" borderId="0" xfId="0" applyFont="1" applyAlignment="1"/>
    <xf numFmtId="0" fontId="0" fillId="0" borderId="0" xfId="0" applyAlignment="1"/>
    <xf numFmtId="2" fontId="3" fillId="0" borderId="0" xfId="0" applyNumberFormat="1" applyFont="1" applyAlignment="1"/>
    <xf numFmtId="0" fontId="2" fillId="0" borderId="0" xfId="0" applyFont="1" applyAlignment="1"/>
    <xf numFmtId="0" fontId="2" fillId="0" borderId="0" xfId="0" applyFont="1"/>
    <xf numFmtId="49" fontId="3" fillId="0" borderId="0" xfId="0" applyNumberFormat="1" applyFont="1" applyBorder="1" applyAlignment="1"/>
    <xf numFmtId="0" fontId="0" fillId="0" borderId="0" xfId="0" applyBorder="1" applyAlignment="1"/>
    <xf numFmtId="3" fontId="0" fillId="0" borderId="0" xfId="0" applyNumberFormat="1"/>
    <xf numFmtId="0" fontId="0" fillId="0" borderId="0" xfId="0" applyFill="1" applyAlignment="1"/>
    <xf numFmtId="0" fontId="0" fillId="0" borderId="0" xfId="0" applyBorder="1"/>
    <xf numFmtId="0" fontId="0" fillId="0" borderId="0" xfId="0" applyFill="1" applyBorder="1" applyAlignment="1"/>
    <xf numFmtId="49" fontId="0" fillId="0" borderId="0" xfId="0" applyNumberFormat="1"/>
    <xf numFmtId="49" fontId="3" fillId="0" borderId="0" xfId="0" applyNumberFormat="1" applyFont="1"/>
    <xf numFmtId="0" fontId="3" fillId="0" borderId="0" xfId="0" applyFont="1"/>
    <xf numFmtId="49" fontId="3" fillId="0" borderId="0" xfId="0" applyNumberFormat="1" applyFont="1" applyFill="1"/>
    <xf numFmtId="0" fontId="3" fillId="0" borderId="0" xfId="0" applyFont="1" applyFill="1" applyAlignment="1">
      <alignment horizontal="right"/>
    </xf>
    <xf numFmtId="0" fontId="3" fillId="0" borderId="0" xfId="0" applyFont="1" applyFill="1"/>
    <xf numFmtId="49" fontId="0" fillId="0" borderId="0" xfId="0" applyNumberFormat="1" applyFill="1"/>
    <xf numFmtId="49" fontId="0" fillId="0" borderId="0" xfId="0" applyNumberFormat="1" applyFill="1" applyAlignment="1"/>
    <xf numFmtId="0" fontId="0" fillId="0" borderId="0" xfId="0" applyNumberFormat="1"/>
    <xf numFmtId="0" fontId="2" fillId="0" borderId="0" xfId="0" applyFont="1" applyAlignment="1">
      <alignment horizontal="right"/>
    </xf>
    <xf numFmtId="0" fontId="0" fillId="0" borderId="0" xfId="0" applyAlignment="1">
      <alignment horizontal="right"/>
    </xf>
    <xf numFmtId="49" fontId="3" fillId="0" borderId="0" xfId="0" applyNumberFormat="1" applyFont="1" applyFill="1" applyAlignment="1">
      <alignment horizontal="right"/>
    </xf>
    <xf numFmtId="0" fontId="0" fillId="0" borderId="0" xfId="0" applyBorder="1" applyAlignment="1">
      <alignment horizontal="right"/>
    </xf>
    <xf numFmtId="49" fontId="0" fillId="0" borderId="0" xfId="0" applyNumberFormat="1" applyAlignment="1">
      <alignment horizontal="right"/>
    </xf>
    <xf numFmtId="0" fontId="0" fillId="0" borderId="0" xfId="0" applyFill="1" applyAlignment="1">
      <alignment horizontal="right"/>
    </xf>
    <xf numFmtId="0" fontId="4" fillId="0" borderId="0" xfId="0" applyFont="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19623-CD20-49BD-86CC-5619BFEC83A3}">
  <dimension ref="A1:W641"/>
  <sheetViews>
    <sheetView tabSelected="1" zoomScaleNormal="100" workbookViewId="0">
      <pane xSplit="1" ySplit="1" topLeftCell="C20" activePane="bottomRight" state="frozen"/>
      <selection pane="topRight" activeCell="B1" sqref="B1"/>
      <selection pane="bottomLeft" activeCell="A2" sqref="A2"/>
      <selection pane="bottomRight" activeCell="N23" sqref="N23"/>
    </sheetView>
  </sheetViews>
  <sheetFormatPr defaultRowHeight="15" x14ac:dyDescent="0.25"/>
  <cols>
    <col min="1" max="1" width="36.140625" style="5" customWidth="1"/>
    <col min="2" max="2" width="59.85546875" style="5" hidden="1" customWidth="1"/>
    <col min="3" max="3" width="9.140625" customWidth="1"/>
    <col min="8" max="8" width="9.140625" bestFit="1" customWidth="1"/>
    <col min="13" max="14" width="9.140625" style="25"/>
  </cols>
  <sheetData>
    <row r="1" spans="1:16" s="8" customFormat="1" x14ac:dyDescent="0.25">
      <c r="A1" s="7" t="s">
        <v>582</v>
      </c>
      <c r="B1" s="7" t="s">
        <v>586</v>
      </c>
      <c r="C1" s="7" t="s">
        <v>575</v>
      </c>
      <c r="D1" s="7" t="s">
        <v>576</v>
      </c>
      <c r="E1" s="7" t="s">
        <v>670</v>
      </c>
      <c r="F1" s="7" t="s">
        <v>583</v>
      </c>
      <c r="G1" s="7" t="s">
        <v>577</v>
      </c>
      <c r="H1" s="7" t="s">
        <v>578</v>
      </c>
      <c r="I1" s="7" t="s">
        <v>579</v>
      </c>
      <c r="J1" s="7" t="s">
        <v>580</v>
      </c>
      <c r="K1" s="7" t="s">
        <v>581</v>
      </c>
      <c r="L1" s="7" t="s">
        <v>587</v>
      </c>
      <c r="M1" s="24" t="s">
        <v>703</v>
      </c>
      <c r="N1" s="24" t="s">
        <v>669</v>
      </c>
      <c r="O1" s="7" t="s">
        <v>584</v>
      </c>
      <c r="P1" s="8" t="s">
        <v>688</v>
      </c>
    </row>
    <row r="2" spans="1:16" x14ac:dyDescent="0.25">
      <c r="A2" s="2" t="s">
        <v>0</v>
      </c>
      <c r="B2" s="2"/>
      <c r="C2" s="5">
        <v>3</v>
      </c>
      <c r="D2" s="5">
        <v>0</v>
      </c>
      <c r="E2" s="5">
        <v>0</v>
      </c>
      <c r="F2" s="5"/>
      <c r="G2" s="5"/>
      <c r="H2" s="5"/>
      <c r="I2" s="5"/>
      <c r="J2" s="5"/>
      <c r="K2" s="5" t="b">
        <f t="shared" ref="K2:K10" si="0">IF(NOT(ISBLANK(G2)),SQRT((G2^2*1/I2)/(G2^2*1/I2+1)),IF(NOT(ISBLANK(H2)),SQRT((H2*I2/J2)/(H2*I2/J2+1)*SQRT(1/I2))))</f>
        <v>0</v>
      </c>
      <c r="L2" s="5"/>
      <c r="O2" s="5"/>
    </row>
    <row r="3" spans="1:16" x14ac:dyDescent="0.25">
      <c r="A3" s="2" t="s">
        <v>160</v>
      </c>
      <c r="B3" s="2"/>
      <c r="C3" s="5">
        <v>3</v>
      </c>
      <c r="D3" s="5">
        <v>1</v>
      </c>
      <c r="E3" s="5">
        <v>0</v>
      </c>
      <c r="F3" s="5">
        <v>0</v>
      </c>
      <c r="G3" s="5"/>
      <c r="H3" s="5"/>
      <c r="I3" s="5"/>
      <c r="J3" s="5"/>
      <c r="K3" s="5" t="b">
        <f t="shared" si="0"/>
        <v>0</v>
      </c>
      <c r="L3" s="5"/>
      <c r="O3" s="5"/>
    </row>
    <row r="4" spans="1:16" x14ac:dyDescent="0.25">
      <c r="A4" s="2" t="s">
        <v>271</v>
      </c>
      <c r="B4" s="2"/>
      <c r="C4" s="5">
        <v>3</v>
      </c>
      <c r="D4" s="5">
        <v>1</v>
      </c>
      <c r="E4" s="5">
        <v>0</v>
      </c>
      <c r="F4" s="5">
        <v>0</v>
      </c>
      <c r="G4" s="5"/>
      <c r="H4" s="5"/>
      <c r="I4" s="5"/>
      <c r="J4" s="5"/>
      <c r="K4" s="5" t="b">
        <f t="shared" si="0"/>
        <v>0</v>
      </c>
      <c r="L4" s="5"/>
      <c r="O4" s="5"/>
    </row>
    <row r="5" spans="1:16" x14ac:dyDescent="0.25">
      <c r="A5" s="2" t="s">
        <v>395</v>
      </c>
      <c r="B5" s="2"/>
      <c r="C5" s="5">
        <v>3</v>
      </c>
      <c r="D5" s="5">
        <v>0</v>
      </c>
      <c r="E5" s="5">
        <v>0</v>
      </c>
      <c r="F5" s="5"/>
      <c r="G5" s="5"/>
      <c r="H5" s="5"/>
      <c r="I5" s="5"/>
      <c r="J5" s="5"/>
      <c r="K5" s="5" t="b">
        <f t="shared" si="0"/>
        <v>0</v>
      </c>
      <c r="L5" s="5"/>
      <c r="O5" s="5"/>
    </row>
    <row r="6" spans="1:16" x14ac:dyDescent="0.25">
      <c r="A6" s="6" t="s">
        <v>465</v>
      </c>
      <c r="B6" s="6"/>
      <c r="C6" s="5">
        <v>3</v>
      </c>
      <c r="D6" s="5">
        <v>0</v>
      </c>
      <c r="E6" s="5">
        <v>0</v>
      </c>
      <c r="F6" s="5"/>
      <c r="G6" s="5"/>
      <c r="H6" s="5"/>
      <c r="I6" s="5"/>
      <c r="J6" s="5"/>
      <c r="K6" s="5" t="b">
        <f t="shared" si="0"/>
        <v>0</v>
      </c>
      <c r="L6" s="5"/>
      <c r="O6" s="5"/>
    </row>
    <row r="7" spans="1:16" x14ac:dyDescent="0.25">
      <c r="A7" s="2" t="s">
        <v>1</v>
      </c>
      <c r="B7" s="2"/>
      <c r="C7" s="5">
        <v>4</v>
      </c>
      <c r="D7" s="5">
        <v>0</v>
      </c>
      <c r="E7" s="5">
        <v>0</v>
      </c>
      <c r="F7" s="5"/>
      <c r="G7" s="5"/>
      <c r="H7" s="5"/>
      <c r="I7" s="5"/>
      <c r="J7" s="5"/>
      <c r="K7" s="5" t="b">
        <f t="shared" si="0"/>
        <v>0</v>
      </c>
      <c r="L7" s="5"/>
      <c r="O7" s="5"/>
    </row>
    <row r="8" spans="1:16" x14ac:dyDescent="0.25">
      <c r="A8" s="2" t="s">
        <v>161</v>
      </c>
      <c r="B8" s="2"/>
      <c r="C8" s="5">
        <v>4</v>
      </c>
      <c r="D8" s="5">
        <v>1</v>
      </c>
      <c r="E8" s="5">
        <v>0</v>
      </c>
      <c r="F8" s="5">
        <v>1</v>
      </c>
      <c r="G8" s="5">
        <v>18.14</v>
      </c>
      <c r="H8" s="5"/>
      <c r="I8" s="5">
        <v>294</v>
      </c>
      <c r="J8" s="5"/>
      <c r="K8" s="5">
        <f t="shared" si="0"/>
        <v>0.72672899291060311</v>
      </c>
      <c r="L8" s="5"/>
      <c r="M8" s="25">
        <v>0</v>
      </c>
      <c r="N8" s="25">
        <v>0</v>
      </c>
      <c r="O8" s="5"/>
    </row>
    <row r="9" spans="1:16" x14ac:dyDescent="0.25">
      <c r="A9" s="2" t="s">
        <v>272</v>
      </c>
      <c r="B9" s="2"/>
      <c r="C9" s="5">
        <v>4</v>
      </c>
      <c r="D9" s="5">
        <v>2</v>
      </c>
      <c r="E9" s="5">
        <v>0</v>
      </c>
      <c r="F9" s="5">
        <v>0</v>
      </c>
      <c r="G9" s="5"/>
      <c r="H9" s="5"/>
      <c r="I9" s="5"/>
      <c r="J9" s="5"/>
      <c r="K9" s="5" t="b">
        <f t="shared" si="0"/>
        <v>0</v>
      </c>
      <c r="L9" s="5"/>
      <c r="O9" s="5"/>
    </row>
    <row r="10" spans="1:16" x14ac:dyDescent="0.25">
      <c r="A10" s="2" t="s">
        <v>162</v>
      </c>
      <c r="B10" s="2"/>
      <c r="C10" s="5">
        <v>5</v>
      </c>
      <c r="D10" s="5">
        <v>1</v>
      </c>
      <c r="E10" s="5">
        <v>0</v>
      </c>
      <c r="F10" s="5">
        <v>1</v>
      </c>
      <c r="G10" s="5">
        <v>1.74</v>
      </c>
      <c r="H10" s="5"/>
      <c r="I10" s="5">
        <v>528</v>
      </c>
      <c r="J10" s="5"/>
      <c r="K10" s="5">
        <f t="shared" si="0"/>
        <v>7.5507606049812576E-2</v>
      </c>
      <c r="L10" s="5"/>
      <c r="M10" s="25">
        <v>0</v>
      </c>
      <c r="N10" s="25">
        <v>0</v>
      </c>
      <c r="O10" s="5"/>
    </row>
    <row r="11" spans="1:16" x14ac:dyDescent="0.25">
      <c r="A11" s="2" t="s">
        <v>2</v>
      </c>
      <c r="B11" s="2"/>
      <c r="C11" s="5">
        <v>7</v>
      </c>
      <c r="D11" s="5">
        <v>0</v>
      </c>
      <c r="E11" s="5">
        <v>0</v>
      </c>
      <c r="F11" s="5"/>
      <c r="G11" s="5"/>
      <c r="H11" s="5"/>
      <c r="I11" s="5"/>
      <c r="J11" s="5"/>
      <c r="K11" s="5" t="b">
        <f t="shared" ref="K11:K26" si="1">IF(NOT(ISBLANK(G11)),SQRT((G11^2*1/I11)/(G11^2*1/I11+1)),IF(NOT(ISBLANK(H11)),SQRT((H11*I11/J11)/(H11*I11/J11+1)*SQRT(1/I11))))</f>
        <v>0</v>
      </c>
      <c r="L11" s="5"/>
      <c r="O11" s="5"/>
    </row>
    <row r="12" spans="1:16" x14ac:dyDescent="0.25">
      <c r="A12" s="2" t="s">
        <v>163</v>
      </c>
      <c r="B12" s="2"/>
      <c r="C12" s="5">
        <v>7</v>
      </c>
      <c r="D12" s="5">
        <v>1</v>
      </c>
      <c r="E12" s="5">
        <v>0</v>
      </c>
      <c r="F12" s="5">
        <v>0</v>
      </c>
      <c r="G12" s="5"/>
      <c r="H12" s="5"/>
      <c r="I12" s="5"/>
      <c r="J12" s="5"/>
      <c r="K12" s="5" t="b">
        <f t="shared" si="1"/>
        <v>0</v>
      </c>
      <c r="L12" s="5"/>
      <c r="O12" s="5"/>
    </row>
    <row r="13" spans="1:16" x14ac:dyDescent="0.25">
      <c r="A13" s="2" t="s">
        <v>3</v>
      </c>
      <c r="B13" s="2"/>
      <c r="C13" s="5">
        <v>8</v>
      </c>
      <c r="D13" s="5">
        <v>1</v>
      </c>
      <c r="E13" s="5">
        <v>0</v>
      </c>
      <c r="F13" s="5">
        <v>0</v>
      </c>
      <c r="G13" s="5"/>
      <c r="H13" s="5"/>
      <c r="I13" s="5"/>
      <c r="J13" s="5"/>
      <c r="K13" s="5" t="b">
        <f t="shared" si="1"/>
        <v>0</v>
      </c>
      <c r="L13" s="5"/>
      <c r="O13" s="5"/>
    </row>
    <row r="14" spans="1:16" x14ac:dyDescent="0.25">
      <c r="A14" s="2" t="s">
        <v>164</v>
      </c>
      <c r="B14" s="2"/>
      <c r="C14" s="5">
        <v>8</v>
      </c>
      <c r="D14" s="5">
        <v>1</v>
      </c>
      <c r="E14" s="5">
        <v>0</v>
      </c>
      <c r="F14" s="5">
        <v>0</v>
      </c>
      <c r="G14" s="5"/>
      <c r="H14" s="5"/>
      <c r="I14" s="5"/>
      <c r="J14" s="5"/>
      <c r="K14" s="5" t="b">
        <f t="shared" si="1"/>
        <v>0</v>
      </c>
      <c r="L14" s="5"/>
      <c r="O14" s="5"/>
    </row>
    <row r="15" spans="1:16" x14ac:dyDescent="0.25">
      <c r="A15" s="2" t="s">
        <v>273</v>
      </c>
      <c r="B15" s="2"/>
      <c r="C15" s="5">
        <v>9</v>
      </c>
      <c r="D15" s="5">
        <v>0</v>
      </c>
      <c r="E15" s="5">
        <v>0</v>
      </c>
      <c r="F15" s="5"/>
      <c r="G15" s="5"/>
      <c r="H15" s="5"/>
      <c r="I15" s="5"/>
      <c r="J15" s="5"/>
      <c r="K15" s="5" t="b">
        <f t="shared" si="1"/>
        <v>0</v>
      </c>
      <c r="L15" s="5"/>
      <c r="O15" s="5"/>
    </row>
    <row r="16" spans="1:16" x14ac:dyDescent="0.25">
      <c r="A16" s="2" t="s">
        <v>4</v>
      </c>
      <c r="B16" s="2"/>
      <c r="C16" s="5">
        <v>11</v>
      </c>
      <c r="D16" s="5">
        <v>0</v>
      </c>
      <c r="E16" s="5">
        <v>0</v>
      </c>
      <c r="F16" s="5"/>
      <c r="G16" s="5"/>
      <c r="H16" s="5"/>
      <c r="I16" s="5"/>
      <c r="J16" s="5"/>
      <c r="K16" s="5" t="b">
        <f t="shared" si="1"/>
        <v>0</v>
      </c>
      <c r="L16" s="5"/>
      <c r="O16" s="5"/>
    </row>
    <row r="17" spans="1:15" x14ac:dyDescent="0.25">
      <c r="A17" s="2" t="s">
        <v>165</v>
      </c>
      <c r="B17" s="2"/>
      <c r="C17" s="5">
        <v>11</v>
      </c>
      <c r="D17" s="5">
        <v>0</v>
      </c>
      <c r="E17" s="5">
        <v>0</v>
      </c>
      <c r="F17" s="5"/>
      <c r="G17" s="5"/>
      <c r="H17" s="5"/>
      <c r="I17" s="5"/>
      <c r="J17" s="5"/>
      <c r="K17" s="5" t="b">
        <f t="shared" si="1"/>
        <v>0</v>
      </c>
      <c r="L17" s="5"/>
      <c r="O17" s="5"/>
    </row>
    <row r="18" spans="1:15" x14ac:dyDescent="0.25">
      <c r="A18" s="2" t="s">
        <v>274</v>
      </c>
      <c r="B18" s="2"/>
      <c r="C18" s="5">
        <v>11</v>
      </c>
      <c r="D18" s="5">
        <v>0</v>
      </c>
      <c r="E18" s="5">
        <v>0</v>
      </c>
      <c r="F18" s="5"/>
      <c r="G18" s="5"/>
      <c r="H18" s="5"/>
      <c r="I18" s="5"/>
      <c r="J18" s="5"/>
      <c r="K18" s="5" t="b">
        <f t="shared" si="1"/>
        <v>0</v>
      </c>
      <c r="L18" s="5"/>
      <c r="O18" s="5"/>
    </row>
    <row r="19" spans="1:15" x14ac:dyDescent="0.25">
      <c r="A19" s="2" t="s">
        <v>349</v>
      </c>
      <c r="B19" s="2"/>
      <c r="C19" s="5">
        <v>11</v>
      </c>
      <c r="D19" s="5">
        <v>0</v>
      </c>
      <c r="E19" s="5">
        <v>0</v>
      </c>
      <c r="F19" s="5"/>
      <c r="G19" s="5"/>
      <c r="H19" s="5"/>
      <c r="I19" s="5"/>
      <c r="J19" s="5"/>
      <c r="K19" s="5" t="b">
        <f t="shared" si="1"/>
        <v>0</v>
      </c>
      <c r="L19" s="5"/>
      <c r="O19" s="5"/>
    </row>
    <row r="20" spans="1:15" x14ac:dyDescent="0.25">
      <c r="A20" s="2" t="s">
        <v>396</v>
      </c>
      <c r="B20" s="2"/>
      <c r="C20" s="5">
        <v>11</v>
      </c>
      <c r="D20" s="5">
        <v>1</v>
      </c>
      <c r="E20" s="5">
        <v>0</v>
      </c>
      <c r="F20" s="5">
        <v>0</v>
      </c>
      <c r="G20" s="5"/>
      <c r="H20" s="5"/>
      <c r="I20" s="5"/>
      <c r="J20" s="5"/>
      <c r="K20" s="5" t="b">
        <f t="shared" si="1"/>
        <v>0</v>
      </c>
      <c r="L20" s="5"/>
      <c r="O20" s="5"/>
    </row>
    <row r="21" spans="1:15" x14ac:dyDescent="0.25">
      <c r="A21" s="2" t="s">
        <v>435</v>
      </c>
      <c r="B21" s="2"/>
      <c r="C21" s="5">
        <v>11</v>
      </c>
      <c r="D21" s="5">
        <v>1</v>
      </c>
      <c r="E21" s="5">
        <v>0</v>
      </c>
      <c r="F21" s="5">
        <v>0</v>
      </c>
      <c r="G21" s="5"/>
      <c r="H21" s="5"/>
      <c r="I21" s="5"/>
      <c r="J21" s="5"/>
      <c r="K21" s="5" t="b">
        <f t="shared" si="1"/>
        <v>0</v>
      </c>
      <c r="L21" s="5"/>
      <c r="O21" s="5"/>
    </row>
    <row r="22" spans="1:15" x14ac:dyDescent="0.25">
      <c r="A22" s="2" t="s">
        <v>466</v>
      </c>
      <c r="B22" s="2"/>
      <c r="C22" s="5">
        <v>11</v>
      </c>
      <c r="D22" s="5">
        <v>0</v>
      </c>
      <c r="E22" s="5">
        <v>0</v>
      </c>
      <c r="F22" s="5"/>
      <c r="G22" s="5"/>
      <c r="H22" s="5"/>
      <c r="I22" s="5"/>
      <c r="J22" s="5"/>
      <c r="K22" s="5" t="b">
        <f t="shared" si="1"/>
        <v>0</v>
      </c>
      <c r="L22" s="5"/>
      <c r="O22" s="5"/>
    </row>
    <row r="23" spans="1:15" x14ac:dyDescent="0.25">
      <c r="A23" s="2" t="s">
        <v>5</v>
      </c>
      <c r="B23" s="2"/>
      <c r="C23" s="5">
        <v>12</v>
      </c>
      <c r="D23" s="5">
        <v>1</v>
      </c>
      <c r="E23" s="5">
        <v>0</v>
      </c>
      <c r="F23" s="5">
        <v>1</v>
      </c>
      <c r="G23" s="5">
        <v>3.67</v>
      </c>
      <c r="H23" s="5"/>
      <c r="I23" s="5">
        <v>206</v>
      </c>
      <c r="J23" s="5"/>
      <c r="K23" s="5">
        <f t="shared" si="1"/>
        <v>0.24773055224580612</v>
      </c>
      <c r="L23" s="5"/>
      <c r="M23" s="25" t="s">
        <v>676</v>
      </c>
      <c r="N23" s="25" t="s">
        <v>676</v>
      </c>
      <c r="O23" s="5"/>
    </row>
    <row r="24" spans="1:15" x14ac:dyDescent="0.25">
      <c r="A24" s="2" t="s">
        <v>350</v>
      </c>
      <c r="B24" s="2"/>
      <c r="C24" s="5">
        <v>12</v>
      </c>
      <c r="D24" s="5">
        <v>0</v>
      </c>
      <c r="E24" s="5">
        <v>0</v>
      </c>
      <c r="F24" s="5"/>
      <c r="G24" s="5"/>
      <c r="H24" s="5"/>
      <c r="I24" s="5"/>
      <c r="J24" s="5"/>
      <c r="K24" s="5" t="b">
        <f t="shared" si="1"/>
        <v>0</v>
      </c>
      <c r="L24" s="5"/>
      <c r="O24" s="5"/>
    </row>
    <row r="25" spans="1:15" x14ac:dyDescent="0.25">
      <c r="A25" s="2" t="s">
        <v>436</v>
      </c>
      <c r="B25" s="2"/>
      <c r="C25" s="5">
        <v>12</v>
      </c>
      <c r="D25" s="5">
        <v>0</v>
      </c>
      <c r="E25" s="5">
        <v>0</v>
      </c>
      <c r="F25" s="5"/>
      <c r="G25" s="5"/>
      <c r="H25" s="5"/>
      <c r="I25" s="5"/>
      <c r="J25" s="5"/>
      <c r="K25" s="5" t="b">
        <f t="shared" si="1"/>
        <v>0</v>
      </c>
      <c r="L25" s="5"/>
      <c r="O25" s="5"/>
    </row>
    <row r="26" spans="1:15" x14ac:dyDescent="0.25">
      <c r="A26" s="2" t="s">
        <v>467</v>
      </c>
      <c r="B26" s="2"/>
      <c r="C26" s="5">
        <v>12</v>
      </c>
      <c r="D26" s="5">
        <v>0</v>
      </c>
      <c r="E26" s="5">
        <v>0</v>
      </c>
      <c r="F26" s="5"/>
      <c r="G26" s="5"/>
      <c r="H26" s="5"/>
      <c r="I26" s="5"/>
      <c r="J26" s="5"/>
      <c r="K26" s="5" t="b">
        <f t="shared" si="1"/>
        <v>0</v>
      </c>
      <c r="L26" s="5"/>
      <c r="O26" s="5"/>
    </row>
    <row r="27" spans="1:15" s="18" customFormat="1" x14ac:dyDescent="0.25">
      <c r="A27" s="18" t="s">
        <v>671</v>
      </c>
      <c r="C27" s="19">
        <v>17</v>
      </c>
      <c r="D27" s="20">
        <v>1</v>
      </c>
      <c r="E27" s="20">
        <v>1</v>
      </c>
      <c r="K27" s="20">
        <v>0.76</v>
      </c>
      <c r="M27" s="26"/>
      <c r="N27" s="26"/>
    </row>
    <row r="28" spans="1:15" x14ac:dyDescent="0.25">
      <c r="A28" s="2" t="s">
        <v>6</v>
      </c>
      <c r="B28" s="2"/>
      <c r="C28" s="5">
        <v>26</v>
      </c>
      <c r="D28" s="5">
        <v>0</v>
      </c>
      <c r="E28" s="5">
        <v>0</v>
      </c>
      <c r="F28" s="5"/>
      <c r="G28" s="5"/>
      <c r="H28" s="5"/>
      <c r="I28" s="5"/>
      <c r="J28" s="5"/>
      <c r="K28" s="5" t="b">
        <f t="shared" ref="K28:K59" si="2">IF(NOT(ISBLANK(G28)),SQRT((G28^2*1/I28)/(G28^2*1/I28+1)),IF(NOT(ISBLANK(H28)),SQRT((H28*I28/J28)/(H28*I28/J28+1)*SQRT(1/I28))))</f>
        <v>0</v>
      </c>
      <c r="L28" s="5"/>
      <c r="O28" s="5"/>
    </row>
    <row r="29" spans="1:15" x14ac:dyDescent="0.25">
      <c r="A29" s="2" t="s">
        <v>468</v>
      </c>
      <c r="B29" s="2"/>
      <c r="C29" s="5">
        <v>26</v>
      </c>
      <c r="D29" s="5">
        <v>1</v>
      </c>
      <c r="E29" s="5">
        <v>0</v>
      </c>
      <c r="F29" s="5">
        <v>0</v>
      </c>
      <c r="G29" s="5"/>
      <c r="H29" s="5"/>
      <c r="I29" s="5"/>
      <c r="J29" s="5"/>
      <c r="K29" s="5" t="b">
        <f t="shared" si="2"/>
        <v>0</v>
      </c>
      <c r="L29" s="5"/>
      <c r="O29" s="5"/>
    </row>
    <row r="30" spans="1:15" x14ac:dyDescent="0.25">
      <c r="A30" s="2" t="s">
        <v>497</v>
      </c>
      <c r="B30" s="2"/>
      <c r="C30" s="5">
        <v>26</v>
      </c>
      <c r="D30" s="5">
        <v>1</v>
      </c>
      <c r="E30" s="5">
        <v>0</v>
      </c>
      <c r="F30" s="5">
        <v>0</v>
      </c>
      <c r="G30" s="5"/>
      <c r="H30" s="5"/>
      <c r="I30" s="5"/>
      <c r="J30" s="5"/>
      <c r="K30" s="5" t="b">
        <f t="shared" si="2"/>
        <v>0</v>
      </c>
      <c r="L30" s="5"/>
      <c r="O30" s="5"/>
    </row>
    <row r="31" spans="1:15" x14ac:dyDescent="0.25">
      <c r="A31" s="2" t="s">
        <v>514</v>
      </c>
      <c r="B31" s="2"/>
      <c r="C31" s="5">
        <v>26</v>
      </c>
      <c r="D31" s="5">
        <v>0</v>
      </c>
      <c r="E31" s="5">
        <v>0</v>
      </c>
      <c r="F31" s="5"/>
      <c r="G31" s="5"/>
      <c r="H31" s="5"/>
      <c r="I31" s="5"/>
      <c r="J31" s="5"/>
      <c r="K31" s="5" t="b">
        <f t="shared" si="2"/>
        <v>0</v>
      </c>
      <c r="L31" s="5"/>
      <c r="O31" s="5"/>
    </row>
    <row r="32" spans="1:15" x14ac:dyDescent="0.25">
      <c r="A32" s="2" t="s">
        <v>515</v>
      </c>
      <c r="B32" s="2"/>
      <c r="C32" s="5">
        <v>26</v>
      </c>
      <c r="D32" s="5">
        <v>0</v>
      </c>
      <c r="E32" s="5">
        <v>1</v>
      </c>
      <c r="F32" s="5"/>
      <c r="G32" s="5"/>
      <c r="H32" s="5"/>
      <c r="I32" s="5"/>
      <c r="J32" s="5"/>
      <c r="K32" s="5" t="b">
        <f t="shared" si="2"/>
        <v>0</v>
      </c>
      <c r="L32" s="5"/>
      <c r="O32" s="5"/>
    </row>
    <row r="33" spans="1:20" x14ac:dyDescent="0.25">
      <c r="A33" s="2" t="s">
        <v>543</v>
      </c>
      <c r="B33" s="2"/>
      <c r="C33" s="5">
        <v>26</v>
      </c>
      <c r="D33" s="5">
        <v>0</v>
      </c>
      <c r="E33" s="5">
        <v>1</v>
      </c>
      <c r="F33" s="5"/>
      <c r="G33" s="5"/>
      <c r="H33" s="5"/>
      <c r="I33" s="5"/>
      <c r="J33" s="5"/>
      <c r="K33" s="5" t="b">
        <f t="shared" si="2"/>
        <v>0</v>
      </c>
      <c r="L33" s="5"/>
      <c r="O33" s="5"/>
    </row>
    <row r="34" spans="1:20" x14ac:dyDescent="0.25">
      <c r="A34" s="2" t="s">
        <v>543</v>
      </c>
      <c r="B34" s="2"/>
      <c r="C34" s="5">
        <v>26</v>
      </c>
      <c r="D34" s="5">
        <v>0</v>
      </c>
      <c r="E34" s="5">
        <v>1</v>
      </c>
      <c r="F34" s="5"/>
      <c r="G34" s="5"/>
      <c r="H34" s="5"/>
      <c r="I34" s="5"/>
      <c r="J34" s="5"/>
      <c r="K34" s="5" t="b">
        <f t="shared" si="2"/>
        <v>0</v>
      </c>
      <c r="L34" s="5"/>
      <c r="O34" s="5"/>
    </row>
    <row r="35" spans="1:20" x14ac:dyDescent="0.25">
      <c r="A35" s="2" t="s">
        <v>542</v>
      </c>
      <c r="B35" s="2"/>
      <c r="C35" s="5">
        <v>26</v>
      </c>
      <c r="D35" s="5">
        <v>0</v>
      </c>
      <c r="E35" s="5">
        <v>0</v>
      </c>
      <c r="F35" s="5"/>
      <c r="G35" s="5"/>
      <c r="H35" s="5"/>
      <c r="I35" s="5"/>
      <c r="J35" s="5"/>
      <c r="K35" s="5" t="b">
        <f t="shared" si="2"/>
        <v>0</v>
      </c>
      <c r="L35" s="5"/>
      <c r="O35" s="5"/>
    </row>
    <row r="36" spans="1:20" x14ac:dyDescent="0.25">
      <c r="A36" s="2" t="s">
        <v>543</v>
      </c>
      <c r="B36" s="2"/>
      <c r="C36" s="5">
        <v>26</v>
      </c>
      <c r="D36" s="5">
        <v>0</v>
      </c>
      <c r="E36" s="5">
        <v>1</v>
      </c>
      <c r="F36" s="5"/>
      <c r="G36" s="5"/>
      <c r="H36" s="5"/>
      <c r="I36" s="5"/>
      <c r="J36" s="5"/>
      <c r="K36" s="5" t="b">
        <f t="shared" si="2"/>
        <v>0</v>
      </c>
      <c r="L36" s="5"/>
      <c r="O36" s="5"/>
    </row>
    <row r="37" spans="1:20" x14ac:dyDescent="0.25">
      <c r="A37" s="2" t="s">
        <v>7</v>
      </c>
      <c r="B37" s="2"/>
      <c r="C37" s="5">
        <v>33</v>
      </c>
      <c r="D37" s="4">
        <v>2</v>
      </c>
      <c r="E37" s="5">
        <v>0</v>
      </c>
      <c r="F37" s="5"/>
      <c r="G37" s="5"/>
      <c r="H37" s="5"/>
      <c r="I37" s="5"/>
      <c r="J37" s="5"/>
      <c r="K37" s="5" t="b">
        <f t="shared" si="2"/>
        <v>0</v>
      </c>
      <c r="L37" s="5"/>
      <c r="O37" s="5" t="s">
        <v>585</v>
      </c>
    </row>
    <row r="38" spans="1:20" x14ac:dyDescent="0.25">
      <c r="A38" s="2" t="s">
        <v>7</v>
      </c>
      <c r="B38" s="2"/>
      <c r="C38" s="5">
        <v>33</v>
      </c>
      <c r="D38" s="4">
        <v>2</v>
      </c>
      <c r="E38" s="5">
        <v>1</v>
      </c>
      <c r="F38" s="5"/>
      <c r="G38" s="5"/>
      <c r="H38" s="5"/>
      <c r="I38" s="5"/>
      <c r="J38" s="5"/>
      <c r="K38" s="5" t="b">
        <f t="shared" si="2"/>
        <v>0</v>
      </c>
      <c r="L38" s="5"/>
      <c r="O38" s="5" t="s">
        <v>585</v>
      </c>
    </row>
    <row r="39" spans="1:20" x14ac:dyDescent="0.25">
      <c r="A39" s="2" t="s">
        <v>351</v>
      </c>
      <c r="B39" s="2"/>
      <c r="C39" s="5">
        <v>33</v>
      </c>
      <c r="D39" s="4">
        <v>2</v>
      </c>
      <c r="E39" s="5">
        <v>1</v>
      </c>
      <c r="F39" s="5"/>
      <c r="G39" s="5"/>
      <c r="H39" s="5"/>
      <c r="I39" s="5"/>
      <c r="J39" s="5"/>
      <c r="K39" s="5" t="b">
        <f t="shared" si="2"/>
        <v>0</v>
      </c>
      <c r="L39" s="5"/>
      <c r="O39" s="5" t="s">
        <v>585</v>
      </c>
    </row>
    <row r="40" spans="1:20" x14ac:dyDescent="0.25">
      <c r="A40" s="2" t="s">
        <v>437</v>
      </c>
      <c r="B40" s="2"/>
      <c r="C40" s="5">
        <v>33</v>
      </c>
      <c r="D40" s="4">
        <v>7</v>
      </c>
      <c r="E40" s="5">
        <v>0</v>
      </c>
      <c r="F40" s="5"/>
      <c r="G40" s="5"/>
      <c r="H40" s="5"/>
      <c r="I40" s="5"/>
      <c r="J40" s="5"/>
      <c r="K40" s="5" t="b">
        <f t="shared" si="2"/>
        <v>0</v>
      </c>
      <c r="L40" s="5"/>
      <c r="O40" s="5" t="s">
        <v>585</v>
      </c>
    </row>
    <row r="41" spans="1:20" x14ac:dyDescent="0.25">
      <c r="A41" s="2" t="s">
        <v>437</v>
      </c>
      <c r="B41" s="2"/>
      <c r="C41" s="5">
        <v>33</v>
      </c>
      <c r="D41" s="4">
        <v>7</v>
      </c>
      <c r="E41" s="5">
        <v>1</v>
      </c>
      <c r="F41" s="5"/>
      <c r="G41" s="5"/>
      <c r="H41" s="5"/>
      <c r="I41" s="5"/>
      <c r="J41" s="5"/>
      <c r="K41" s="5" t="b">
        <f t="shared" si="2"/>
        <v>0</v>
      </c>
      <c r="L41" s="5"/>
      <c r="O41" s="5" t="s">
        <v>585</v>
      </c>
    </row>
    <row r="42" spans="1:20" x14ac:dyDescent="0.25">
      <c r="A42" s="2" t="s">
        <v>437</v>
      </c>
      <c r="B42" s="2"/>
      <c r="C42" s="5">
        <v>33</v>
      </c>
      <c r="D42" s="4">
        <v>7</v>
      </c>
      <c r="E42" s="5">
        <v>1</v>
      </c>
      <c r="F42" s="5"/>
      <c r="G42" s="5"/>
      <c r="H42" s="5"/>
      <c r="I42" s="5"/>
      <c r="J42" s="5"/>
      <c r="K42" s="5" t="b">
        <f t="shared" si="2"/>
        <v>0</v>
      </c>
      <c r="L42" s="5"/>
      <c r="O42" s="5" t="s">
        <v>585</v>
      </c>
    </row>
    <row r="43" spans="1:20" x14ac:dyDescent="0.25">
      <c r="A43" s="2" t="s">
        <v>563</v>
      </c>
      <c r="B43" s="2"/>
      <c r="C43" s="5">
        <v>33</v>
      </c>
      <c r="D43" s="4">
        <v>3</v>
      </c>
      <c r="E43" s="5">
        <v>0</v>
      </c>
      <c r="F43" s="5"/>
      <c r="G43" s="5"/>
      <c r="H43" s="5"/>
      <c r="I43" s="5"/>
      <c r="J43" s="5"/>
      <c r="K43" s="5" t="b">
        <f t="shared" si="2"/>
        <v>0</v>
      </c>
      <c r="L43" s="5"/>
      <c r="O43" s="5" t="s">
        <v>585</v>
      </c>
    </row>
    <row r="44" spans="1:20" x14ac:dyDescent="0.25">
      <c r="A44" s="2" t="s">
        <v>571</v>
      </c>
      <c r="B44" s="2"/>
      <c r="C44" s="5">
        <v>33</v>
      </c>
      <c r="D44" s="4">
        <v>3</v>
      </c>
      <c r="E44" s="5">
        <v>0</v>
      </c>
      <c r="F44" s="5"/>
      <c r="G44" s="5"/>
      <c r="H44" s="5"/>
      <c r="I44" s="5"/>
      <c r="J44" s="5"/>
      <c r="K44" s="5" t="b">
        <f t="shared" si="2"/>
        <v>0</v>
      </c>
      <c r="L44" s="5"/>
      <c r="O44" s="5" t="s">
        <v>585</v>
      </c>
    </row>
    <row r="45" spans="1:20" x14ac:dyDescent="0.25">
      <c r="A45" s="2" t="s">
        <v>8</v>
      </c>
      <c r="B45" s="2"/>
      <c r="C45" s="5">
        <v>34</v>
      </c>
      <c r="D45" s="5">
        <v>1</v>
      </c>
      <c r="E45" s="5">
        <v>0</v>
      </c>
      <c r="F45" s="5">
        <v>0</v>
      </c>
      <c r="G45" s="5"/>
      <c r="H45" s="5"/>
      <c r="I45" s="5"/>
      <c r="J45" s="5"/>
      <c r="K45" s="5" t="b">
        <f t="shared" si="2"/>
        <v>0</v>
      </c>
      <c r="L45" s="5"/>
      <c r="O45" s="5"/>
    </row>
    <row r="46" spans="1:20" x14ac:dyDescent="0.25">
      <c r="A46" s="9" t="s">
        <v>166</v>
      </c>
      <c r="B46" s="9"/>
      <c r="C46" s="10">
        <v>34</v>
      </c>
      <c r="D46" s="10">
        <v>1</v>
      </c>
      <c r="E46" s="5">
        <v>0</v>
      </c>
      <c r="F46" s="10">
        <v>0</v>
      </c>
      <c r="G46" s="10"/>
      <c r="H46" s="10"/>
      <c r="I46" s="10"/>
      <c r="J46" s="10"/>
      <c r="K46" s="10" t="b">
        <f t="shared" si="2"/>
        <v>0</v>
      </c>
      <c r="L46" s="10"/>
      <c r="M46" s="27"/>
      <c r="N46" s="27"/>
      <c r="O46" s="10"/>
      <c r="P46" s="13"/>
      <c r="Q46" s="13"/>
      <c r="R46" s="13"/>
      <c r="S46" s="13"/>
      <c r="T46" s="13"/>
    </row>
    <row r="47" spans="1:20" x14ac:dyDescent="0.25">
      <c r="A47" s="2" t="s">
        <v>275</v>
      </c>
      <c r="B47" s="2"/>
      <c r="C47" s="5">
        <v>36</v>
      </c>
      <c r="D47" s="5">
        <v>2</v>
      </c>
      <c r="E47" s="5">
        <v>0</v>
      </c>
      <c r="F47" s="5" t="s">
        <v>590</v>
      </c>
      <c r="G47" s="5"/>
      <c r="H47" s="5">
        <v>1.99</v>
      </c>
      <c r="I47" s="5">
        <v>1</v>
      </c>
      <c r="J47" s="5">
        <v>267</v>
      </c>
      <c r="K47" s="5">
        <f t="shared" si="2"/>
        <v>8.6011886021477482E-2</v>
      </c>
      <c r="L47" s="5"/>
      <c r="M47" s="25">
        <v>0</v>
      </c>
      <c r="N47" s="25">
        <v>0</v>
      </c>
      <c r="O47" s="5"/>
    </row>
    <row r="48" spans="1:20" x14ac:dyDescent="0.25">
      <c r="A48" s="2" t="s">
        <v>352</v>
      </c>
      <c r="B48" s="2"/>
      <c r="C48" s="5">
        <v>36</v>
      </c>
      <c r="D48" s="5">
        <v>1</v>
      </c>
      <c r="E48" s="5">
        <v>0</v>
      </c>
      <c r="F48" s="5" t="s">
        <v>590</v>
      </c>
      <c r="G48" s="5"/>
      <c r="H48" s="5">
        <v>0.06</v>
      </c>
      <c r="I48" s="5">
        <v>1</v>
      </c>
      <c r="J48" s="5">
        <v>267</v>
      </c>
      <c r="K48" s="5">
        <f t="shared" si="2"/>
        <v>1.4988949722867606E-2</v>
      </c>
      <c r="L48" s="5"/>
      <c r="M48" s="25">
        <v>0</v>
      </c>
      <c r="N48" s="25">
        <v>0</v>
      </c>
      <c r="O48" s="5"/>
    </row>
    <row r="49" spans="1:15" x14ac:dyDescent="0.25">
      <c r="A49" s="2" t="s">
        <v>397</v>
      </c>
      <c r="B49" s="2" t="s">
        <v>588</v>
      </c>
      <c r="C49" s="5">
        <v>36</v>
      </c>
      <c r="D49" s="5">
        <v>1</v>
      </c>
      <c r="E49" s="5">
        <v>0</v>
      </c>
      <c r="F49" s="5" t="s">
        <v>590</v>
      </c>
      <c r="G49" s="5">
        <v>-4.01</v>
      </c>
      <c r="H49" s="5"/>
      <c r="I49" s="5">
        <v>268</v>
      </c>
      <c r="J49" s="5"/>
      <c r="K49" s="5">
        <f t="shared" si="2"/>
        <v>0.23791617362636916</v>
      </c>
      <c r="L49" s="5"/>
      <c r="M49" s="25">
        <v>0</v>
      </c>
      <c r="N49" s="25">
        <v>0</v>
      </c>
      <c r="O49" s="5"/>
    </row>
    <row r="50" spans="1:15" x14ac:dyDescent="0.25">
      <c r="A50" s="2" t="s">
        <v>9</v>
      </c>
      <c r="B50" s="2"/>
      <c r="C50" s="5">
        <v>37</v>
      </c>
      <c r="D50" s="5">
        <v>1</v>
      </c>
      <c r="E50" s="5">
        <v>0</v>
      </c>
      <c r="F50" s="5" t="s">
        <v>590</v>
      </c>
      <c r="G50" s="5"/>
      <c r="H50" s="5">
        <v>4.8099999999999996</v>
      </c>
      <c r="I50" s="5">
        <v>1</v>
      </c>
      <c r="J50" s="5">
        <v>199</v>
      </c>
      <c r="K50" s="5">
        <f t="shared" si="2"/>
        <v>0.153624256380852</v>
      </c>
      <c r="L50" s="5"/>
      <c r="M50" s="25">
        <v>0</v>
      </c>
      <c r="N50" s="25">
        <v>0</v>
      </c>
      <c r="O50" s="5"/>
    </row>
    <row r="51" spans="1:15" x14ac:dyDescent="0.25">
      <c r="A51" s="2" t="s">
        <v>167</v>
      </c>
      <c r="B51" s="2"/>
      <c r="C51" s="5">
        <v>37</v>
      </c>
      <c r="D51" s="5">
        <v>1</v>
      </c>
      <c r="E51" s="5">
        <v>0</v>
      </c>
      <c r="F51" s="5" t="s">
        <v>590</v>
      </c>
      <c r="G51" s="5"/>
      <c r="H51" s="5">
        <v>19.97</v>
      </c>
      <c r="I51" s="5">
        <v>1</v>
      </c>
      <c r="J51" s="5">
        <v>199</v>
      </c>
      <c r="K51" s="5">
        <f t="shared" si="2"/>
        <v>0.30199289349671637</v>
      </c>
      <c r="L51" s="5"/>
      <c r="M51" s="25">
        <v>0</v>
      </c>
      <c r="N51" s="25">
        <v>0</v>
      </c>
      <c r="O51" s="5"/>
    </row>
    <row r="52" spans="1:15" x14ac:dyDescent="0.25">
      <c r="A52" s="2" t="s">
        <v>276</v>
      </c>
      <c r="B52" s="2"/>
      <c r="C52" s="5">
        <v>37</v>
      </c>
      <c r="D52" s="5">
        <v>1</v>
      </c>
      <c r="E52" s="5">
        <v>0</v>
      </c>
      <c r="F52" s="5" t="s">
        <v>590</v>
      </c>
      <c r="G52" s="5"/>
      <c r="H52" s="5">
        <v>5.89</v>
      </c>
      <c r="I52" s="5">
        <v>1</v>
      </c>
      <c r="J52" s="5">
        <v>199</v>
      </c>
      <c r="K52" s="5">
        <f t="shared" si="2"/>
        <v>0.16954979388881822</v>
      </c>
      <c r="L52" s="5"/>
      <c r="M52" s="25">
        <v>0</v>
      </c>
      <c r="N52" s="25">
        <v>0</v>
      </c>
      <c r="O52" s="5"/>
    </row>
    <row r="53" spans="1:15" x14ac:dyDescent="0.25">
      <c r="A53" s="2" t="s">
        <v>353</v>
      </c>
      <c r="B53" s="2"/>
      <c r="C53" s="5">
        <v>37</v>
      </c>
      <c r="D53" s="5">
        <v>0</v>
      </c>
      <c r="E53" s="5">
        <v>0</v>
      </c>
      <c r="F53" s="5">
        <v>0</v>
      </c>
      <c r="G53" s="5"/>
      <c r="H53" s="5"/>
      <c r="I53" s="5"/>
      <c r="J53" s="5"/>
      <c r="K53" s="5" t="b">
        <f t="shared" si="2"/>
        <v>0</v>
      </c>
      <c r="L53" s="5"/>
      <c r="O53" s="5" t="s">
        <v>589</v>
      </c>
    </row>
    <row r="54" spans="1:15" x14ac:dyDescent="0.25">
      <c r="A54" s="2" t="s">
        <v>438</v>
      </c>
      <c r="B54" s="2"/>
      <c r="C54" s="5">
        <v>37</v>
      </c>
      <c r="D54" s="5">
        <v>1</v>
      </c>
      <c r="E54" s="5">
        <v>0</v>
      </c>
      <c r="F54" s="5" t="s">
        <v>590</v>
      </c>
      <c r="G54" s="5"/>
      <c r="H54" s="5">
        <v>0.3</v>
      </c>
      <c r="I54" s="5">
        <v>1</v>
      </c>
      <c r="J54" s="5">
        <v>199</v>
      </c>
      <c r="K54" s="5">
        <f t="shared" si="2"/>
        <v>3.8797789106318731E-2</v>
      </c>
      <c r="L54" s="5"/>
      <c r="M54" s="25">
        <v>0</v>
      </c>
      <c r="N54" s="25">
        <v>0</v>
      </c>
      <c r="O54" s="5"/>
    </row>
    <row r="55" spans="1:15" x14ac:dyDescent="0.25">
      <c r="A55" s="2" t="s">
        <v>469</v>
      </c>
      <c r="B55" s="2"/>
      <c r="C55" s="5">
        <v>37</v>
      </c>
      <c r="D55" s="5">
        <v>0</v>
      </c>
      <c r="E55" s="5">
        <v>0</v>
      </c>
      <c r="F55" s="5">
        <v>0</v>
      </c>
      <c r="G55" s="5"/>
      <c r="H55" s="5"/>
      <c r="I55" s="5"/>
      <c r="J55" s="5"/>
      <c r="K55" s="5" t="b">
        <f t="shared" si="2"/>
        <v>0</v>
      </c>
      <c r="L55" s="5"/>
      <c r="O55" s="5" t="s">
        <v>589</v>
      </c>
    </row>
    <row r="56" spans="1:15" x14ac:dyDescent="0.25">
      <c r="A56" s="2" t="s">
        <v>10</v>
      </c>
      <c r="B56" s="2"/>
      <c r="C56" s="5">
        <v>41</v>
      </c>
      <c r="D56" s="5">
        <v>0</v>
      </c>
      <c r="E56" s="5">
        <v>0</v>
      </c>
      <c r="F56" s="5">
        <v>0</v>
      </c>
      <c r="G56" s="5"/>
      <c r="H56" s="5"/>
      <c r="I56" s="5"/>
      <c r="J56" s="5"/>
      <c r="K56" s="5" t="b">
        <f t="shared" si="2"/>
        <v>0</v>
      </c>
      <c r="L56" s="5"/>
      <c r="O56" s="5" t="s">
        <v>591</v>
      </c>
    </row>
    <row r="57" spans="1:15" x14ac:dyDescent="0.25">
      <c r="A57" s="2" t="s">
        <v>168</v>
      </c>
      <c r="B57" s="2"/>
      <c r="C57" s="5">
        <v>41</v>
      </c>
      <c r="D57" s="5">
        <v>0</v>
      </c>
      <c r="E57" s="5">
        <v>0</v>
      </c>
      <c r="F57" s="5">
        <v>0</v>
      </c>
      <c r="G57" s="5"/>
      <c r="H57" s="5"/>
      <c r="I57" s="5"/>
      <c r="J57" s="5"/>
      <c r="K57" s="5" t="b">
        <f t="shared" si="2"/>
        <v>0</v>
      </c>
      <c r="L57" s="5"/>
      <c r="O57" s="5" t="s">
        <v>591</v>
      </c>
    </row>
    <row r="58" spans="1:15" x14ac:dyDescent="0.25">
      <c r="A58" s="2" t="s">
        <v>11</v>
      </c>
      <c r="B58" s="2"/>
      <c r="C58" s="5">
        <v>42</v>
      </c>
      <c r="D58" s="5">
        <v>1</v>
      </c>
      <c r="E58" s="5">
        <v>0</v>
      </c>
      <c r="F58" s="5"/>
      <c r="G58" s="5">
        <v>2.17</v>
      </c>
      <c r="H58" s="5"/>
      <c r="I58" s="5">
        <v>80.8</v>
      </c>
      <c r="J58" s="5"/>
      <c r="K58" s="5">
        <f t="shared" si="2"/>
        <v>0.23466810916669403</v>
      </c>
      <c r="L58" s="5"/>
      <c r="M58" s="25" t="s">
        <v>676</v>
      </c>
      <c r="N58" s="25" t="s">
        <v>676</v>
      </c>
      <c r="O58" s="5" t="s">
        <v>602</v>
      </c>
    </row>
    <row r="59" spans="1:15" x14ac:dyDescent="0.25">
      <c r="A59" s="2" t="s">
        <v>169</v>
      </c>
      <c r="B59" s="2"/>
      <c r="C59" s="5">
        <v>42</v>
      </c>
      <c r="D59" s="5">
        <v>1</v>
      </c>
      <c r="E59" s="5">
        <v>0</v>
      </c>
      <c r="F59" s="5">
        <v>0</v>
      </c>
      <c r="G59" s="5"/>
      <c r="H59" s="5"/>
      <c r="I59" s="5"/>
      <c r="J59" s="5"/>
      <c r="K59" s="5" t="b">
        <f t="shared" si="2"/>
        <v>0</v>
      </c>
      <c r="L59" s="5"/>
      <c r="O59" s="5" t="s">
        <v>592</v>
      </c>
    </row>
    <row r="60" spans="1:15" x14ac:dyDescent="0.25">
      <c r="A60" s="2" t="s">
        <v>12</v>
      </c>
      <c r="B60" s="2"/>
      <c r="C60" s="5">
        <v>43</v>
      </c>
      <c r="D60" s="5">
        <v>1</v>
      </c>
      <c r="E60" s="5">
        <v>0</v>
      </c>
      <c r="F60" s="5"/>
      <c r="G60" s="5"/>
      <c r="H60" s="5"/>
      <c r="I60" s="5"/>
      <c r="J60" s="5"/>
      <c r="K60" s="5">
        <v>-0.09</v>
      </c>
      <c r="L60" s="5"/>
      <c r="O60" s="5" t="s">
        <v>602</v>
      </c>
    </row>
    <row r="61" spans="1:15" x14ac:dyDescent="0.25">
      <c r="A61" s="2" t="s">
        <v>170</v>
      </c>
      <c r="B61" s="2"/>
      <c r="C61" s="5">
        <v>43</v>
      </c>
      <c r="D61" s="5">
        <v>1</v>
      </c>
      <c r="E61" s="5">
        <v>0</v>
      </c>
      <c r="F61" s="5"/>
      <c r="G61" s="5"/>
      <c r="H61" s="5"/>
      <c r="I61" s="5"/>
      <c r="J61" s="5"/>
      <c r="K61" s="5">
        <v>0.25</v>
      </c>
      <c r="L61" s="5"/>
      <c r="O61" s="5" t="s">
        <v>602</v>
      </c>
    </row>
    <row r="62" spans="1:15" x14ac:dyDescent="0.25">
      <c r="A62" s="2" t="s">
        <v>277</v>
      </c>
      <c r="B62" s="2"/>
      <c r="C62" s="5">
        <v>43</v>
      </c>
      <c r="D62" s="5">
        <v>1</v>
      </c>
      <c r="E62" s="5">
        <v>0</v>
      </c>
      <c r="F62" s="5"/>
      <c r="G62" s="5"/>
      <c r="H62" s="5"/>
      <c r="I62" s="5"/>
      <c r="J62" s="5"/>
      <c r="K62" s="5">
        <v>-0.03</v>
      </c>
      <c r="L62" s="5"/>
      <c r="O62" s="5" t="s">
        <v>602</v>
      </c>
    </row>
    <row r="63" spans="1:15" x14ac:dyDescent="0.25">
      <c r="A63" s="2" t="s">
        <v>13</v>
      </c>
      <c r="B63" s="2"/>
      <c r="C63" s="5">
        <v>44</v>
      </c>
      <c r="D63" s="5">
        <v>1</v>
      </c>
      <c r="E63" s="5">
        <v>0</v>
      </c>
      <c r="F63" s="5">
        <v>0</v>
      </c>
      <c r="G63" s="5"/>
      <c r="H63" s="5"/>
      <c r="I63" s="5"/>
      <c r="J63" s="5"/>
      <c r="K63" s="5" t="b">
        <f t="shared" ref="K63:K85" si="3">IF(NOT(ISBLANK(G63)),SQRT((G63^2*1/I63)/(G63^2*1/I63+1)),IF(NOT(ISBLANK(H63)),SQRT((H63*I63/J63)/(H63*I63/J63+1)*SQRT(1/I63))))</f>
        <v>0</v>
      </c>
      <c r="L63" s="5"/>
      <c r="O63" s="5"/>
    </row>
    <row r="64" spans="1:15" x14ac:dyDescent="0.25">
      <c r="A64" s="2" t="s">
        <v>171</v>
      </c>
      <c r="B64" s="2"/>
      <c r="C64" s="5">
        <v>44</v>
      </c>
      <c r="D64" s="5">
        <v>1</v>
      </c>
      <c r="E64" s="5">
        <v>0</v>
      </c>
      <c r="F64" s="5">
        <v>0</v>
      </c>
      <c r="G64" s="5"/>
      <c r="H64" s="5"/>
      <c r="I64" s="5"/>
      <c r="J64" s="5"/>
      <c r="K64" s="5" t="b">
        <f t="shared" si="3"/>
        <v>0</v>
      </c>
      <c r="L64" s="5"/>
      <c r="O64" s="5"/>
    </row>
    <row r="65" spans="1:15" x14ac:dyDescent="0.25">
      <c r="A65" s="2" t="s">
        <v>14</v>
      </c>
      <c r="B65" s="2"/>
      <c r="C65" s="5">
        <v>48</v>
      </c>
      <c r="D65" s="5">
        <v>1</v>
      </c>
      <c r="E65" s="5">
        <v>0</v>
      </c>
      <c r="F65" s="5">
        <v>0</v>
      </c>
      <c r="G65" s="5"/>
      <c r="H65" s="5"/>
      <c r="I65" s="5"/>
      <c r="J65" s="5"/>
      <c r="K65" s="5" t="b">
        <f t="shared" si="3"/>
        <v>0</v>
      </c>
      <c r="L65" s="5"/>
      <c r="O65" s="5" t="s">
        <v>593</v>
      </c>
    </row>
    <row r="66" spans="1:15" x14ac:dyDescent="0.25">
      <c r="A66" s="2" t="s">
        <v>172</v>
      </c>
      <c r="B66" s="2"/>
      <c r="C66" s="5">
        <v>48</v>
      </c>
      <c r="D66" s="5">
        <v>1</v>
      </c>
      <c r="E66" s="5">
        <v>0</v>
      </c>
      <c r="F66" s="5">
        <v>0</v>
      </c>
      <c r="G66" s="5"/>
      <c r="H66" s="5"/>
      <c r="I66" s="5"/>
      <c r="J66" s="5"/>
      <c r="K66" s="5" t="b">
        <f t="shared" si="3"/>
        <v>0</v>
      </c>
      <c r="L66" s="5"/>
      <c r="O66" s="5" t="s">
        <v>593</v>
      </c>
    </row>
    <row r="67" spans="1:15" x14ac:dyDescent="0.25">
      <c r="A67" s="2" t="s">
        <v>173</v>
      </c>
      <c r="B67" s="2"/>
      <c r="C67" s="5">
        <v>48</v>
      </c>
      <c r="D67" s="5">
        <v>1</v>
      </c>
      <c r="E67" s="5">
        <v>0</v>
      </c>
      <c r="F67" s="5">
        <v>0</v>
      </c>
      <c r="G67" s="5"/>
      <c r="H67" s="5"/>
      <c r="I67" s="5"/>
      <c r="J67" s="5"/>
      <c r="K67" s="5" t="b">
        <f t="shared" si="3"/>
        <v>0</v>
      </c>
      <c r="L67" s="5"/>
      <c r="O67" s="5" t="s">
        <v>593</v>
      </c>
    </row>
    <row r="68" spans="1:15" x14ac:dyDescent="0.25">
      <c r="A68" s="2" t="s">
        <v>15</v>
      </c>
      <c r="B68" s="2"/>
      <c r="C68" s="5">
        <v>51</v>
      </c>
      <c r="D68" s="5">
        <v>2</v>
      </c>
      <c r="E68" s="5">
        <v>0</v>
      </c>
      <c r="F68" s="5"/>
      <c r="G68" s="5">
        <v>50.96</v>
      </c>
      <c r="H68" s="5"/>
      <c r="I68" s="5">
        <v>295</v>
      </c>
      <c r="J68" s="5"/>
      <c r="K68" s="5">
        <f t="shared" si="3"/>
        <v>0.94762424099764597</v>
      </c>
      <c r="L68" s="5"/>
      <c r="M68" s="25">
        <v>0</v>
      </c>
      <c r="N68" s="25">
        <v>0</v>
      </c>
      <c r="O68" s="5"/>
    </row>
    <row r="69" spans="1:15" x14ac:dyDescent="0.25">
      <c r="A69" s="2" t="s">
        <v>15</v>
      </c>
      <c r="B69" s="2"/>
      <c r="C69" s="5">
        <v>51</v>
      </c>
      <c r="D69" s="5">
        <v>2</v>
      </c>
      <c r="E69" s="5">
        <v>0</v>
      </c>
      <c r="F69" s="5"/>
      <c r="G69" s="5">
        <v>37.54</v>
      </c>
      <c r="H69" s="5"/>
      <c r="I69" s="5">
        <v>295</v>
      </c>
      <c r="J69" s="5"/>
      <c r="K69" s="5">
        <f t="shared" si="3"/>
        <v>0.90934234060589503</v>
      </c>
      <c r="L69" s="5"/>
      <c r="M69" s="25">
        <v>0</v>
      </c>
      <c r="N69" s="25">
        <v>0</v>
      </c>
      <c r="O69" s="5"/>
    </row>
    <row r="70" spans="1:15" x14ac:dyDescent="0.25">
      <c r="A70" s="2" t="s">
        <v>278</v>
      </c>
      <c r="B70" s="2"/>
      <c r="C70" s="5">
        <v>51</v>
      </c>
      <c r="D70" s="5">
        <v>1</v>
      </c>
      <c r="E70" s="5">
        <v>0</v>
      </c>
      <c r="F70" s="5"/>
      <c r="G70" s="5">
        <v>7.28</v>
      </c>
      <c r="H70" s="5"/>
      <c r="I70" s="5">
        <v>131</v>
      </c>
      <c r="J70" s="5"/>
      <c r="K70" s="5">
        <f t="shared" si="3"/>
        <v>0.53669105384826288</v>
      </c>
      <c r="L70" s="5"/>
      <c r="M70" s="25">
        <v>0</v>
      </c>
      <c r="N70" s="25">
        <v>0</v>
      </c>
      <c r="O70" s="5"/>
    </row>
    <row r="71" spans="1:15" x14ac:dyDescent="0.25">
      <c r="A71" s="2" t="s">
        <v>354</v>
      </c>
      <c r="B71" s="2"/>
      <c r="C71" s="5">
        <v>51</v>
      </c>
      <c r="D71" s="5">
        <v>1</v>
      </c>
      <c r="E71" s="5">
        <v>0</v>
      </c>
      <c r="F71" s="5"/>
      <c r="G71" s="5"/>
      <c r="H71" s="5">
        <v>12.49</v>
      </c>
      <c r="I71" s="5">
        <v>1</v>
      </c>
      <c r="J71" s="5">
        <v>293</v>
      </c>
      <c r="K71" s="5">
        <f t="shared" si="3"/>
        <v>0.20220073035553757</v>
      </c>
      <c r="L71" s="5"/>
      <c r="M71" s="25">
        <v>0</v>
      </c>
      <c r="N71" s="25">
        <v>0</v>
      </c>
      <c r="O71" s="5" t="s">
        <v>679</v>
      </c>
    </row>
    <row r="72" spans="1:15" x14ac:dyDescent="0.25">
      <c r="A72" s="2" t="s">
        <v>16</v>
      </c>
      <c r="B72" s="2"/>
      <c r="C72" s="5">
        <v>52</v>
      </c>
      <c r="D72" s="5">
        <v>1</v>
      </c>
      <c r="E72" s="5">
        <v>0</v>
      </c>
      <c r="F72" s="5">
        <v>0</v>
      </c>
      <c r="G72" s="5"/>
      <c r="H72" s="5"/>
      <c r="I72" s="5"/>
      <c r="J72" s="5"/>
      <c r="K72" s="5" t="b">
        <f t="shared" si="3"/>
        <v>0</v>
      </c>
      <c r="L72" s="5"/>
      <c r="O72" s="5" t="s">
        <v>678</v>
      </c>
    </row>
    <row r="73" spans="1:15" x14ac:dyDescent="0.25">
      <c r="A73" s="2" t="s">
        <v>174</v>
      </c>
      <c r="B73" s="2"/>
      <c r="C73" s="5">
        <v>52</v>
      </c>
      <c r="D73" s="5">
        <v>1</v>
      </c>
      <c r="E73" s="5">
        <v>0</v>
      </c>
      <c r="F73" s="5">
        <v>0</v>
      </c>
      <c r="G73" s="5"/>
      <c r="H73" s="5"/>
      <c r="I73" s="5"/>
      <c r="J73" s="5"/>
      <c r="K73" s="5" t="b">
        <f t="shared" si="3"/>
        <v>0</v>
      </c>
      <c r="L73" s="5"/>
      <c r="O73" s="5" t="s">
        <v>594</v>
      </c>
    </row>
    <row r="74" spans="1:15" x14ac:dyDescent="0.25">
      <c r="A74" s="2" t="s">
        <v>279</v>
      </c>
      <c r="B74" s="2"/>
      <c r="C74" s="5">
        <v>52</v>
      </c>
      <c r="D74" s="5">
        <v>1</v>
      </c>
      <c r="E74" s="5">
        <v>0</v>
      </c>
      <c r="F74" s="5">
        <v>0</v>
      </c>
      <c r="G74" s="5"/>
      <c r="H74" s="5"/>
      <c r="I74" s="5"/>
      <c r="J74" s="5"/>
      <c r="K74" s="5" t="b">
        <f t="shared" si="3"/>
        <v>0</v>
      </c>
      <c r="L74" s="5"/>
      <c r="O74" s="5" t="s">
        <v>595</v>
      </c>
    </row>
    <row r="75" spans="1:15" x14ac:dyDescent="0.25">
      <c r="A75" s="2" t="s">
        <v>355</v>
      </c>
      <c r="B75" s="2"/>
      <c r="C75" s="5">
        <v>52</v>
      </c>
      <c r="D75" s="5">
        <v>1</v>
      </c>
      <c r="E75" s="5">
        <v>0</v>
      </c>
      <c r="F75" s="5">
        <v>0</v>
      </c>
      <c r="G75" s="5"/>
      <c r="H75" s="5"/>
      <c r="I75" s="5"/>
      <c r="J75" s="5"/>
      <c r="K75" s="5" t="b">
        <f t="shared" si="3"/>
        <v>0</v>
      </c>
      <c r="L75" s="5"/>
      <c r="O75" s="5"/>
    </row>
    <row r="76" spans="1:15" x14ac:dyDescent="0.25">
      <c r="A76" s="2" t="s">
        <v>398</v>
      </c>
      <c r="B76" s="2"/>
      <c r="C76" s="5">
        <v>52</v>
      </c>
      <c r="D76" s="5">
        <v>1</v>
      </c>
      <c r="E76" s="5">
        <v>0</v>
      </c>
      <c r="F76" s="5">
        <v>0</v>
      </c>
      <c r="G76" s="5"/>
      <c r="H76" s="5"/>
      <c r="I76" s="5"/>
      <c r="J76" s="5"/>
      <c r="K76" s="5" t="b">
        <f t="shared" si="3"/>
        <v>0</v>
      </c>
      <c r="L76" s="5"/>
      <c r="O76" s="5"/>
    </row>
    <row r="77" spans="1:15" x14ac:dyDescent="0.25">
      <c r="A77" s="2" t="s">
        <v>399</v>
      </c>
      <c r="B77" s="2"/>
      <c r="C77" s="5">
        <v>52</v>
      </c>
      <c r="D77" s="5">
        <v>1</v>
      </c>
      <c r="E77" s="5">
        <v>0</v>
      </c>
      <c r="F77" s="5">
        <v>0</v>
      </c>
      <c r="G77" s="5"/>
      <c r="H77" s="5"/>
      <c r="I77" s="5"/>
      <c r="J77" s="5"/>
      <c r="K77" s="5" t="b">
        <f t="shared" si="3"/>
        <v>0</v>
      </c>
      <c r="L77" s="5"/>
      <c r="O77" s="5"/>
    </row>
    <row r="78" spans="1:15" x14ac:dyDescent="0.25">
      <c r="A78" s="2" t="s">
        <v>470</v>
      </c>
      <c r="B78" s="2"/>
      <c r="C78" s="5">
        <v>52</v>
      </c>
      <c r="D78" s="5">
        <v>1</v>
      </c>
      <c r="E78" s="5">
        <v>0</v>
      </c>
      <c r="F78" s="5">
        <v>0</v>
      </c>
      <c r="G78" s="5"/>
      <c r="H78" s="5"/>
      <c r="I78" s="5"/>
      <c r="J78" s="5"/>
      <c r="K78" s="5" t="b">
        <f t="shared" si="3"/>
        <v>0</v>
      </c>
      <c r="L78" s="5"/>
      <c r="O78" s="5"/>
    </row>
    <row r="79" spans="1:15" x14ac:dyDescent="0.25">
      <c r="A79" s="2" t="s">
        <v>470</v>
      </c>
      <c r="B79" s="2"/>
      <c r="C79" s="5">
        <v>52</v>
      </c>
      <c r="D79" s="5">
        <v>1</v>
      </c>
      <c r="E79" s="5">
        <v>1</v>
      </c>
      <c r="F79" s="5">
        <v>0</v>
      </c>
      <c r="G79" s="5"/>
      <c r="H79" s="5"/>
      <c r="I79" s="5"/>
      <c r="J79" s="5"/>
      <c r="K79" s="5" t="b">
        <f t="shared" si="3"/>
        <v>0</v>
      </c>
      <c r="L79" s="5"/>
      <c r="O79" s="5"/>
    </row>
    <row r="80" spans="1:15" x14ac:dyDescent="0.25">
      <c r="A80" s="2" t="s">
        <v>516</v>
      </c>
      <c r="B80" s="2"/>
      <c r="C80" s="5">
        <v>52</v>
      </c>
      <c r="D80" s="5">
        <v>1</v>
      </c>
      <c r="E80" s="5">
        <v>0</v>
      </c>
      <c r="F80" s="5">
        <v>0</v>
      </c>
      <c r="G80" s="5"/>
      <c r="H80" s="5"/>
      <c r="I80" s="5"/>
      <c r="J80" s="5"/>
      <c r="K80" s="5" t="b">
        <f t="shared" si="3"/>
        <v>0</v>
      </c>
      <c r="L80" s="5"/>
      <c r="O80" s="5"/>
    </row>
    <row r="81" spans="1:15" x14ac:dyDescent="0.25">
      <c r="A81" s="2" t="s">
        <v>544</v>
      </c>
      <c r="B81" s="2"/>
      <c r="C81" s="5">
        <v>52</v>
      </c>
      <c r="D81" s="5">
        <v>1</v>
      </c>
      <c r="E81" s="5">
        <v>0</v>
      </c>
      <c r="F81" s="5">
        <v>0</v>
      </c>
      <c r="G81" s="5"/>
      <c r="H81" s="5"/>
      <c r="I81" s="5"/>
      <c r="J81" s="5"/>
      <c r="K81" s="5" t="b">
        <f t="shared" si="3"/>
        <v>0</v>
      </c>
      <c r="L81" s="5"/>
      <c r="O81" s="5"/>
    </row>
    <row r="82" spans="1:15" x14ac:dyDescent="0.25">
      <c r="A82" s="2" t="s">
        <v>553</v>
      </c>
      <c r="B82" s="2"/>
      <c r="C82" s="5">
        <v>52</v>
      </c>
      <c r="D82" s="5">
        <v>1</v>
      </c>
      <c r="E82" s="5">
        <v>1</v>
      </c>
      <c r="F82" s="5">
        <v>0</v>
      </c>
      <c r="G82" s="5"/>
      <c r="H82" s="5"/>
      <c r="I82" s="5"/>
      <c r="J82" s="5"/>
      <c r="K82" s="5" t="b">
        <f t="shared" si="3"/>
        <v>0</v>
      </c>
      <c r="L82" s="5"/>
      <c r="O82" s="5"/>
    </row>
    <row r="83" spans="1:15" x14ac:dyDescent="0.25">
      <c r="A83" s="2" t="s">
        <v>564</v>
      </c>
      <c r="B83" s="2"/>
      <c r="C83" s="5">
        <v>52</v>
      </c>
      <c r="D83" s="5">
        <v>1</v>
      </c>
      <c r="E83" s="5">
        <v>0</v>
      </c>
      <c r="F83" s="5">
        <v>0</v>
      </c>
      <c r="G83" s="5"/>
      <c r="H83" s="5"/>
      <c r="I83" s="5"/>
      <c r="J83" s="5"/>
      <c r="K83" s="5" t="b">
        <f t="shared" si="3"/>
        <v>0</v>
      </c>
      <c r="L83" s="5"/>
      <c r="O83" s="5"/>
    </row>
    <row r="84" spans="1:15" x14ac:dyDescent="0.25">
      <c r="A84" s="2" t="s">
        <v>439</v>
      </c>
      <c r="B84" s="2"/>
      <c r="C84" s="5">
        <v>52</v>
      </c>
      <c r="D84" s="5">
        <v>1</v>
      </c>
      <c r="E84" s="5">
        <v>0</v>
      </c>
      <c r="F84" s="5">
        <v>0</v>
      </c>
      <c r="G84" s="5"/>
      <c r="H84" s="5"/>
      <c r="I84" s="5"/>
      <c r="J84" s="5"/>
      <c r="K84" s="5" t="b">
        <f t="shared" si="3"/>
        <v>0</v>
      </c>
      <c r="L84" s="5"/>
      <c r="O84" s="5"/>
    </row>
    <row r="85" spans="1:15" x14ac:dyDescent="0.25">
      <c r="A85" s="2" t="s">
        <v>517</v>
      </c>
      <c r="B85" s="2"/>
      <c r="C85" s="5">
        <v>52</v>
      </c>
      <c r="D85" s="5">
        <v>1</v>
      </c>
      <c r="E85" s="5">
        <v>0</v>
      </c>
      <c r="F85" s="5">
        <v>0</v>
      </c>
      <c r="G85" s="5"/>
      <c r="H85" s="5"/>
      <c r="I85" s="5"/>
      <c r="J85" s="5"/>
      <c r="K85" s="5" t="b">
        <f t="shared" si="3"/>
        <v>0</v>
      </c>
      <c r="L85" s="5"/>
      <c r="O85" s="5"/>
    </row>
    <row r="86" spans="1:15" x14ac:dyDescent="0.25">
      <c r="A86" s="2" t="s">
        <v>529</v>
      </c>
      <c r="B86" s="2"/>
      <c r="C86" s="5">
        <v>56</v>
      </c>
      <c r="D86" s="5">
        <v>1</v>
      </c>
      <c r="E86" s="5">
        <v>0</v>
      </c>
      <c r="F86" s="5">
        <v>0</v>
      </c>
      <c r="G86" s="5"/>
      <c r="H86" s="5"/>
      <c r="I86" s="5"/>
      <c r="J86" s="5"/>
      <c r="K86" s="5" t="b">
        <f t="shared" ref="K86:K94" si="4">IF(NOT(ISBLANK(G86)),SQRT((G86^2*1/I86)/(G86^2*1/I86+1)),IF(NOT(ISBLANK(H86)),SQRT((H86*I86/J86)/(H86*I86/J86+1)*SQRT(1/I86))))</f>
        <v>0</v>
      </c>
      <c r="L86" s="5"/>
      <c r="O86" s="5" t="s">
        <v>677</v>
      </c>
    </row>
    <row r="87" spans="1:15" x14ac:dyDescent="0.25">
      <c r="A87" s="2" t="s">
        <v>545</v>
      </c>
      <c r="B87" s="2"/>
      <c r="C87" s="5">
        <v>56</v>
      </c>
      <c r="D87" s="5">
        <v>2</v>
      </c>
      <c r="E87" s="5">
        <v>0</v>
      </c>
      <c r="F87" s="5">
        <v>1</v>
      </c>
      <c r="G87" s="5">
        <v>1.456</v>
      </c>
      <c r="H87" s="5"/>
      <c r="I87" s="5">
        <v>462</v>
      </c>
      <c r="J87" s="5"/>
      <c r="K87" s="5">
        <f t="shared" si="4"/>
        <v>6.758436896375139E-2</v>
      </c>
      <c r="L87" s="5"/>
      <c r="M87" s="25">
        <v>0</v>
      </c>
      <c r="N87" s="25">
        <v>0</v>
      </c>
      <c r="O87" s="5"/>
    </row>
    <row r="88" spans="1:15" x14ac:dyDescent="0.25">
      <c r="A88" s="2" t="s">
        <v>554</v>
      </c>
      <c r="B88" s="2"/>
      <c r="C88" s="5">
        <v>56</v>
      </c>
      <c r="D88" s="5">
        <v>1</v>
      </c>
      <c r="E88" s="5">
        <v>0</v>
      </c>
      <c r="F88" s="5">
        <v>0</v>
      </c>
      <c r="G88" s="5"/>
      <c r="H88" s="5"/>
      <c r="I88" s="5"/>
      <c r="J88" s="5"/>
      <c r="K88" s="5" t="b">
        <f t="shared" si="4"/>
        <v>0</v>
      </c>
      <c r="L88" s="5"/>
      <c r="O88" s="5"/>
    </row>
    <row r="89" spans="1:15" x14ac:dyDescent="0.25">
      <c r="A89" s="2" t="s">
        <v>17</v>
      </c>
      <c r="B89" s="2"/>
      <c r="C89" s="5">
        <v>60</v>
      </c>
      <c r="D89" s="5">
        <v>1</v>
      </c>
      <c r="E89" s="5">
        <v>0</v>
      </c>
      <c r="F89" s="5"/>
      <c r="G89" s="5">
        <v>2.65</v>
      </c>
      <c r="H89" s="5"/>
      <c r="I89" s="5">
        <v>135</v>
      </c>
      <c r="J89" s="5"/>
      <c r="K89" s="5">
        <f t="shared" si="4"/>
        <v>0.22236544366585095</v>
      </c>
      <c r="L89" s="5"/>
      <c r="M89" s="25">
        <v>0</v>
      </c>
      <c r="N89" s="25">
        <v>0</v>
      </c>
      <c r="O89" s="5"/>
    </row>
    <row r="90" spans="1:15" x14ac:dyDescent="0.25">
      <c r="A90" s="2" t="s">
        <v>18</v>
      </c>
      <c r="B90" s="2"/>
      <c r="C90" s="5">
        <v>61</v>
      </c>
      <c r="D90" s="5">
        <v>1</v>
      </c>
      <c r="E90" s="5">
        <v>0</v>
      </c>
      <c r="F90" s="5"/>
      <c r="G90" s="5"/>
      <c r="H90" s="5">
        <v>5.4</v>
      </c>
      <c r="I90" s="5">
        <v>1</v>
      </c>
      <c r="J90" s="5">
        <v>1172</v>
      </c>
      <c r="K90" s="5">
        <f t="shared" si="4"/>
        <v>6.7722793521514876E-2</v>
      </c>
      <c r="L90" s="5"/>
      <c r="M90" s="25" t="s">
        <v>676</v>
      </c>
      <c r="N90" s="25" t="s">
        <v>676</v>
      </c>
      <c r="O90" s="5"/>
    </row>
    <row r="91" spans="1:15" x14ac:dyDescent="0.25">
      <c r="A91" s="2" t="s">
        <v>175</v>
      </c>
      <c r="B91" s="2"/>
      <c r="C91" s="5">
        <v>61</v>
      </c>
      <c r="D91" s="5">
        <v>1</v>
      </c>
      <c r="E91" s="5">
        <v>0</v>
      </c>
      <c r="F91" s="5"/>
      <c r="G91" s="5"/>
      <c r="H91" s="5">
        <v>6.69</v>
      </c>
      <c r="I91" s="5">
        <v>1</v>
      </c>
      <c r="J91" s="5">
        <v>257</v>
      </c>
      <c r="K91" s="5">
        <f t="shared" si="4"/>
        <v>0.15928182709808056</v>
      </c>
      <c r="L91" s="5"/>
      <c r="M91" s="25">
        <v>0</v>
      </c>
      <c r="N91" s="25">
        <v>0</v>
      </c>
      <c r="O91" s="5"/>
    </row>
    <row r="92" spans="1:15" x14ac:dyDescent="0.25">
      <c r="A92" s="2" t="s">
        <v>19</v>
      </c>
      <c r="B92" s="2"/>
      <c r="C92" s="5">
        <v>65</v>
      </c>
      <c r="D92" s="5">
        <v>1</v>
      </c>
      <c r="E92" s="5">
        <v>0</v>
      </c>
      <c r="F92" s="5">
        <v>0</v>
      </c>
      <c r="G92" s="5"/>
      <c r="H92" s="5"/>
      <c r="I92" s="5"/>
      <c r="J92" s="5"/>
      <c r="K92" s="5" t="b">
        <f t="shared" si="4"/>
        <v>0</v>
      </c>
      <c r="L92" s="5"/>
      <c r="O92" s="5" t="s">
        <v>597</v>
      </c>
    </row>
    <row r="93" spans="1:15" x14ac:dyDescent="0.25">
      <c r="A93" s="2" t="s">
        <v>176</v>
      </c>
      <c r="B93" s="2"/>
      <c r="C93" s="5">
        <v>65</v>
      </c>
      <c r="D93" s="5">
        <v>1</v>
      </c>
      <c r="E93" s="5">
        <v>0</v>
      </c>
      <c r="F93" s="5">
        <v>0</v>
      </c>
      <c r="G93" s="5"/>
      <c r="H93" s="5"/>
      <c r="I93" s="5"/>
      <c r="J93" s="5"/>
      <c r="K93" s="5" t="b">
        <f t="shared" si="4"/>
        <v>0</v>
      </c>
      <c r="L93" s="5"/>
      <c r="O93" s="5" t="s">
        <v>598</v>
      </c>
    </row>
    <row r="94" spans="1:15" x14ac:dyDescent="0.25">
      <c r="A94" s="2" t="s">
        <v>177</v>
      </c>
      <c r="B94" s="2"/>
      <c r="C94" s="5">
        <v>72</v>
      </c>
      <c r="D94" s="5">
        <v>1</v>
      </c>
      <c r="E94" s="5">
        <v>0</v>
      </c>
      <c r="F94" s="5"/>
      <c r="G94" s="5"/>
      <c r="H94" s="5">
        <v>28.77</v>
      </c>
      <c r="I94" s="5">
        <v>3</v>
      </c>
      <c r="J94" s="5">
        <v>1857</v>
      </c>
      <c r="K94" s="5">
        <f t="shared" si="4"/>
        <v>0.16013239599905815</v>
      </c>
      <c r="L94" s="5"/>
      <c r="M94" s="25">
        <v>0</v>
      </c>
      <c r="N94" s="25">
        <v>0</v>
      </c>
      <c r="O94" s="5"/>
    </row>
    <row r="95" spans="1:15" x14ac:dyDescent="0.25">
      <c r="A95" s="2" t="s">
        <v>280</v>
      </c>
      <c r="B95" s="2"/>
      <c r="C95" s="5">
        <v>72</v>
      </c>
      <c r="D95" s="5">
        <v>1</v>
      </c>
      <c r="E95" s="5">
        <v>0</v>
      </c>
      <c r="F95" s="5"/>
      <c r="G95" s="5">
        <v>-0.65</v>
      </c>
      <c r="H95" s="5"/>
      <c r="I95" s="5">
        <v>621</v>
      </c>
      <c r="J95" s="5"/>
      <c r="K95" s="5">
        <f t="shared" ref="K95:K98" si="5">IF(NOT(ISBLANK(G95)),SQRT((G95^2*1/I95)/(G95^2*1/I95+1)),IF(NOT(ISBLANK(H95)),SQRT((H95*I95/J95)/(H95*I95/J95+1)*SQRT(1/I95))))</f>
        <v>2.6074732982167292E-2</v>
      </c>
      <c r="L95" s="5"/>
      <c r="M95" s="25">
        <v>0</v>
      </c>
      <c r="N95" s="25">
        <v>0</v>
      </c>
      <c r="O95" s="5"/>
    </row>
    <row r="96" spans="1:15" x14ac:dyDescent="0.25">
      <c r="A96" s="2" t="s">
        <v>356</v>
      </c>
      <c r="B96" s="2"/>
      <c r="C96" s="5">
        <v>72</v>
      </c>
      <c r="D96" s="5">
        <v>1</v>
      </c>
      <c r="E96" s="5">
        <v>0</v>
      </c>
      <c r="F96" s="5"/>
      <c r="G96" s="5">
        <v>-1.95</v>
      </c>
      <c r="H96" s="5"/>
      <c r="I96" s="5">
        <v>621</v>
      </c>
      <c r="J96" s="5"/>
      <c r="K96" s="5">
        <f t="shared" si="5"/>
        <v>7.8012326921557351E-2</v>
      </c>
      <c r="L96" s="5"/>
      <c r="M96" s="25">
        <v>0</v>
      </c>
      <c r="N96" s="25">
        <v>0</v>
      </c>
      <c r="O96" s="5"/>
    </row>
    <row r="97" spans="1:15" x14ac:dyDescent="0.25">
      <c r="A97" s="2" t="s">
        <v>400</v>
      </c>
      <c r="B97" s="2"/>
      <c r="C97" s="5">
        <v>72</v>
      </c>
      <c r="D97" s="5">
        <v>1</v>
      </c>
      <c r="E97" s="5">
        <v>0</v>
      </c>
      <c r="F97" s="5"/>
      <c r="G97" s="5">
        <v>-1.26</v>
      </c>
      <c r="H97" s="5"/>
      <c r="I97" s="5">
        <v>621</v>
      </c>
      <c r="J97" s="5"/>
      <c r="K97" s="5">
        <f t="shared" si="5"/>
        <v>5.049755045587332E-2</v>
      </c>
      <c r="L97" s="5"/>
      <c r="M97" s="25">
        <v>0</v>
      </c>
      <c r="N97" s="25">
        <v>0</v>
      </c>
      <c r="O97" s="5"/>
    </row>
    <row r="98" spans="1:15" x14ac:dyDescent="0.25">
      <c r="A98" s="2" t="s">
        <v>20</v>
      </c>
      <c r="B98" s="2"/>
      <c r="C98" s="5">
        <v>79</v>
      </c>
      <c r="D98" s="5">
        <v>1</v>
      </c>
      <c r="E98" s="5">
        <v>0</v>
      </c>
      <c r="F98" s="5"/>
      <c r="G98" s="5"/>
      <c r="H98" s="5"/>
      <c r="I98" s="5"/>
      <c r="J98" s="5"/>
      <c r="K98" s="5" t="b">
        <f t="shared" si="5"/>
        <v>0</v>
      </c>
      <c r="L98" s="5"/>
      <c r="O98" s="5"/>
    </row>
    <row r="99" spans="1:15" x14ac:dyDescent="0.25">
      <c r="A99" s="1" t="s">
        <v>178</v>
      </c>
      <c r="B99" s="1"/>
      <c r="C99" s="5">
        <v>79</v>
      </c>
      <c r="D99" s="5">
        <v>1</v>
      </c>
      <c r="E99" s="5">
        <v>0</v>
      </c>
      <c r="F99" s="5"/>
      <c r="G99" s="5"/>
      <c r="H99" s="5"/>
      <c r="I99" s="5"/>
      <c r="J99" s="5"/>
      <c r="K99" s="5">
        <v>0.35</v>
      </c>
      <c r="L99" s="5"/>
      <c r="O99" s="5"/>
    </row>
    <row r="100" spans="1:15" x14ac:dyDescent="0.25">
      <c r="A100" s="2" t="s">
        <v>281</v>
      </c>
      <c r="B100" s="2"/>
      <c r="C100" s="5">
        <v>79</v>
      </c>
      <c r="D100" s="5">
        <v>1</v>
      </c>
      <c r="E100" s="5">
        <v>0</v>
      </c>
      <c r="F100" s="5"/>
      <c r="G100" s="5"/>
      <c r="H100" s="5"/>
      <c r="I100" s="5"/>
      <c r="J100" s="5"/>
      <c r="K100" s="5">
        <v>-0.13</v>
      </c>
      <c r="L100" s="5"/>
      <c r="O100" s="5"/>
    </row>
    <row r="101" spans="1:15" x14ac:dyDescent="0.25">
      <c r="A101" s="2" t="s">
        <v>357</v>
      </c>
      <c r="B101" s="2"/>
      <c r="C101" s="5">
        <v>79</v>
      </c>
      <c r="D101" s="5">
        <v>1</v>
      </c>
      <c r="E101" s="5">
        <v>0</v>
      </c>
      <c r="F101" s="5"/>
      <c r="G101" s="5"/>
      <c r="H101" s="5"/>
      <c r="I101" s="5"/>
      <c r="J101" s="5"/>
      <c r="K101" s="5">
        <v>-0.23</v>
      </c>
      <c r="L101" s="5"/>
      <c r="O101" s="5"/>
    </row>
    <row r="102" spans="1:15" x14ac:dyDescent="0.25">
      <c r="A102" s="2" t="s">
        <v>357</v>
      </c>
      <c r="B102" s="2"/>
      <c r="C102" s="5">
        <v>79</v>
      </c>
      <c r="D102" s="5">
        <v>1</v>
      </c>
      <c r="E102" s="5">
        <v>1</v>
      </c>
      <c r="F102" s="5"/>
      <c r="G102" s="5"/>
      <c r="H102" s="5"/>
      <c r="I102" s="5"/>
      <c r="J102" s="5"/>
      <c r="K102" s="5">
        <v>-0.23</v>
      </c>
      <c r="L102" s="5"/>
      <c r="O102" s="5"/>
    </row>
    <row r="103" spans="1:15" x14ac:dyDescent="0.25">
      <c r="A103" s="2" t="s">
        <v>440</v>
      </c>
      <c r="B103" s="2"/>
      <c r="C103" s="5">
        <v>79</v>
      </c>
      <c r="D103" s="5">
        <v>0</v>
      </c>
      <c r="E103" s="5">
        <v>0</v>
      </c>
      <c r="F103" s="5"/>
      <c r="G103" s="5"/>
      <c r="H103" s="5"/>
      <c r="I103" s="5"/>
      <c r="J103" s="5"/>
      <c r="K103" s="5" t="b">
        <f>IF(NOT(ISBLANK(G103)),SQRT((G103^2*1/I103)/(G103^2*1/I103+1)),IF(NOT(ISBLANK(H103)),SQRT((H103*I103/J103)/(H103*I103/J103+1)*SQRT(1/I103))))</f>
        <v>0</v>
      </c>
      <c r="L103" s="5"/>
      <c r="O103" s="5"/>
    </row>
    <row r="104" spans="1:15" x14ac:dyDescent="0.25">
      <c r="A104" s="2" t="s">
        <v>471</v>
      </c>
      <c r="B104" s="2"/>
      <c r="C104" s="5">
        <v>79</v>
      </c>
      <c r="D104" s="5">
        <v>0</v>
      </c>
      <c r="E104" s="5">
        <v>0</v>
      </c>
      <c r="F104" s="5"/>
      <c r="G104" s="5"/>
      <c r="H104" s="5"/>
      <c r="I104" s="5"/>
      <c r="J104" s="5"/>
      <c r="K104" s="5" t="b">
        <f>IF(NOT(ISBLANK(G104)),SQRT((G104^2*1/I104)/(G104^2*1/I104+1)),IF(NOT(ISBLANK(H104)),SQRT((H104*I104/J104)/(H104*I104/J104+1)*SQRT(1/I104))))</f>
        <v>0</v>
      </c>
      <c r="L104" s="5"/>
      <c r="O104" s="5"/>
    </row>
    <row r="105" spans="1:15" x14ac:dyDescent="0.25">
      <c r="A105" s="2" t="s">
        <v>498</v>
      </c>
      <c r="B105" s="2"/>
      <c r="C105" s="5">
        <v>79</v>
      </c>
      <c r="D105" s="5">
        <v>0</v>
      </c>
      <c r="E105" s="5">
        <v>0</v>
      </c>
      <c r="F105" s="5"/>
      <c r="G105" s="5"/>
      <c r="H105" s="5"/>
      <c r="I105" s="5"/>
      <c r="J105" s="5"/>
      <c r="K105" s="5" t="b">
        <f>IF(NOT(ISBLANK(G105)),SQRT((G105^2*1/I105)/(G105^2*1/I105+1)),IF(NOT(ISBLANK(H105)),SQRT((H105*I105/J105)/(H105*I105/J105+1)*SQRT(1/I105))))</f>
        <v>0</v>
      </c>
      <c r="L105" s="5"/>
      <c r="O105" s="5"/>
    </row>
    <row r="106" spans="1:15" x14ac:dyDescent="0.25">
      <c r="A106" s="2" t="s">
        <v>530</v>
      </c>
      <c r="B106" s="2"/>
      <c r="C106" s="5">
        <v>79</v>
      </c>
      <c r="D106" s="5">
        <v>0</v>
      </c>
      <c r="E106" s="5">
        <v>0</v>
      </c>
      <c r="F106" s="5"/>
      <c r="G106" s="5"/>
      <c r="H106" s="5"/>
      <c r="I106" s="5"/>
      <c r="J106" s="5"/>
      <c r="K106" s="5" t="b">
        <f>IF(NOT(ISBLANK(G106)),SQRT((G106^2*1/I106)/(G106^2*1/I106+1)),IF(NOT(ISBLANK(H106)),SQRT((H106*I106/J106)/(H106*I106/J106+1)*SQRT(1/I106))))</f>
        <v>0</v>
      </c>
      <c r="L106" s="5"/>
      <c r="O106" s="5"/>
    </row>
    <row r="107" spans="1:15" x14ac:dyDescent="0.25">
      <c r="A107" s="2" t="s">
        <v>555</v>
      </c>
      <c r="B107" s="2"/>
      <c r="C107" s="5">
        <v>79</v>
      </c>
      <c r="D107" s="5">
        <v>1</v>
      </c>
      <c r="E107" s="5">
        <v>0</v>
      </c>
      <c r="F107" s="5"/>
      <c r="G107" s="5"/>
      <c r="H107" s="5"/>
      <c r="I107" s="5"/>
      <c r="J107" s="5"/>
      <c r="K107" s="5">
        <v>-0.04</v>
      </c>
      <c r="L107" s="5"/>
      <c r="O107" s="5"/>
    </row>
    <row r="108" spans="1:15" x14ac:dyDescent="0.25">
      <c r="A108" s="2" t="s">
        <v>572</v>
      </c>
      <c r="B108" s="2"/>
      <c r="C108" s="5">
        <v>79</v>
      </c>
      <c r="D108" s="5">
        <v>0</v>
      </c>
      <c r="E108" s="5">
        <v>0</v>
      </c>
      <c r="F108" s="5"/>
      <c r="G108" s="5"/>
      <c r="H108" s="5"/>
      <c r="I108" s="5"/>
      <c r="J108" s="5"/>
      <c r="K108" s="5" t="b">
        <f t="shared" ref="K108:K133" si="6">IF(NOT(ISBLANK(G108)),SQRT((G108^2*1/I108)/(G108^2*1/I108+1)),IF(NOT(ISBLANK(H108)),SQRT((H108*I108/J108)/(H108*I108/J108+1)*SQRT(1/I108))))</f>
        <v>0</v>
      </c>
      <c r="L108" s="5"/>
      <c r="O108" s="5"/>
    </row>
    <row r="109" spans="1:15" x14ac:dyDescent="0.25">
      <c r="A109" s="1" t="s">
        <v>573</v>
      </c>
      <c r="B109" s="1"/>
      <c r="C109" s="5">
        <v>79</v>
      </c>
      <c r="D109" s="5">
        <v>0</v>
      </c>
      <c r="E109" s="5">
        <v>0</v>
      </c>
      <c r="F109" s="5"/>
      <c r="G109" s="5"/>
      <c r="H109" s="5"/>
      <c r="I109" s="5"/>
      <c r="J109" s="5"/>
      <c r="K109" s="5" t="b">
        <f t="shared" si="6"/>
        <v>0</v>
      </c>
      <c r="L109" s="5"/>
      <c r="O109" s="5"/>
    </row>
    <row r="110" spans="1:15" x14ac:dyDescent="0.25">
      <c r="A110" s="2" t="s">
        <v>401</v>
      </c>
      <c r="B110" s="2"/>
      <c r="C110" s="5">
        <v>80</v>
      </c>
      <c r="D110" s="5">
        <v>1</v>
      </c>
      <c r="E110" s="5">
        <v>0</v>
      </c>
      <c r="F110" s="5"/>
      <c r="G110" s="5">
        <v>1.05</v>
      </c>
      <c r="H110" s="5"/>
      <c r="I110" s="5">
        <v>137</v>
      </c>
      <c r="J110" s="5"/>
      <c r="K110" s="5">
        <f t="shared" si="6"/>
        <v>8.9348759831358718E-2</v>
      </c>
      <c r="L110" s="5"/>
      <c r="M110" s="25">
        <v>0</v>
      </c>
      <c r="N110" s="25">
        <v>0</v>
      </c>
      <c r="O110" s="5"/>
    </row>
    <row r="111" spans="1:15" x14ac:dyDescent="0.25">
      <c r="A111" s="1" t="s">
        <v>531</v>
      </c>
      <c r="B111" s="1" t="s">
        <v>668</v>
      </c>
      <c r="C111" s="5">
        <v>80</v>
      </c>
      <c r="D111" s="5">
        <v>3</v>
      </c>
      <c r="E111" s="5">
        <v>0</v>
      </c>
      <c r="F111" s="5"/>
      <c r="G111" s="5">
        <v>-13.88</v>
      </c>
      <c r="H111" s="5"/>
      <c r="I111" s="5">
        <v>25062.99</v>
      </c>
      <c r="J111" s="5"/>
      <c r="K111" s="5">
        <f t="shared" si="6"/>
        <v>8.7339407037244493E-2</v>
      </c>
      <c r="L111" s="5"/>
      <c r="M111" s="25">
        <v>0</v>
      </c>
      <c r="N111" s="25">
        <v>0</v>
      </c>
      <c r="O111" s="5"/>
    </row>
    <row r="112" spans="1:15" x14ac:dyDescent="0.25">
      <c r="A112" s="2" t="s">
        <v>546</v>
      </c>
      <c r="B112" s="2"/>
      <c r="C112" s="5">
        <v>80</v>
      </c>
      <c r="D112" s="5">
        <v>1</v>
      </c>
      <c r="E112" s="5">
        <v>0</v>
      </c>
      <c r="F112" s="5"/>
      <c r="G112" s="5">
        <v>1.65</v>
      </c>
      <c r="H112" s="5"/>
      <c r="I112" s="5">
        <v>169</v>
      </c>
      <c r="J112" s="5"/>
      <c r="K112" s="5">
        <f t="shared" si="6"/>
        <v>0.12591293373263929</v>
      </c>
      <c r="L112" s="5">
        <v>0.1008</v>
      </c>
      <c r="M112" s="25">
        <v>0</v>
      </c>
      <c r="N112" s="25">
        <v>0</v>
      </c>
      <c r="O112" s="5" t="s">
        <v>680</v>
      </c>
    </row>
    <row r="113" spans="1:16" x14ac:dyDescent="0.25">
      <c r="A113" s="2" t="s">
        <v>556</v>
      </c>
      <c r="B113" s="2"/>
      <c r="C113" s="5">
        <v>80</v>
      </c>
      <c r="D113" s="5">
        <v>1</v>
      </c>
      <c r="E113" s="5">
        <v>0</v>
      </c>
      <c r="F113" s="5"/>
      <c r="G113" s="5">
        <v>-2.46</v>
      </c>
      <c r="H113" s="5"/>
      <c r="I113" s="5">
        <v>169</v>
      </c>
      <c r="J113" s="5"/>
      <c r="K113" s="5">
        <f t="shared" si="6"/>
        <v>0.1859311111827596</v>
      </c>
      <c r="L113" s="5">
        <v>1.49E-2</v>
      </c>
      <c r="M113" s="25">
        <v>0</v>
      </c>
      <c r="N113" s="25">
        <v>0</v>
      </c>
      <c r="O113" s="5"/>
    </row>
    <row r="114" spans="1:16" x14ac:dyDescent="0.25">
      <c r="A114" s="2" t="s">
        <v>567</v>
      </c>
      <c r="B114" s="2"/>
      <c r="C114" s="5">
        <v>80</v>
      </c>
      <c r="D114" s="5">
        <v>1</v>
      </c>
      <c r="E114" s="5">
        <v>0</v>
      </c>
      <c r="F114" s="5"/>
      <c r="G114" s="5">
        <v>-2.7</v>
      </c>
      <c r="H114" s="5"/>
      <c r="I114" s="5">
        <v>511</v>
      </c>
      <c r="J114" s="5"/>
      <c r="K114" s="5">
        <f t="shared" si="6"/>
        <v>0.11859799565875088</v>
      </c>
      <c r="L114" s="5">
        <v>7.1599999999999997E-3</v>
      </c>
      <c r="M114" s="25">
        <v>0</v>
      </c>
      <c r="N114" s="25">
        <v>0</v>
      </c>
      <c r="O114" s="5"/>
    </row>
    <row r="115" spans="1:16" x14ac:dyDescent="0.25">
      <c r="A115" s="2" t="s">
        <v>21</v>
      </c>
      <c r="B115" s="2"/>
      <c r="C115" s="5">
        <v>82</v>
      </c>
      <c r="D115" s="5">
        <v>1</v>
      </c>
      <c r="E115" s="5">
        <v>0</v>
      </c>
      <c r="F115" s="5"/>
      <c r="G115" s="5">
        <v>10.82</v>
      </c>
      <c r="H115" s="5"/>
      <c r="I115" s="5">
        <v>328</v>
      </c>
      <c r="J115" s="5"/>
      <c r="K115" s="5">
        <f t="shared" si="6"/>
        <v>0.51287547125911637</v>
      </c>
      <c r="L115" s="5"/>
      <c r="M115" s="25">
        <v>0</v>
      </c>
      <c r="N115" s="25">
        <v>0</v>
      </c>
      <c r="O115" s="5"/>
    </row>
    <row r="116" spans="1:16" x14ac:dyDescent="0.25">
      <c r="A116" s="2" t="s">
        <v>179</v>
      </c>
      <c r="B116" s="2"/>
      <c r="C116" s="5">
        <v>82</v>
      </c>
      <c r="D116" s="5">
        <v>1</v>
      </c>
      <c r="E116" s="5">
        <v>0</v>
      </c>
      <c r="F116" s="5"/>
      <c r="G116" s="5">
        <v>9.6999999999999993</v>
      </c>
      <c r="H116" s="5"/>
      <c r="I116" s="5">
        <v>328</v>
      </c>
      <c r="J116" s="5"/>
      <c r="K116" s="5">
        <f t="shared" si="6"/>
        <v>0.47213826819217031</v>
      </c>
      <c r="L116" s="5"/>
      <c r="M116" s="25">
        <v>0</v>
      </c>
      <c r="N116" s="25">
        <v>0</v>
      </c>
      <c r="O116" s="5"/>
    </row>
    <row r="117" spans="1:16" x14ac:dyDescent="0.25">
      <c r="A117" s="2" t="s">
        <v>282</v>
      </c>
      <c r="B117" s="2"/>
      <c r="C117" s="5">
        <v>82</v>
      </c>
      <c r="D117" s="5">
        <v>1</v>
      </c>
      <c r="E117" s="5">
        <v>0</v>
      </c>
      <c r="F117" s="5"/>
      <c r="G117" s="5">
        <v>113.26</v>
      </c>
      <c r="H117" s="5"/>
      <c r="I117" s="5">
        <v>2</v>
      </c>
      <c r="J117" s="5">
        <v>324</v>
      </c>
      <c r="K117" s="5">
        <f t="shared" si="6"/>
        <v>0.99992205359215247</v>
      </c>
      <c r="L117" s="5"/>
      <c r="M117" s="25">
        <v>0</v>
      </c>
      <c r="N117" s="25">
        <v>0</v>
      </c>
      <c r="O117" s="5"/>
    </row>
    <row r="118" spans="1:16" x14ac:dyDescent="0.25">
      <c r="A118" s="2" t="s">
        <v>358</v>
      </c>
      <c r="B118" s="2"/>
      <c r="C118" s="5">
        <v>82</v>
      </c>
      <c r="D118" s="5">
        <v>3</v>
      </c>
      <c r="E118" s="5">
        <v>1</v>
      </c>
      <c r="F118" s="5" t="s">
        <v>590</v>
      </c>
      <c r="G118" s="5">
        <v>113.26</v>
      </c>
      <c r="H118" s="5"/>
      <c r="I118" s="5">
        <v>2</v>
      </c>
      <c r="J118" s="5">
        <v>324</v>
      </c>
      <c r="K118" s="5">
        <f t="shared" si="6"/>
        <v>0.99992205359215247</v>
      </c>
      <c r="L118" s="5"/>
      <c r="M118" s="25">
        <v>0</v>
      </c>
      <c r="N118" s="25">
        <v>0</v>
      </c>
      <c r="O118" s="5" t="s">
        <v>596</v>
      </c>
    </row>
    <row r="119" spans="1:16" x14ac:dyDescent="0.25">
      <c r="A119" s="1" t="s">
        <v>283</v>
      </c>
      <c r="B119" s="1"/>
      <c r="C119" s="5">
        <v>82</v>
      </c>
      <c r="D119" s="5">
        <v>0</v>
      </c>
      <c r="E119" s="5">
        <v>0</v>
      </c>
      <c r="F119" s="5"/>
      <c r="G119" s="5"/>
      <c r="H119" s="5"/>
      <c r="I119" s="5"/>
      <c r="J119" s="5"/>
      <c r="K119" s="5" t="b">
        <f t="shared" si="6"/>
        <v>0</v>
      </c>
      <c r="L119" s="5"/>
      <c r="O119" s="5"/>
    </row>
    <row r="120" spans="1:16" x14ac:dyDescent="0.25">
      <c r="A120" s="1" t="s">
        <v>532</v>
      </c>
      <c r="B120" s="1"/>
      <c r="C120" s="5">
        <v>82</v>
      </c>
      <c r="D120" s="5">
        <v>1</v>
      </c>
      <c r="E120" s="5">
        <v>0</v>
      </c>
      <c r="F120" s="5"/>
      <c r="G120" s="5">
        <v>43.23</v>
      </c>
      <c r="H120" s="5"/>
      <c r="I120" s="5">
        <v>328</v>
      </c>
      <c r="J120" s="5"/>
      <c r="K120" s="5">
        <f t="shared" si="6"/>
        <v>0.92233082544551914</v>
      </c>
      <c r="L120" s="5"/>
      <c r="M120" s="25">
        <v>0</v>
      </c>
      <c r="N120" s="25">
        <v>0</v>
      </c>
      <c r="O120" s="5"/>
    </row>
    <row r="121" spans="1:16" x14ac:dyDescent="0.25">
      <c r="A121" s="2" t="s">
        <v>547</v>
      </c>
      <c r="B121" s="2"/>
      <c r="C121" s="5">
        <v>82</v>
      </c>
      <c r="D121" s="5">
        <v>1</v>
      </c>
      <c r="E121" s="5">
        <v>1</v>
      </c>
      <c r="F121" s="5"/>
      <c r="G121" s="5">
        <v>43.23</v>
      </c>
      <c r="H121" s="5"/>
      <c r="I121" s="5">
        <v>328</v>
      </c>
      <c r="J121" s="5"/>
      <c r="K121" s="5">
        <f t="shared" si="6"/>
        <v>0.92233082544551914</v>
      </c>
      <c r="L121" s="5"/>
      <c r="M121" s="25">
        <v>0</v>
      </c>
      <c r="N121" s="25">
        <v>0</v>
      </c>
      <c r="O121" s="5" t="s">
        <v>596</v>
      </c>
    </row>
    <row r="122" spans="1:16" x14ac:dyDescent="0.25">
      <c r="A122" s="2" t="s">
        <v>22</v>
      </c>
      <c r="B122" s="2"/>
      <c r="C122" s="5">
        <v>97</v>
      </c>
      <c r="D122" s="5">
        <v>1</v>
      </c>
      <c r="E122" s="5">
        <v>0</v>
      </c>
      <c r="F122" s="5"/>
      <c r="G122" s="5"/>
      <c r="H122" s="5">
        <v>0.02</v>
      </c>
      <c r="I122" s="5">
        <v>1</v>
      </c>
      <c r="J122" s="5">
        <v>161</v>
      </c>
      <c r="K122" s="5">
        <f t="shared" si="6"/>
        <v>1.1144872044926162E-2</v>
      </c>
      <c r="L122" s="5"/>
      <c r="M122" s="25">
        <v>0</v>
      </c>
      <c r="N122" s="25">
        <v>0</v>
      </c>
      <c r="O122" s="5"/>
    </row>
    <row r="123" spans="1:16" x14ac:dyDescent="0.25">
      <c r="A123" s="2" t="s">
        <v>23</v>
      </c>
      <c r="B123" s="2"/>
      <c r="C123" s="5">
        <v>99</v>
      </c>
      <c r="D123" s="5">
        <v>3</v>
      </c>
      <c r="E123" s="5">
        <v>0</v>
      </c>
      <c r="F123" s="5">
        <v>1</v>
      </c>
      <c r="G123" s="11">
        <v>1.091</v>
      </c>
      <c r="H123" s="5"/>
      <c r="I123" s="5">
        <v>1289</v>
      </c>
      <c r="J123" s="5"/>
      <c r="K123" s="5">
        <f t="shared" si="6"/>
        <v>3.0373711781279348E-2</v>
      </c>
      <c r="L123" s="5">
        <v>0.27548</v>
      </c>
      <c r="M123" s="25">
        <v>0</v>
      </c>
      <c r="N123" s="25">
        <v>0</v>
      </c>
      <c r="O123" s="5" t="s">
        <v>680</v>
      </c>
    </row>
    <row r="124" spans="1:16" x14ac:dyDescent="0.25">
      <c r="A124" s="2" t="s">
        <v>180</v>
      </c>
      <c r="B124" s="2"/>
      <c r="C124" s="5">
        <v>99</v>
      </c>
      <c r="D124" s="5">
        <v>1</v>
      </c>
      <c r="E124" s="5">
        <v>0</v>
      </c>
      <c r="F124" s="5"/>
      <c r="G124" s="5"/>
      <c r="H124" s="5">
        <v>3.5</v>
      </c>
      <c r="I124" s="5">
        <v>1</v>
      </c>
      <c r="J124" s="5">
        <v>1228</v>
      </c>
      <c r="K124" s="5">
        <f t="shared" si="6"/>
        <v>5.3310998165252525E-2</v>
      </c>
      <c r="L124" s="5">
        <v>6.1609999999999998E-2</v>
      </c>
      <c r="M124" s="25">
        <v>0</v>
      </c>
      <c r="N124" s="25">
        <v>0</v>
      </c>
      <c r="O124" s="5" t="s">
        <v>680</v>
      </c>
    </row>
    <row r="125" spans="1:16" x14ac:dyDescent="0.25">
      <c r="A125" s="2" t="s">
        <v>359</v>
      </c>
      <c r="B125" s="2"/>
      <c r="C125" s="5">
        <v>99</v>
      </c>
      <c r="D125" s="5">
        <v>1</v>
      </c>
      <c r="E125" s="5">
        <v>0</v>
      </c>
      <c r="F125" s="5"/>
      <c r="G125" s="5"/>
      <c r="H125" s="5">
        <v>3.59</v>
      </c>
      <c r="I125" s="5">
        <v>1</v>
      </c>
      <c r="J125" s="5">
        <v>1287</v>
      </c>
      <c r="K125" s="5">
        <f t="shared" si="6"/>
        <v>5.2741572769187541E-2</v>
      </c>
      <c r="L125" s="5">
        <v>5.8349999999999999E-2</v>
      </c>
      <c r="M125" s="25">
        <v>0</v>
      </c>
      <c r="N125" s="25">
        <v>0</v>
      </c>
      <c r="O125" s="5" t="s">
        <v>680</v>
      </c>
    </row>
    <row r="126" spans="1:16" x14ac:dyDescent="0.25">
      <c r="A126" s="2" t="s">
        <v>24</v>
      </c>
      <c r="B126" s="2"/>
      <c r="C126" s="5">
        <v>100</v>
      </c>
      <c r="D126" s="5">
        <v>1</v>
      </c>
      <c r="E126" s="5">
        <v>0</v>
      </c>
      <c r="F126" s="5"/>
      <c r="G126" s="5">
        <v>-2.96</v>
      </c>
      <c r="H126" s="5"/>
      <c r="I126" s="5">
        <v>249.06</v>
      </c>
      <c r="J126" s="5"/>
      <c r="K126" s="5">
        <f t="shared" si="6"/>
        <v>0.18434529659098325</v>
      </c>
      <c r="L126" s="5">
        <v>3.3700000000000002E-3</v>
      </c>
      <c r="M126" s="25">
        <v>1</v>
      </c>
      <c r="N126" s="25">
        <v>0</v>
      </c>
      <c r="O126" s="5"/>
    </row>
    <row r="127" spans="1:16" x14ac:dyDescent="0.25">
      <c r="A127" s="2" t="s">
        <v>181</v>
      </c>
      <c r="B127" s="2"/>
      <c r="C127" s="5">
        <v>100</v>
      </c>
      <c r="D127" s="5">
        <v>1</v>
      </c>
      <c r="E127" s="5">
        <v>0</v>
      </c>
      <c r="F127" s="5">
        <v>0</v>
      </c>
      <c r="G127" s="5"/>
      <c r="H127" s="5"/>
      <c r="I127" s="5"/>
      <c r="J127" s="5"/>
      <c r="K127" s="5" t="b">
        <f t="shared" si="6"/>
        <v>0</v>
      </c>
      <c r="L127" s="5"/>
      <c r="O127" s="5"/>
    </row>
    <row r="128" spans="1:16" x14ac:dyDescent="0.25">
      <c r="A128" s="2" t="s">
        <v>25</v>
      </c>
      <c r="B128" s="2"/>
      <c r="C128" s="5">
        <v>104</v>
      </c>
      <c r="D128" s="5">
        <v>1</v>
      </c>
      <c r="E128" s="5">
        <v>0</v>
      </c>
      <c r="F128" s="5">
        <v>0</v>
      </c>
      <c r="G128" s="5"/>
      <c r="H128" s="5"/>
      <c r="I128" s="5"/>
      <c r="J128" s="5"/>
      <c r="K128" s="5" t="b">
        <f t="shared" si="6"/>
        <v>0</v>
      </c>
      <c r="L128" s="5"/>
      <c r="M128" s="25" t="s">
        <v>676</v>
      </c>
      <c r="N128" s="25" t="s">
        <v>676</v>
      </c>
      <c r="O128" s="5" t="s">
        <v>681</v>
      </c>
      <c r="P128" s="5" t="s">
        <v>685</v>
      </c>
    </row>
    <row r="129" spans="1:15" x14ac:dyDescent="0.25">
      <c r="A129" s="2" t="s">
        <v>182</v>
      </c>
      <c r="B129" s="2"/>
      <c r="C129" s="5">
        <v>104</v>
      </c>
      <c r="D129" s="5">
        <v>1</v>
      </c>
      <c r="E129" s="5">
        <v>0</v>
      </c>
      <c r="F129" s="5">
        <v>0</v>
      </c>
      <c r="G129" s="5"/>
      <c r="H129" s="5"/>
      <c r="I129" s="5"/>
      <c r="J129" s="5"/>
      <c r="K129" s="5" t="b">
        <f t="shared" si="6"/>
        <v>0</v>
      </c>
      <c r="L129" s="5"/>
      <c r="M129" s="29">
        <v>0</v>
      </c>
      <c r="N129" s="25">
        <v>0</v>
      </c>
      <c r="O129" s="5" t="s">
        <v>682</v>
      </c>
    </row>
    <row r="130" spans="1:15" x14ac:dyDescent="0.25">
      <c r="A130" s="2" t="s">
        <v>360</v>
      </c>
      <c r="B130" s="2"/>
      <c r="C130" s="5">
        <v>104</v>
      </c>
      <c r="D130" s="5">
        <v>1</v>
      </c>
      <c r="E130" s="5">
        <v>0</v>
      </c>
      <c r="F130" s="5">
        <v>0</v>
      </c>
      <c r="G130" s="5">
        <v>-0.79</v>
      </c>
      <c r="H130" s="5"/>
      <c r="I130" s="5">
        <v>800</v>
      </c>
      <c r="J130" s="5"/>
      <c r="K130" s="5">
        <f t="shared" si="6"/>
        <v>2.7919829501529242E-2</v>
      </c>
      <c r="L130" s="5"/>
      <c r="M130" s="29"/>
      <c r="O130" s="5" t="s">
        <v>683</v>
      </c>
    </row>
    <row r="131" spans="1:15" x14ac:dyDescent="0.25">
      <c r="A131" s="2" t="s">
        <v>402</v>
      </c>
      <c r="B131" s="2"/>
      <c r="C131" s="5">
        <v>104</v>
      </c>
      <c r="D131" s="5">
        <v>1</v>
      </c>
      <c r="E131" s="5">
        <v>0</v>
      </c>
      <c r="F131" s="5">
        <v>0</v>
      </c>
      <c r="G131" s="5"/>
      <c r="H131" s="5"/>
      <c r="I131" s="5"/>
      <c r="J131" s="5"/>
      <c r="K131" s="5" t="b">
        <f t="shared" si="6"/>
        <v>0</v>
      </c>
      <c r="L131" s="5"/>
      <c r="M131" s="29">
        <v>0</v>
      </c>
      <c r="N131" s="25">
        <v>0</v>
      </c>
      <c r="O131" s="5" t="s">
        <v>599</v>
      </c>
    </row>
    <row r="132" spans="1:15" x14ac:dyDescent="0.25">
      <c r="A132" s="2" t="s">
        <v>441</v>
      </c>
      <c r="B132" s="2"/>
      <c r="C132" s="5">
        <v>104</v>
      </c>
      <c r="D132" s="5">
        <v>1</v>
      </c>
      <c r="E132" s="5">
        <v>0</v>
      </c>
      <c r="F132" s="5">
        <v>0</v>
      </c>
      <c r="G132" s="5"/>
      <c r="H132" s="5"/>
      <c r="I132" s="5"/>
      <c r="J132" s="5"/>
      <c r="K132" s="5" t="b">
        <f t="shared" si="6"/>
        <v>0</v>
      </c>
      <c r="L132" s="5"/>
      <c r="M132" s="29">
        <v>0</v>
      </c>
      <c r="N132" s="25">
        <v>0</v>
      </c>
      <c r="O132" s="5"/>
    </row>
    <row r="133" spans="1:15" x14ac:dyDescent="0.25">
      <c r="A133" s="2" t="s">
        <v>499</v>
      </c>
      <c r="B133" s="2"/>
      <c r="C133" s="5">
        <v>104</v>
      </c>
      <c r="D133" s="5">
        <v>1</v>
      </c>
      <c r="E133" s="5">
        <v>0</v>
      </c>
      <c r="F133" s="5"/>
      <c r="G133" s="5">
        <v>-0.81</v>
      </c>
      <c r="H133" s="5"/>
      <c r="I133" s="5">
        <v>800</v>
      </c>
      <c r="J133" s="5"/>
      <c r="K133" s="5">
        <f t="shared" si="6"/>
        <v>2.862608855838563E-2</v>
      </c>
      <c r="L133" s="5"/>
      <c r="O133" s="5" t="s">
        <v>683</v>
      </c>
    </row>
    <row r="134" spans="1:15" x14ac:dyDescent="0.25">
      <c r="A134" s="2" t="s">
        <v>26</v>
      </c>
      <c r="B134" s="2"/>
      <c r="C134" s="5">
        <v>114</v>
      </c>
      <c r="D134" s="5">
        <v>1</v>
      </c>
      <c r="E134" s="5">
        <v>0</v>
      </c>
      <c r="F134" s="5"/>
      <c r="G134" s="5"/>
      <c r="H134" s="5">
        <v>61.98</v>
      </c>
      <c r="I134" s="5">
        <v>1</v>
      </c>
      <c r="J134" s="5">
        <v>142</v>
      </c>
      <c r="K134" s="5">
        <f t="shared" ref="K134:K149" si="7">IF(NOT(ISBLANK(G134)),SQRT((G134^2*1/I134)/(G134^2*1/I134+1)),IF(NOT(ISBLANK(H134)),SQRT((H134*I134/J134)/(H134*I134/J134+1)*SQRT(1/I134))))</f>
        <v>0.55122891701437304</v>
      </c>
      <c r="L134" s="5"/>
      <c r="M134" s="25">
        <v>0</v>
      </c>
      <c r="N134" s="25">
        <v>0</v>
      </c>
      <c r="O134" s="5"/>
    </row>
    <row r="135" spans="1:15" x14ac:dyDescent="0.25">
      <c r="A135" s="2" t="s">
        <v>183</v>
      </c>
      <c r="B135" s="2"/>
      <c r="C135" s="5">
        <v>114</v>
      </c>
      <c r="D135" s="5">
        <v>1</v>
      </c>
      <c r="E135" s="5">
        <v>0</v>
      </c>
      <c r="F135" s="5"/>
      <c r="G135" s="5"/>
      <c r="H135" s="5">
        <v>30.04</v>
      </c>
      <c r="I135" s="5">
        <v>1</v>
      </c>
      <c r="J135" s="5">
        <v>142</v>
      </c>
      <c r="K135" s="5">
        <f t="shared" si="7"/>
        <v>0.41786427902457096</v>
      </c>
      <c r="L135" s="5"/>
      <c r="M135" s="25">
        <v>0</v>
      </c>
      <c r="N135" s="25">
        <v>0</v>
      </c>
      <c r="O135" s="5"/>
    </row>
    <row r="136" spans="1:15" x14ac:dyDescent="0.25">
      <c r="A136" s="2" t="s">
        <v>27</v>
      </c>
      <c r="B136" s="2"/>
      <c r="C136" s="5">
        <v>118</v>
      </c>
      <c r="D136" s="5">
        <v>1</v>
      </c>
      <c r="E136" s="5">
        <v>0</v>
      </c>
      <c r="F136" s="5">
        <v>0</v>
      </c>
      <c r="G136" s="5"/>
      <c r="H136" s="5"/>
      <c r="I136" s="5"/>
      <c r="J136" s="5"/>
      <c r="K136" s="5" t="b">
        <f t="shared" si="7"/>
        <v>0</v>
      </c>
      <c r="L136" s="5"/>
      <c r="O136" s="5" t="s">
        <v>600</v>
      </c>
    </row>
    <row r="137" spans="1:15" x14ac:dyDescent="0.25">
      <c r="A137" s="2" t="s">
        <v>284</v>
      </c>
      <c r="B137" s="2"/>
      <c r="C137" s="5">
        <v>118</v>
      </c>
      <c r="D137" s="5">
        <v>0</v>
      </c>
      <c r="E137" s="5">
        <v>0</v>
      </c>
      <c r="F137" s="5"/>
      <c r="G137" s="5"/>
      <c r="H137" s="5"/>
      <c r="I137" s="5"/>
      <c r="J137" s="5"/>
      <c r="K137" s="5" t="b">
        <f t="shared" si="7"/>
        <v>0</v>
      </c>
      <c r="L137" s="5"/>
      <c r="O137" s="5"/>
    </row>
    <row r="138" spans="1:15" x14ac:dyDescent="0.25">
      <c r="A138" s="2" t="s">
        <v>184</v>
      </c>
      <c r="B138" s="2"/>
      <c r="C138" s="5">
        <v>118</v>
      </c>
      <c r="D138" s="5">
        <v>0</v>
      </c>
      <c r="E138" s="5">
        <v>1</v>
      </c>
      <c r="F138" s="5"/>
      <c r="G138" s="5"/>
      <c r="H138" s="5"/>
      <c r="I138" s="5"/>
      <c r="J138" s="5"/>
      <c r="K138" s="5" t="b">
        <f t="shared" si="7"/>
        <v>0</v>
      </c>
      <c r="L138" s="5"/>
      <c r="O138" s="5"/>
    </row>
    <row r="139" spans="1:15" x14ac:dyDescent="0.25">
      <c r="A139" s="2" t="s">
        <v>184</v>
      </c>
      <c r="B139" s="2"/>
      <c r="C139" s="5">
        <v>118</v>
      </c>
      <c r="D139" s="5">
        <v>0</v>
      </c>
      <c r="E139" s="5">
        <v>1</v>
      </c>
      <c r="F139" s="5"/>
      <c r="G139" s="5"/>
      <c r="H139" s="5"/>
      <c r="I139" s="5"/>
      <c r="J139" s="5"/>
      <c r="K139" s="5" t="b">
        <f t="shared" si="7"/>
        <v>0</v>
      </c>
      <c r="L139" s="5"/>
      <c r="O139" s="5"/>
    </row>
    <row r="140" spans="1:15" x14ac:dyDescent="0.25">
      <c r="A140" s="2" t="s">
        <v>184</v>
      </c>
      <c r="B140" s="2"/>
      <c r="C140" s="5">
        <v>118</v>
      </c>
      <c r="D140" s="5">
        <v>0</v>
      </c>
      <c r="E140" s="5">
        <v>1</v>
      </c>
      <c r="F140" s="5"/>
      <c r="G140" s="5"/>
      <c r="H140" s="5"/>
      <c r="I140" s="5"/>
      <c r="J140" s="5"/>
      <c r="K140" s="5" t="b">
        <f t="shared" si="7"/>
        <v>0</v>
      </c>
      <c r="L140" s="5"/>
      <c r="O140" s="5"/>
    </row>
    <row r="141" spans="1:15" x14ac:dyDescent="0.25">
      <c r="A141" s="2" t="s">
        <v>184</v>
      </c>
      <c r="B141" s="2"/>
      <c r="C141" s="5">
        <v>118</v>
      </c>
      <c r="D141" s="5">
        <v>0</v>
      </c>
      <c r="E141" s="5">
        <v>1</v>
      </c>
      <c r="F141" s="5"/>
      <c r="G141" s="5"/>
      <c r="H141" s="5"/>
      <c r="I141" s="5"/>
      <c r="J141" s="5"/>
      <c r="K141" s="5" t="b">
        <f t="shared" si="7"/>
        <v>0</v>
      </c>
      <c r="L141" s="5"/>
      <c r="O141" s="5"/>
    </row>
    <row r="142" spans="1:15" x14ac:dyDescent="0.25">
      <c r="A142" s="2" t="s">
        <v>184</v>
      </c>
      <c r="B142" s="2"/>
      <c r="C142" s="5">
        <v>118</v>
      </c>
      <c r="D142" s="5">
        <v>0</v>
      </c>
      <c r="E142" s="5">
        <v>1</v>
      </c>
      <c r="F142" s="5"/>
      <c r="G142" s="5"/>
      <c r="H142" s="5"/>
      <c r="I142" s="5"/>
      <c r="J142" s="5"/>
      <c r="K142" s="5" t="b">
        <f t="shared" si="7"/>
        <v>0</v>
      </c>
      <c r="L142" s="5"/>
      <c r="O142" s="5"/>
    </row>
    <row r="143" spans="1:15" x14ac:dyDescent="0.25">
      <c r="A143" s="2" t="s">
        <v>533</v>
      </c>
      <c r="B143" s="2"/>
      <c r="C143" s="5">
        <v>118</v>
      </c>
      <c r="D143" s="5">
        <v>1</v>
      </c>
      <c r="E143" s="5">
        <v>0</v>
      </c>
      <c r="F143" s="5">
        <v>0</v>
      </c>
      <c r="G143" s="5"/>
      <c r="H143" s="5"/>
      <c r="I143" s="5"/>
      <c r="J143" s="5"/>
      <c r="K143" s="5" t="b">
        <f t="shared" si="7"/>
        <v>0</v>
      </c>
      <c r="L143" s="5"/>
      <c r="O143" s="5"/>
    </row>
    <row r="144" spans="1:15" x14ac:dyDescent="0.25">
      <c r="A144" s="2" t="s">
        <v>557</v>
      </c>
      <c r="B144" s="2"/>
      <c r="C144" s="5">
        <v>118</v>
      </c>
      <c r="D144" s="5">
        <v>1</v>
      </c>
      <c r="E144" s="5">
        <v>1</v>
      </c>
      <c r="F144" s="5">
        <v>0</v>
      </c>
      <c r="G144" s="5"/>
      <c r="H144" s="5"/>
      <c r="I144" s="5"/>
      <c r="J144" s="5"/>
      <c r="K144" s="5" t="b">
        <f t="shared" si="7"/>
        <v>0</v>
      </c>
      <c r="L144" s="5"/>
      <c r="O144" s="5"/>
    </row>
    <row r="145" spans="1:15" x14ac:dyDescent="0.25">
      <c r="A145" s="2" t="s">
        <v>548</v>
      </c>
      <c r="B145" s="2"/>
      <c r="C145" s="5">
        <v>118</v>
      </c>
      <c r="D145" s="5">
        <v>1</v>
      </c>
      <c r="E145" s="5">
        <v>0</v>
      </c>
      <c r="F145" s="5">
        <v>0</v>
      </c>
      <c r="G145" s="5"/>
      <c r="H145" s="5"/>
      <c r="I145" s="5"/>
      <c r="J145" s="5"/>
      <c r="K145" s="5" t="b">
        <f t="shared" si="7"/>
        <v>0</v>
      </c>
      <c r="L145" s="5"/>
      <c r="O145" s="5" t="s">
        <v>601</v>
      </c>
    </row>
    <row r="146" spans="1:15" x14ac:dyDescent="0.25">
      <c r="A146" s="2" t="s">
        <v>548</v>
      </c>
      <c r="B146" s="2"/>
      <c r="C146" s="5">
        <v>118</v>
      </c>
      <c r="D146" s="5">
        <v>1</v>
      </c>
      <c r="E146" s="5">
        <v>1</v>
      </c>
      <c r="F146" s="5">
        <v>0</v>
      </c>
      <c r="G146" s="5"/>
      <c r="H146" s="5"/>
      <c r="I146" s="5"/>
      <c r="J146" s="5"/>
      <c r="K146" s="5" t="b">
        <f t="shared" si="7"/>
        <v>0</v>
      </c>
      <c r="L146" s="5"/>
      <c r="O146" s="5" t="s">
        <v>601</v>
      </c>
    </row>
    <row r="147" spans="1:15" x14ac:dyDescent="0.25">
      <c r="A147" s="2" t="s">
        <v>557</v>
      </c>
      <c r="B147" s="2"/>
      <c r="C147" s="5">
        <v>118</v>
      </c>
      <c r="D147" s="5">
        <v>1</v>
      </c>
      <c r="E147" s="5">
        <v>1</v>
      </c>
      <c r="F147" s="5">
        <v>0</v>
      </c>
      <c r="G147" s="5"/>
      <c r="H147" s="5"/>
      <c r="I147" s="5"/>
      <c r="J147" s="5"/>
      <c r="K147" s="5" t="b">
        <f t="shared" si="7"/>
        <v>0</v>
      </c>
      <c r="L147" s="5"/>
      <c r="O147" s="5"/>
    </row>
    <row r="148" spans="1:15" x14ac:dyDescent="0.25">
      <c r="A148" s="2" t="s">
        <v>28</v>
      </c>
      <c r="B148" s="2"/>
      <c r="C148" s="5">
        <v>119</v>
      </c>
      <c r="D148" s="5">
        <v>2</v>
      </c>
      <c r="E148" s="5">
        <v>0</v>
      </c>
      <c r="F148" s="5"/>
      <c r="G148" s="5"/>
      <c r="H148" s="5">
        <v>0.48</v>
      </c>
      <c r="I148" s="5">
        <v>2</v>
      </c>
      <c r="J148" s="5">
        <v>76</v>
      </c>
      <c r="K148" s="5">
        <f t="shared" si="7"/>
        <v>9.3917297709100442E-2</v>
      </c>
      <c r="L148" s="5"/>
      <c r="M148" s="25">
        <v>0</v>
      </c>
      <c r="N148" s="25">
        <v>0</v>
      </c>
      <c r="O148" s="5"/>
    </row>
    <row r="149" spans="1:15" x14ac:dyDescent="0.25">
      <c r="A149" s="2" t="s">
        <v>185</v>
      </c>
      <c r="B149" s="2"/>
      <c r="C149" s="5">
        <v>119</v>
      </c>
      <c r="D149" s="5">
        <v>1</v>
      </c>
      <c r="E149" s="5">
        <v>0</v>
      </c>
      <c r="F149" s="5"/>
      <c r="G149" s="5">
        <v>0.76</v>
      </c>
      <c r="H149" s="5"/>
      <c r="I149" s="5">
        <v>38</v>
      </c>
      <c r="J149" s="5"/>
      <c r="K149" s="5">
        <f t="shared" si="7"/>
        <v>0.12236183730125327</v>
      </c>
      <c r="L149" s="5"/>
      <c r="M149" s="25">
        <v>0</v>
      </c>
      <c r="N149" s="25">
        <v>0</v>
      </c>
      <c r="O149" s="5"/>
    </row>
    <row r="150" spans="1:15" x14ac:dyDescent="0.25">
      <c r="A150" s="3" t="s">
        <v>29</v>
      </c>
      <c r="B150" s="3"/>
      <c r="C150" s="5">
        <v>127</v>
      </c>
      <c r="D150" s="5">
        <v>2</v>
      </c>
      <c r="E150" s="5">
        <v>0</v>
      </c>
      <c r="F150" s="5"/>
      <c r="G150" s="5">
        <v>3.38</v>
      </c>
      <c r="H150" s="5"/>
      <c r="I150" s="5">
        <v>219</v>
      </c>
      <c r="J150" s="5"/>
      <c r="K150" s="5">
        <f t="shared" ref="K150:K154" si="8">IF(NOT(ISBLANK(G150)),SQRT((G150^2*1/I150)/(G150^2*1/I150+1)),IF(NOT(ISBLANK(H150)),SQRT((H150*I150/J150)/(H150*I150/J150+1)*SQRT(1/I150))))</f>
        <v>0.22266526178079818</v>
      </c>
      <c r="L150" s="5"/>
      <c r="M150" s="25" t="s">
        <v>676</v>
      </c>
      <c r="N150" s="25" t="s">
        <v>676</v>
      </c>
      <c r="O150" s="5" t="s">
        <v>602</v>
      </c>
    </row>
    <row r="151" spans="1:15" x14ac:dyDescent="0.25">
      <c r="A151" s="3" t="s">
        <v>29</v>
      </c>
      <c r="B151" s="3"/>
      <c r="C151" s="5">
        <v>127</v>
      </c>
      <c r="D151" s="5">
        <v>2</v>
      </c>
      <c r="E151" s="5">
        <v>1</v>
      </c>
      <c r="F151" s="5"/>
      <c r="G151" s="5">
        <v>5.54</v>
      </c>
      <c r="H151" s="5"/>
      <c r="I151" s="5">
        <v>219</v>
      </c>
      <c r="J151" s="5"/>
      <c r="K151" s="5">
        <f t="shared" si="8"/>
        <v>0.35059667951063833</v>
      </c>
      <c r="L151" s="5"/>
      <c r="M151" s="25" t="s">
        <v>676</v>
      </c>
      <c r="N151" s="25" t="s">
        <v>676</v>
      </c>
      <c r="O151" s="5" t="s">
        <v>602</v>
      </c>
    </row>
    <row r="152" spans="1:15" x14ac:dyDescent="0.25">
      <c r="A152" s="3" t="s">
        <v>30</v>
      </c>
      <c r="B152" s="3"/>
      <c r="C152" s="5">
        <v>133</v>
      </c>
      <c r="D152" s="5">
        <v>1</v>
      </c>
      <c r="E152" s="5">
        <v>0</v>
      </c>
      <c r="F152" s="5">
        <v>0</v>
      </c>
      <c r="G152" s="5"/>
      <c r="H152" s="5"/>
      <c r="I152" s="5"/>
      <c r="J152" s="5"/>
      <c r="K152" s="5" t="b">
        <f t="shared" si="8"/>
        <v>0</v>
      </c>
      <c r="L152" s="5"/>
      <c r="O152" s="5"/>
    </row>
    <row r="153" spans="1:15" x14ac:dyDescent="0.25">
      <c r="A153" s="3" t="s">
        <v>31</v>
      </c>
      <c r="B153" s="3"/>
      <c r="C153" s="5">
        <v>134</v>
      </c>
      <c r="D153" s="5">
        <v>1</v>
      </c>
      <c r="E153" s="5">
        <v>0</v>
      </c>
      <c r="F153" s="5">
        <v>0</v>
      </c>
      <c r="G153" s="5"/>
      <c r="H153" s="5"/>
      <c r="I153" s="5"/>
      <c r="J153" s="5"/>
      <c r="K153" s="5" t="b">
        <f t="shared" si="8"/>
        <v>0</v>
      </c>
      <c r="L153" s="5"/>
      <c r="O153" s="5"/>
    </row>
    <row r="154" spans="1:15" s="15" customFormat="1" x14ac:dyDescent="0.25">
      <c r="A154" s="21" t="s">
        <v>672</v>
      </c>
      <c r="C154">
        <v>141</v>
      </c>
      <c r="D154">
        <v>1</v>
      </c>
      <c r="E154">
        <v>0</v>
      </c>
      <c r="F154" s="23">
        <v>0</v>
      </c>
      <c r="K154" s="5" t="b">
        <f t="shared" si="8"/>
        <v>0</v>
      </c>
      <c r="M154" s="28"/>
      <c r="N154" s="28"/>
    </row>
    <row r="155" spans="1:15" x14ac:dyDescent="0.25">
      <c r="A155" s="22" t="s">
        <v>32</v>
      </c>
      <c r="B155" s="3"/>
      <c r="C155" s="5">
        <v>149</v>
      </c>
      <c r="D155" s="5">
        <v>1</v>
      </c>
      <c r="E155" s="5">
        <v>0</v>
      </c>
      <c r="F155" s="5"/>
      <c r="G155" s="5"/>
      <c r="H155" s="5">
        <v>48.98</v>
      </c>
      <c r="I155" s="5">
        <v>1</v>
      </c>
      <c r="J155" s="5">
        <v>197</v>
      </c>
      <c r="K155" s="5">
        <f t="shared" ref="K155:K173" si="9">IF(NOT(ISBLANK(G155)),SQRT((G155^2*1/I155)/(G155^2*1/I155+1)),IF(NOT(ISBLANK(H155)),SQRT((H155*I155/J155)/(H155*I155/J155+1)*SQRT(1/I155))))</f>
        <v>0.4462307472907131</v>
      </c>
      <c r="L155" s="5"/>
      <c r="M155" s="25">
        <v>0</v>
      </c>
      <c r="N155" s="25">
        <v>0</v>
      </c>
      <c r="O155" s="5"/>
    </row>
    <row r="156" spans="1:15" x14ac:dyDescent="0.25">
      <c r="A156" s="22" t="s">
        <v>285</v>
      </c>
      <c r="B156" s="3"/>
      <c r="C156" s="5">
        <v>149</v>
      </c>
      <c r="D156" s="5">
        <v>1</v>
      </c>
      <c r="E156" s="5">
        <v>0</v>
      </c>
      <c r="F156" s="5">
        <v>0</v>
      </c>
      <c r="G156" s="5"/>
      <c r="H156" s="5"/>
      <c r="I156" s="5"/>
      <c r="J156" s="5"/>
      <c r="K156" s="5" t="b">
        <f t="shared" si="9"/>
        <v>0</v>
      </c>
      <c r="L156" s="5"/>
      <c r="O156" s="5"/>
    </row>
    <row r="157" spans="1:15" x14ac:dyDescent="0.25">
      <c r="A157" s="22" t="s">
        <v>472</v>
      </c>
      <c r="B157" s="3"/>
      <c r="C157" s="5">
        <v>149</v>
      </c>
      <c r="D157" s="5">
        <v>1</v>
      </c>
      <c r="E157" s="5">
        <v>0</v>
      </c>
      <c r="F157" s="5"/>
      <c r="G157" s="5"/>
      <c r="H157" s="5">
        <v>7.77</v>
      </c>
      <c r="I157" s="5">
        <v>1</v>
      </c>
      <c r="J157" s="5">
        <v>197</v>
      </c>
      <c r="K157" s="5">
        <f t="shared" si="9"/>
        <v>0.19479479324738241</v>
      </c>
      <c r="L157" s="5"/>
      <c r="M157" s="25">
        <v>0</v>
      </c>
      <c r="N157" s="25">
        <v>0</v>
      </c>
      <c r="O157" s="5"/>
    </row>
    <row r="158" spans="1:15" x14ac:dyDescent="0.25">
      <c r="A158" s="22" t="s">
        <v>518</v>
      </c>
      <c r="B158" s="3"/>
      <c r="C158" s="5">
        <v>149</v>
      </c>
      <c r="D158" s="5">
        <v>1</v>
      </c>
      <c r="E158" s="5">
        <v>0</v>
      </c>
      <c r="F158" s="5">
        <v>0</v>
      </c>
      <c r="G158" s="5"/>
      <c r="H158" s="5"/>
      <c r="I158" s="5"/>
      <c r="J158" s="5"/>
      <c r="K158" s="5" t="b">
        <f t="shared" si="9"/>
        <v>0</v>
      </c>
      <c r="L158" s="5"/>
      <c r="O158" s="5"/>
    </row>
    <row r="159" spans="1:15" x14ac:dyDescent="0.25">
      <c r="A159" s="21" t="s">
        <v>673</v>
      </c>
      <c r="B159" s="15"/>
      <c r="C159">
        <v>150</v>
      </c>
      <c r="D159">
        <v>1</v>
      </c>
      <c r="E159">
        <v>0</v>
      </c>
      <c r="F159">
        <v>0</v>
      </c>
      <c r="K159" s="5" t="b">
        <f t="shared" si="9"/>
        <v>0</v>
      </c>
    </row>
    <row r="160" spans="1:15" x14ac:dyDescent="0.25">
      <c r="A160" s="3" t="s">
        <v>33</v>
      </c>
      <c r="B160" s="3"/>
      <c r="C160" s="5">
        <v>152</v>
      </c>
      <c r="D160" s="5">
        <v>1</v>
      </c>
      <c r="E160" s="5">
        <v>0</v>
      </c>
      <c r="F160" s="5">
        <v>0</v>
      </c>
      <c r="G160" s="5"/>
      <c r="H160" s="5"/>
      <c r="I160" s="5"/>
      <c r="J160" s="5"/>
      <c r="K160" s="5" t="b">
        <f t="shared" si="9"/>
        <v>0</v>
      </c>
      <c r="L160" s="5"/>
      <c r="O160" s="5"/>
    </row>
    <row r="161" spans="1:15" x14ac:dyDescent="0.25">
      <c r="A161" s="3" t="s">
        <v>33</v>
      </c>
      <c r="B161" s="3"/>
      <c r="C161" s="5">
        <v>152</v>
      </c>
      <c r="D161" s="5">
        <v>1</v>
      </c>
      <c r="E161" s="5">
        <v>1</v>
      </c>
      <c r="F161" s="5">
        <v>0</v>
      </c>
      <c r="G161" s="5"/>
      <c r="H161" s="5"/>
      <c r="I161" s="5"/>
      <c r="J161" s="5"/>
      <c r="K161" s="5" t="b">
        <f t="shared" si="9"/>
        <v>0</v>
      </c>
      <c r="L161" s="5"/>
      <c r="O161" s="5"/>
    </row>
    <row r="162" spans="1:15" x14ac:dyDescent="0.25">
      <c r="A162" s="3" t="s">
        <v>33</v>
      </c>
      <c r="B162" s="3"/>
      <c r="C162" s="5">
        <v>152</v>
      </c>
      <c r="D162" s="5">
        <v>1</v>
      </c>
      <c r="E162" s="5">
        <v>1</v>
      </c>
      <c r="F162" s="5">
        <v>0</v>
      </c>
      <c r="G162" s="5"/>
      <c r="H162" s="5"/>
      <c r="I162" s="5"/>
      <c r="J162" s="5"/>
      <c r="K162" s="5" t="b">
        <f t="shared" si="9"/>
        <v>0</v>
      </c>
      <c r="L162" s="5"/>
      <c r="O162" s="5"/>
    </row>
    <row r="163" spans="1:15" x14ac:dyDescent="0.25">
      <c r="A163" s="2" t="s">
        <v>34</v>
      </c>
      <c r="B163" s="2"/>
      <c r="C163" s="5">
        <v>153</v>
      </c>
      <c r="D163" s="5">
        <v>1</v>
      </c>
      <c r="E163" s="5">
        <v>0</v>
      </c>
      <c r="F163" s="5" t="s">
        <v>590</v>
      </c>
      <c r="G163" s="5"/>
      <c r="H163" s="5">
        <v>5.49</v>
      </c>
      <c r="I163" s="5">
        <v>2</v>
      </c>
      <c r="J163" s="5">
        <v>257</v>
      </c>
      <c r="K163" s="5">
        <f t="shared" si="9"/>
        <v>0.17021290340442957</v>
      </c>
      <c r="L163" s="5"/>
      <c r="M163" s="25" t="s">
        <v>676</v>
      </c>
      <c r="N163" s="25" t="s">
        <v>676</v>
      </c>
      <c r="O163" s="5" t="s">
        <v>602</v>
      </c>
    </row>
    <row r="164" spans="1:15" x14ac:dyDescent="0.25">
      <c r="A164" s="2" t="s">
        <v>534</v>
      </c>
      <c r="B164" s="2"/>
      <c r="C164" s="5">
        <v>154</v>
      </c>
      <c r="D164" s="5">
        <v>0</v>
      </c>
      <c r="E164" s="5">
        <v>0</v>
      </c>
      <c r="F164" s="5"/>
      <c r="G164" s="5"/>
      <c r="H164" s="5"/>
      <c r="I164" s="5"/>
      <c r="J164" s="5"/>
      <c r="K164" s="5" t="b">
        <f t="shared" si="9"/>
        <v>0</v>
      </c>
      <c r="L164" s="5"/>
      <c r="O164" s="5"/>
    </row>
    <row r="165" spans="1:15" x14ac:dyDescent="0.25">
      <c r="A165" s="2" t="s">
        <v>558</v>
      </c>
      <c r="B165" s="2"/>
      <c r="C165" s="5">
        <v>154</v>
      </c>
      <c r="D165" s="5">
        <v>1</v>
      </c>
      <c r="E165" s="5">
        <v>0</v>
      </c>
      <c r="F165" s="5">
        <v>0</v>
      </c>
      <c r="G165" s="5"/>
      <c r="H165" s="5"/>
      <c r="I165" s="5"/>
      <c r="J165" s="5"/>
      <c r="K165" s="5" t="b">
        <f t="shared" si="9"/>
        <v>0</v>
      </c>
      <c r="L165" s="5"/>
      <c r="M165" s="29"/>
      <c r="N165" s="29"/>
      <c r="O165" s="5"/>
    </row>
    <row r="166" spans="1:15" x14ac:dyDescent="0.25">
      <c r="A166" s="2" t="s">
        <v>35</v>
      </c>
      <c r="B166" s="2"/>
      <c r="C166" s="5">
        <v>155</v>
      </c>
      <c r="D166" s="5">
        <v>0</v>
      </c>
      <c r="E166" s="5">
        <v>0</v>
      </c>
      <c r="F166" s="5"/>
      <c r="G166" s="5"/>
      <c r="H166" s="5"/>
      <c r="I166" s="5"/>
      <c r="J166" s="5"/>
      <c r="K166" s="5" t="b">
        <f t="shared" si="9"/>
        <v>0</v>
      </c>
      <c r="L166" s="5"/>
      <c r="O166" s="5"/>
    </row>
    <row r="167" spans="1:15" x14ac:dyDescent="0.25">
      <c r="A167" s="2" t="s">
        <v>186</v>
      </c>
      <c r="B167" s="2"/>
      <c r="C167" s="5">
        <v>155</v>
      </c>
      <c r="D167" s="5">
        <v>0</v>
      </c>
      <c r="E167" s="5">
        <v>1</v>
      </c>
      <c r="F167" s="5"/>
      <c r="G167" s="5"/>
      <c r="H167" s="5"/>
      <c r="I167" s="5"/>
      <c r="J167" s="5"/>
      <c r="K167" s="5" t="b">
        <f t="shared" si="9"/>
        <v>0</v>
      </c>
      <c r="L167" s="5"/>
      <c r="O167" s="5"/>
    </row>
    <row r="168" spans="1:15" x14ac:dyDescent="0.25">
      <c r="A168" s="2" t="s">
        <v>186</v>
      </c>
      <c r="B168" s="2"/>
      <c r="C168" s="5">
        <v>155</v>
      </c>
      <c r="D168" s="5">
        <v>0</v>
      </c>
      <c r="E168" s="5">
        <v>0</v>
      </c>
      <c r="F168" s="5"/>
      <c r="G168" s="5"/>
      <c r="H168" s="5"/>
      <c r="I168" s="5"/>
      <c r="J168" s="5"/>
      <c r="K168" s="5" t="b">
        <f t="shared" si="9"/>
        <v>0</v>
      </c>
      <c r="L168" s="5"/>
      <c r="O168" s="5"/>
    </row>
    <row r="169" spans="1:15" x14ac:dyDescent="0.25">
      <c r="A169" s="2" t="s">
        <v>36</v>
      </c>
      <c r="B169" s="2"/>
      <c r="C169" s="5">
        <v>156</v>
      </c>
      <c r="D169" s="5">
        <v>1</v>
      </c>
      <c r="E169" s="5">
        <v>0</v>
      </c>
      <c r="F169" s="5"/>
      <c r="G169" s="5">
        <v>6.14</v>
      </c>
      <c r="H169" s="5"/>
      <c r="I169" s="5">
        <v>85</v>
      </c>
      <c r="J169" s="5"/>
      <c r="K169" s="5">
        <f t="shared" si="9"/>
        <v>0.55430244937479989</v>
      </c>
      <c r="L169" s="5"/>
      <c r="M169" s="25">
        <v>0</v>
      </c>
      <c r="N169" s="25">
        <v>0</v>
      </c>
      <c r="O169" s="5"/>
    </row>
    <row r="170" spans="1:15" x14ac:dyDescent="0.25">
      <c r="A170" s="2" t="s">
        <v>286</v>
      </c>
      <c r="B170" s="2"/>
      <c r="C170" s="5">
        <v>157</v>
      </c>
      <c r="D170" s="5">
        <v>1</v>
      </c>
      <c r="E170" s="5">
        <v>0</v>
      </c>
      <c r="F170" s="5">
        <v>0</v>
      </c>
      <c r="G170" s="5"/>
      <c r="H170" s="5"/>
      <c r="I170" s="5"/>
      <c r="J170" s="5"/>
      <c r="K170" s="5" t="b">
        <f t="shared" si="9"/>
        <v>0</v>
      </c>
      <c r="L170" s="5"/>
      <c r="O170" s="5"/>
    </row>
    <row r="171" spans="1:15" x14ac:dyDescent="0.25">
      <c r="A171" s="2" t="s">
        <v>37</v>
      </c>
      <c r="B171" s="2"/>
      <c r="C171" s="5">
        <v>159</v>
      </c>
      <c r="D171" s="5">
        <v>1</v>
      </c>
      <c r="E171" s="5">
        <v>0</v>
      </c>
      <c r="F171" s="5">
        <v>0</v>
      </c>
      <c r="G171" s="5"/>
      <c r="H171" s="5"/>
      <c r="I171" s="5"/>
      <c r="J171" s="5"/>
      <c r="K171" s="5" t="b">
        <f t="shared" si="9"/>
        <v>0</v>
      </c>
      <c r="L171" s="5"/>
      <c r="M171" s="29">
        <v>0</v>
      </c>
      <c r="N171" s="25">
        <v>0</v>
      </c>
      <c r="O171" s="5" t="s">
        <v>684</v>
      </c>
    </row>
    <row r="172" spans="1:15" x14ac:dyDescent="0.25">
      <c r="A172" s="2" t="s">
        <v>187</v>
      </c>
      <c r="B172" s="2"/>
      <c r="C172" s="5">
        <v>159</v>
      </c>
      <c r="D172" s="5">
        <v>1</v>
      </c>
      <c r="E172" s="5">
        <v>0</v>
      </c>
      <c r="F172" s="5">
        <v>0</v>
      </c>
      <c r="G172" s="5"/>
      <c r="H172" s="5"/>
      <c r="I172" s="5"/>
      <c r="J172" s="5"/>
      <c r="K172" s="5" t="b">
        <f t="shared" si="9"/>
        <v>0</v>
      </c>
      <c r="L172" s="5"/>
      <c r="M172" s="29">
        <v>0</v>
      </c>
      <c r="N172" s="25">
        <v>0</v>
      </c>
      <c r="O172" s="5" t="s">
        <v>604</v>
      </c>
    </row>
    <row r="173" spans="1:15" x14ac:dyDescent="0.25">
      <c r="A173" s="2" t="s">
        <v>287</v>
      </c>
      <c r="B173" s="2"/>
      <c r="C173" s="5">
        <v>159</v>
      </c>
      <c r="D173" s="5">
        <v>1</v>
      </c>
      <c r="E173" s="5">
        <v>0</v>
      </c>
      <c r="F173" s="5">
        <v>0</v>
      </c>
      <c r="G173" s="5"/>
      <c r="H173" s="5"/>
      <c r="I173" s="5"/>
      <c r="J173" s="5"/>
      <c r="K173" s="5" t="b">
        <f t="shared" si="9"/>
        <v>0</v>
      </c>
      <c r="L173" s="5"/>
      <c r="M173" s="29">
        <v>0</v>
      </c>
      <c r="N173" s="25">
        <v>0</v>
      </c>
      <c r="O173" s="5" t="s">
        <v>605</v>
      </c>
    </row>
    <row r="174" spans="1:15" x14ac:dyDescent="0.25">
      <c r="A174" s="2" t="s">
        <v>188</v>
      </c>
      <c r="B174" s="2"/>
      <c r="C174" s="5">
        <v>162</v>
      </c>
      <c r="D174" s="5">
        <v>0</v>
      </c>
      <c r="E174" s="5">
        <v>0</v>
      </c>
      <c r="F174" s="5"/>
      <c r="G174" s="5"/>
      <c r="H174" s="5"/>
      <c r="I174" s="5"/>
      <c r="J174" s="5"/>
      <c r="K174" s="5" t="b">
        <f t="shared" ref="K174:K186" si="10">IF(NOT(ISBLANK(G174)),SQRT((G174^2*1/I174)/(G174^2*1/I174+1)),IF(NOT(ISBLANK(H174)),SQRT((H174*I174/J174)/(H174*I174/J174+1)*SQRT(1/I174))))</f>
        <v>0</v>
      </c>
      <c r="L174" s="5"/>
      <c r="O174" s="5"/>
    </row>
    <row r="175" spans="1:15" x14ac:dyDescent="0.25">
      <c r="A175" s="2" t="s">
        <v>38</v>
      </c>
      <c r="B175" s="2"/>
      <c r="C175" s="5">
        <v>164</v>
      </c>
      <c r="D175" s="5">
        <v>1</v>
      </c>
      <c r="E175" s="5">
        <v>0</v>
      </c>
      <c r="F175" s="5">
        <v>0</v>
      </c>
      <c r="G175" s="5"/>
      <c r="H175" s="5"/>
      <c r="I175" s="5"/>
      <c r="J175" s="5"/>
      <c r="K175" s="5" t="b">
        <f t="shared" si="10"/>
        <v>0</v>
      </c>
      <c r="L175" s="5"/>
      <c r="M175" s="25" t="s">
        <v>676</v>
      </c>
      <c r="N175" s="25" t="s">
        <v>676</v>
      </c>
      <c r="O175" t="s">
        <v>603</v>
      </c>
    </row>
    <row r="176" spans="1:15" x14ac:dyDescent="0.25">
      <c r="A176" s="2" t="s">
        <v>189</v>
      </c>
      <c r="B176" s="2"/>
      <c r="C176" s="5">
        <v>164</v>
      </c>
      <c r="D176" s="5">
        <v>1</v>
      </c>
      <c r="E176" s="5">
        <v>0</v>
      </c>
      <c r="F176" s="5">
        <v>0</v>
      </c>
      <c r="G176" s="5"/>
      <c r="H176" s="5"/>
      <c r="I176" s="5"/>
      <c r="J176" s="5"/>
      <c r="K176" s="5" t="b">
        <f t="shared" si="10"/>
        <v>0</v>
      </c>
      <c r="L176" s="5"/>
      <c r="O176" s="5"/>
    </row>
    <row r="177" spans="1:23" x14ac:dyDescent="0.25">
      <c r="A177" s="2" t="s">
        <v>39</v>
      </c>
      <c r="B177" s="2"/>
      <c r="C177" s="5">
        <v>165</v>
      </c>
      <c r="D177" s="5">
        <v>1</v>
      </c>
      <c r="E177" s="5">
        <v>0</v>
      </c>
      <c r="F177" s="5"/>
      <c r="G177" s="5">
        <v>12.76</v>
      </c>
      <c r="H177" s="5"/>
      <c r="I177" s="5">
        <v>32.08</v>
      </c>
      <c r="J177" s="5"/>
      <c r="K177" s="5">
        <f t="shared" si="10"/>
        <v>0.91400259505933168</v>
      </c>
      <c r="L177" s="5"/>
      <c r="M177" s="25">
        <v>0</v>
      </c>
      <c r="N177" s="25">
        <v>0</v>
      </c>
      <c r="O177" s="5"/>
      <c r="W177" t="s">
        <v>590</v>
      </c>
    </row>
    <row r="178" spans="1:23" x14ac:dyDescent="0.25">
      <c r="A178" s="2" t="s">
        <v>40</v>
      </c>
      <c r="B178" s="2"/>
      <c r="C178" s="5">
        <v>173</v>
      </c>
      <c r="D178" s="5">
        <v>1</v>
      </c>
      <c r="E178" s="5">
        <v>0</v>
      </c>
      <c r="F178" s="5"/>
      <c r="G178" s="5">
        <v>1.37</v>
      </c>
      <c r="H178" s="5"/>
      <c r="I178" s="5">
        <v>35</v>
      </c>
      <c r="J178" s="5"/>
      <c r="K178" s="5">
        <f t="shared" si="10"/>
        <v>0.22560221761831506</v>
      </c>
      <c r="L178" s="5"/>
      <c r="M178" s="25">
        <v>0</v>
      </c>
      <c r="N178" s="25">
        <v>0</v>
      </c>
      <c r="O178" s="5"/>
    </row>
    <row r="179" spans="1:23" x14ac:dyDescent="0.25">
      <c r="A179" s="2" t="s">
        <v>190</v>
      </c>
      <c r="B179" s="2"/>
      <c r="C179" s="5">
        <v>173</v>
      </c>
      <c r="D179" s="5">
        <v>1</v>
      </c>
      <c r="E179" s="5">
        <v>0</v>
      </c>
      <c r="F179" s="5"/>
      <c r="G179" s="5">
        <v>0.89</v>
      </c>
      <c r="H179" s="5"/>
      <c r="I179" s="5">
        <v>34</v>
      </c>
      <c r="J179" s="5"/>
      <c r="K179" s="5">
        <f t="shared" si="10"/>
        <v>0.15088625698504651</v>
      </c>
      <c r="L179" s="5"/>
      <c r="M179" s="25">
        <v>0</v>
      </c>
      <c r="N179" s="25">
        <v>0</v>
      </c>
      <c r="O179" s="5"/>
    </row>
    <row r="180" spans="1:23" x14ac:dyDescent="0.25">
      <c r="A180" s="9" t="s">
        <v>288</v>
      </c>
      <c r="B180" s="9"/>
      <c r="C180" s="10">
        <v>173</v>
      </c>
      <c r="D180" s="10">
        <v>1</v>
      </c>
      <c r="E180" s="5">
        <v>0</v>
      </c>
      <c r="F180" s="10"/>
      <c r="G180" s="10">
        <v>2.61</v>
      </c>
      <c r="H180" s="10"/>
      <c r="I180" s="10">
        <v>35</v>
      </c>
      <c r="J180" s="10"/>
      <c r="K180" s="10">
        <f t="shared" si="10"/>
        <v>0.40363565001843449</v>
      </c>
      <c r="L180" s="10"/>
      <c r="M180" s="27">
        <v>0</v>
      </c>
      <c r="N180" s="27">
        <v>0</v>
      </c>
      <c r="O180" s="10"/>
      <c r="P180" s="13"/>
      <c r="Q180" s="13"/>
      <c r="R180" s="13"/>
      <c r="S180" s="13"/>
      <c r="T180" s="13"/>
    </row>
    <row r="181" spans="1:23" x14ac:dyDescent="0.25">
      <c r="A181" s="2" t="s">
        <v>361</v>
      </c>
      <c r="B181" s="2"/>
      <c r="C181" s="5">
        <v>173</v>
      </c>
      <c r="D181" s="5">
        <v>1</v>
      </c>
      <c r="E181" s="5">
        <v>0</v>
      </c>
      <c r="F181" s="5"/>
      <c r="G181" s="5">
        <v>0.89</v>
      </c>
      <c r="H181" s="5"/>
      <c r="I181" s="5">
        <v>34</v>
      </c>
      <c r="J181" s="5"/>
      <c r="K181" s="5">
        <f t="shared" si="10"/>
        <v>0.15088625698504651</v>
      </c>
      <c r="L181" s="5"/>
      <c r="M181" s="25">
        <v>0</v>
      </c>
      <c r="N181" s="25">
        <v>0</v>
      </c>
      <c r="O181" s="5"/>
    </row>
    <row r="182" spans="1:23" x14ac:dyDescent="0.25">
      <c r="A182" s="2" t="s">
        <v>403</v>
      </c>
      <c r="B182" s="2"/>
      <c r="C182" s="5">
        <v>173</v>
      </c>
      <c r="D182" s="5">
        <v>3</v>
      </c>
      <c r="E182" s="5">
        <v>0</v>
      </c>
      <c r="F182" s="5"/>
      <c r="G182" s="5">
        <v>1.44</v>
      </c>
      <c r="H182" s="5"/>
      <c r="I182" s="5">
        <v>35</v>
      </c>
      <c r="J182" s="5"/>
      <c r="K182" s="5">
        <f t="shared" si="10"/>
        <v>0.2364994375161367</v>
      </c>
      <c r="L182" s="5"/>
      <c r="M182" s="25">
        <v>0</v>
      </c>
      <c r="N182" s="25">
        <v>0</v>
      </c>
      <c r="O182" s="5"/>
    </row>
    <row r="183" spans="1:23" x14ac:dyDescent="0.25">
      <c r="A183" s="2" t="s">
        <v>442</v>
      </c>
      <c r="B183" s="2"/>
      <c r="C183" s="5">
        <v>173</v>
      </c>
      <c r="D183" s="5">
        <v>1</v>
      </c>
      <c r="E183" s="5">
        <v>0</v>
      </c>
      <c r="F183" s="5"/>
      <c r="G183" s="5">
        <v>1.43</v>
      </c>
      <c r="H183" s="5"/>
      <c r="I183" s="5">
        <v>33</v>
      </c>
      <c r="J183" s="5"/>
      <c r="K183" s="5">
        <f t="shared" si="10"/>
        <v>0.24155922352527551</v>
      </c>
      <c r="L183" s="5"/>
      <c r="M183" s="25">
        <v>0</v>
      </c>
      <c r="N183" s="25">
        <v>0</v>
      </c>
      <c r="O183" s="5"/>
    </row>
    <row r="184" spans="1:23" x14ac:dyDescent="0.25">
      <c r="A184" s="2" t="s">
        <v>474</v>
      </c>
      <c r="B184" s="2"/>
      <c r="C184" s="5">
        <v>173</v>
      </c>
      <c r="D184" s="5">
        <v>1</v>
      </c>
      <c r="E184" s="5">
        <v>0</v>
      </c>
      <c r="F184" s="5"/>
      <c r="G184" s="5">
        <v>3.24</v>
      </c>
      <c r="H184" s="5"/>
      <c r="I184" s="5">
        <v>35</v>
      </c>
      <c r="J184" s="5"/>
      <c r="K184" s="5">
        <f t="shared" si="10"/>
        <v>0.48034222572984631</v>
      </c>
      <c r="L184" s="5"/>
      <c r="M184" s="25">
        <v>0</v>
      </c>
      <c r="N184" s="25">
        <v>0</v>
      </c>
      <c r="O184" s="5"/>
    </row>
    <row r="185" spans="1:23" x14ac:dyDescent="0.25">
      <c r="A185" s="2" t="s">
        <v>473</v>
      </c>
      <c r="B185" s="2"/>
      <c r="C185" s="5">
        <v>173</v>
      </c>
      <c r="D185" s="5">
        <v>2</v>
      </c>
      <c r="E185" s="5">
        <v>0</v>
      </c>
      <c r="F185" s="5"/>
      <c r="G185" s="5">
        <v>6.32</v>
      </c>
      <c r="H185" s="5"/>
      <c r="I185" s="5">
        <v>36</v>
      </c>
      <c r="J185" s="5"/>
      <c r="K185" s="5">
        <f t="shared" si="10"/>
        <v>0.72522859458995548</v>
      </c>
      <c r="L185" s="5"/>
      <c r="M185" s="25">
        <v>0</v>
      </c>
      <c r="N185" s="25">
        <v>0</v>
      </c>
      <c r="O185" s="5"/>
    </row>
    <row r="186" spans="1:23" x14ac:dyDescent="0.25">
      <c r="A186" s="2" t="s">
        <v>519</v>
      </c>
      <c r="B186" s="2"/>
      <c r="C186" s="5">
        <v>173</v>
      </c>
      <c r="D186" s="5">
        <v>1</v>
      </c>
      <c r="E186" s="5">
        <v>0</v>
      </c>
      <c r="F186" s="5"/>
      <c r="G186" s="5">
        <v>-4.4400000000000004</v>
      </c>
      <c r="H186" s="5"/>
      <c r="I186" s="5">
        <v>36</v>
      </c>
      <c r="J186" s="5"/>
      <c r="K186" s="5">
        <f t="shared" si="10"/>
        <v>0.59484300541029467</v>
      </c>
      <c r="L186" s="5"/>
      <c r="M186" s="25">
        <v>0</v>
      </c>
      <c r="N186" s="25">
        <v>0</v>
      </c>
      <c r="O186" s="5"/>
    </row>
    <row r="187" spans="1:23" x14ac:dyDescent="0.25">
      <c r="A187" s="2" t="s">
        <v>289</v>
      </c>
      <c r="B187" s="2"/>
      <c r="C187" s="5">
        <v>174</v>
      </c>
      <c r="D187" s="5">
        <v>0</v>
      </c>
      <c r="E187" s="5">
        <v>0</v>
      </c>
      <c r="F187" s="5">
        <v>0</v>
      </c>
      <c r="G187" s="5"/>
      <c r="H187" s="5"/>
      <c r="I187" s="5"/>
      <c r="J187" s="5"/>
      <c r="K187" s="5" t="b">
        <f t="shared" ref="K187:K205" si="11">IF(NOT(ISBLANK(G187)),SQRT((G187^2*1/I187)/(G187^2*1/I187+1)),IF(NOT(ISBLANK(H187)),SQRT((H187*I187/J187)/(H187*I187/J187+1)*SQRT(1/I187))))</f>
        <v>0</v>
      </c>
      <c r="L187" s="5"/>
      <c r="O187" s="5"/>
    </row>
    <row r="188" spans="1:23" x14ac:dyDescent="0.25">
      <c r="A188" s="2" t="s">
        <v>362</v>
      </c>
      <c r="B188" s="2"/>
      <c r="C188" s="5">
        <v>174</v>
      </c>
      <c r="D188" s="5">
        <v>0</v>
      </c>
      <c r="E188" s="5">
        <v>0</v>
      </c>
      <c r="F188" s="5">
        <v>0</v>
      </c>
      <c r="G188" s="5"/>
      <c r="H188" s="5"/>
      <c r="I188" s="5"/>
      <c r="J188" s="5"/>
      <c r="K188" s="5" t="b">
        <f t="shared" si="11"/>
        <v>0</v>
      </c>
      <c r="L188" s="5"/>
      <c r="O188" s="5"/>
    </row>
    <row r="189" spans="1:23" x14ac:dyDescent="0.25">
      <c r="A189" s="2" t="s">
        <v>41</v>
      </c>
      <c r="B189" s="2"/>
      <c r="C189" s="5">
        <v>178</v>
      </c>
      <c r="D189" s="5">
        <v>2</v>
      </c>
      <c r="E189" s="5">
        <v>0</v>
      </c>
      <c r="F189" s="5"/>
      <c r="G189" s="5"/>
      <c r="H189" s="5">
        <v>5.39</v>
      </c>
      <c r="I189" s="5">
        <v>1</v>
      </c>
      <c r="J189" s="5">
        <v>56</v>
      </c>
      <c r="K189" s="5">
        <f t="shared" si="11"/>
        <v>0.29630949335025852</v>
      </c>
      <c r="L189" s="5"/>
      <c r="M189" s="25">
        <v>0</v>
      </c>
      <c r="N189" s="25">
        <v>0</v>
      </c>
      <c r="O189" s="5"/>
    </row>
    <row r="190" spans="1:23" x14ac:dyDescent="0.25">
      <c r="A190" s="2" t="s">
        <v>191</v>
      </c>
      <c r="B190" s="2"/>
      <c r="C190" s="5">
        <v>178</v>
      </c>
      <c r="D190" s="5">
        <v>2</v>
      </c>
      <c r="E190" s="5">
        <v>0</v>
      </c>
      <c r="F190" s="5"/>
      <c r="G190" s="5"/>
      <c r="H190" s="5">
        <v>5.85</v>
      </c>
      <c r="I190" s="5">
        <v>1</v>
      </c>
      <c r="J190" s="5">
        <v>56</v>
      </c>
      <c r="K190" s="5">
        <f t="shared" si="11"/>
        <v>0.30754458241003946</v>
      </c>
      <c r="L190" s="5"/>
      <c r="M190" s="25">
        <v>0</v>
      </c>
      <c r="N190" s="25">
        <v>0</v>
      </c>
      <c r="O190" s="5"/>
    </row>
    <row r="191" spans="1:23" x14ac:dyDescent="0.25">
      <c r="A191" s="2" t="s">
        <v>42</v>
      </c>
      <c r="B191" s="2"/>
      <c r="C191" s="5">
        <v>183</v>
      </c>
      <c r="D191" s="5">
        <v>1</v>
      </c>
      <c r="E191" s="5">
        <v>0</v>
      </c>
      <c r="F191" s="5"/>
      <c r="G191" s="5">
        <v>6.32</v>
      </c>
      <c r="H191" s="5"/>
      <c r="I191" s="5">
        <v>994</v>
      </c>
      <c r="J191" s="5"/>
      <c r="K191" s="5">
        <f t="shared" si="11"/>
        <v>0.19654812521926851</v>
      </c>
      <c r="L191" s="5"/>
      <c r="M191" s="25">
        <v>0</v>
      </c>
      <c r="N191" s="25">
        <v>0</v>
      </c>
      <c r="O191" s="5"/>
    </row>
    <row r="192" spans="1:23" x14ac:dyDescent="0.25">
      <c r="A192" s="2" t="s">
        <v>43</v>
      </c>
      <c r="B192" s="2"/>
      <c r="C192" s="5">
        <v>186</v>
      </c>
      <c r="D192" s="5">
        <v>0</v>
      </c>
      <c r="E192" s="5">
        <v>0</v>
      </c>
      <c r="F192" s="5"/>
      <c r="G192" s="5"/>
      <c r="H192" s="5"/>
      <c r="I192" s="5"/>
      <c r="J192" s="5"/>
      <c r="K192" s="5" t="b">
        <f t="shared" si="11"/>
        <v>0</v>
      </c>
      <c r="L192" s="5"/>
      <c r="O192" s="5"/>
    </row>
    <row r="193" spans="1:15" x14ac:dyDescent="0.25">
      <c r="A193" s="2" t="s">
        <v>192</v>
      </c>
      <c r="B193" s="2"/>
      <c r="C193" s="5">
        <v>186</v>
      </c>
      <c r="D193" s="5">
        <v>0</v>
      </c>
      <c r="E193" s="5">
        <v>1</v>
      </c>
      <c r="F193" s="5"/>
      <c r="G193" s="5"/>
      <c r="H193" s="5"/>
      <c r="I193" s="5"/>
      <c r="J193" s="5"/>
      <c r="K193" s="5" t="b">
        <f t="shared" si="11"/>
        <v>0</v>
      </c>
      <c r="L193" s="5"/>
      <c r="O193" s="5"/>
    </row>
    <row r="194" spans="1:15" x14ac:dyDescent="0.25">
      <c r="A194" s="2" t="s">
        <v>192</v>
      </c>
      <c r="B194" s="2"/>
      <c r="C194" s="5">
        <v>186</v>
      </c>
      <c r="D194" s="5">
        <v>0</v>
      </c>
      <c r="E194" s="5">
        <v>1</v>
      </c>
      <c r="F194" s="5"/>
      <c r="G194" s="5"/>
      <c r="H194" s="5"/>
      <c r="I194" s="5"/>
      <c r="J194" s="5"/>
      <c r="K194" s="5" t="b">
        <f t="shared" si="11"/>
        <v>0</v>
      </c>
      <c r="L194" s="5"/>
      <c r="O194" s="5"/>
    </row>
    <row r="195" spans="1:15" x14ac:dyDescent="0.25">
      <c r="A195" s="2" t="s">
        <v>44</v>
      </c>
      <c r="B195" s="2"/>
      <c r="C195" s="5">
        <v>191</v>
      </c>
      <c r="D195" s="5">
        <v>3</v>
      </c>
      <c r="E195" s="5">
        <v>0</v>
      </c>
      <c r="F195" s="5"/>
      <c r="G195" s="5"/>
      <c r="H195" s="5">
        <v>8.8000000000000007</v>
      </c>
      <c r="I195" s="5">
        <v>1</v>
      </c>
      <c r="J195" s="5">
        <v>339</v>
      </c>
      <c r="K195" s="5">
        <f t="shared" si="11"/>
        <v>0.15906570228155151</v>
      </c>
      <c r="L195" s="5"/>
      <c r="M195" s="25">
        <v>0</v>
      </c>
      <c r="N195" s="25">
        <v>0</v>
      </c>
      <c r="O195" s="5" t="s">
        <v>692</v>
      </c>
    </row>
    <row r="196" spans="1:15" x14ac:dyDescent="0.25">
      <c r="A196" s="2" t="s">
        <v>45</v>
      </c>
      <c r="B196" s="2"/>
      <c r="C196" s="5">
        <v>192</v>
      </c>
      <c r="D196" s="5">
        <v>2</v>
      </c>
      <c r="E196" s="5">
        <v>0</v>
      </c>
      <c r="F196" s="5"/>
      <c r="G196" s="5"/>
      <c r="H196" s="5">
        <v>5.32</v>
      </c>
      <c r="I196" s="5">
        <v>1</v>
      </c>
      <c r="J196" s="5">
        <v>123</v>
      </c>
      <c r="K196" s="5">
        <f t="shared" si="11"/>
        <v>0.20361447116506828</v>
      </c>
      <c r="L196" s="5"/>
      <c r="M196" s="25">
        <v>0</v>
      </c>
      <c r="N196" s="25">
        <v>0</v>
      </c>
      <c r="O196" s="5" t="s">
        <v>693</v>
      </c>
    </row>
    <row r="197" spans="1:15" x14ac:dyDescent="0.25">
      <c r="A197" s="2" t="s">
        <v>46</v>
      </c>
      <c r="B197" s="2"/>
      <c r="C197" s="5">
        <v>194</v>
      </c>
      <c r="D197" s="5">
        <v>4</v>
      </c>
      <c r="E197" s="5">
        <v>0</v>
      </c>
      <c r="F197" s="5">
        <v>0</v>
      </c>
      <c r="G197" s="5"/>
      <c r="H197" s="5"/>
      <c r="I197" s="5"/>
      <c r="J197" s="5"/>
      <c r="K197" s="5" t="b">
        <f t="shared" si="11"/>
        <v>0</v>
      </c>
      <c r="L197" s="5"/>
      <c r="O197" s="5" t="s">
        <v>606</v>
      </c>
    </row>
    <row r="198" spans="1:15" x14ac:dyDescent="0.25">
      <c r="A198" s="2" t="s">
        <v>47</v>
      </c>
      <c r="B198" s="2"/>
      <c r="C198" s="5">
        <v>196</v>
      </c>
      <c r="D198" s="5">
        <v>2</v>
      </c>
      <c r="E198" s="5">
        <v>0</v>
      </c>
      <c r="F198" s="5"/>
      <c r="G198" s="5">
        <v>5.22</v>
      </c>
      <c r="H198" s="5"/>
      <c r="I198" s="5">
        <v>614</v>
      </c>
      <c r="J198" s="5"/>
      <c r="K198" s="5">
        <f t="shared" si="11"/>
        <v>0.20613766663012309</v>
      </c>
      <c r="L198" s="5"/>
      <c r="M198" s="25">
        <v>0</v>
      </c>
      <c r="N198" s="25">
        <v>0</v>
      </c>
      <c r="O198" s="5" t="s">
        <v>693</v>
      </c>
    </row>
    <row r="199" spans="1:15" x14ac:dyDescent="0.25">
      <c r="A199" s="2" t="s">
        <v>290</v>
      </c>
      <c r="B199" s="2"/>
      <c r="C199" s="5">
        <v>196</v>
      </c>
      <c r="D199" s="5">
        <v>5</v>
      </c>
      <c r="E199" s="5">
        <v>0</v>
      </c>
      <c r="F199" s="5"/>
      <c r="G199" s="5">
        <v>2.04</v>
      </c>
      <c r="H199" s="5"/>
      <c r="I199" s="5">
        <v>476</v>
      </c>
      <c r="J199" s="5"/>
      <c r="K199" s="5">
        <f t="shared" si="11"/>
        <v>9.3097164738597721E-2</v>
      </c>
      <c r="L199" s="5"/>
      <c r="M199" s="25">
        <v>0</v>
      </c>
      <c r="N199" s="25">
        <v>0</v>
      </c>
      <c r="O199" s="5" t="s">
        <v>692</v>
      </c>
    </row>
    <row r="200" spans="1:15" x14ac:dyDescent="0.25">
      <c r="A200" s="2" t="s">
        <v>475</v>
      </c>
      <c r="B200" s="2"/>
      <c r="C200" s="5">
        <v>196</v>
      </c>
      <c r="D200" s="5">
        <v>4</v>
      </c>
      <c r="E200" s="5">
        <v>0</v>
      </c>
      <c r="F200" s="5">
        <v>0</v>
      </c>
      <c r="G200" s="5"/>
      <c r="H200" s="5"/>
      <c r="I200" s="5"/>
      <c r="J200" s="5"/>
      <c r="K200" s="5" t="b">
        <f t="shared" si="11"/>
        <v>0</v>
      </c>
      <c r="L200" s="5"/>
      <c r="O200" s="5" t="s">
        <v>606</v>
      </c>
    </row>
    <row r="201" spans="1:15" x14ac:dyDescent="0.25">
      <c r="A201" s="2" t="s">
        <v>48</v>
      </c>
      <c r="B201" s="2"/>
      <c r="C201" s="5">
        <v>198</v>
      </c>
      <c r="D201" s="5">
        <v>2</v>
      </c>
      <c r="E201" s="5">
        <v>0</v>
      </c>
      <c r="F201" s="5">
        <v>0</v>
      </c>
      <c r="G201" s="5"/>
      <c r="H201" s="5"/>
      <c r="I201" s="5"/>
      <c r="J201" s="5"/>
      <c r="K201" s="5" t="b">
        <f t="shared" si="11"/>
        <v>0</v>
      </c>
      <c r="L201" s="5"/>
      <c r="O201" t="s">
        <v>686</v>
      </c>
    </row>
    <row r="202" spans="1:15" x14ac:dyDescent="0.25">
      <c r="A202" s="2" t="s">
        <v>193</v>
      </c>
      <c r="B202" s="2"/>
      <c r="C202" s="5">
        <v>198</v>
      </c>
      <c r="D202" s="5">
        <v>2</v>
      </c>
      <c r="E202" s="5">
        <v>0</v>
      </c>
      <c r="F202" s="5">
        <v>0</v>
      </c>
      <c r="G202" s="5"/>
      <c r="H202" s="5"/>
      <c r="I202" s="5"/>
      <c r="J202" s="5"/>
      <c r="K202" s="5" t="b">
        <f t="shared" si="11"/>
        <v>0</v>
      </c>
      <c r="L202" s="5"/>
      <c r="O202" t="s">
        <v>687</v>
      </c>
    </row>
    <row r="203" spans="1:15" x14ac:dyDescent="0.25">
      <c r="A203" s="2" t="s">
        <v>291</v>
      </c>
      <c r="B203" s="2"/>
      <c r="C203" s="5">
        <v>198</v>
      </c>
      <c r="D203" s="5">
        <v>1</v>
      </c>
      <c r="E203" s="5">
        <v>0</v>
      </c>
      <c r="F203" s="5">
        <v>0</v>
      </c>
      <c r="G203" s="5"/>
      <c r="H203" s="5"/>
      <c r="I203" s="5"/>
      <c r="J203" s="5"/>
      <c r="K203" s="5" t="b">
        <f t="shared" si="11"/>
        <v>0</v>
      </c>
      <c r="L203" s="5"/>
    </row>
    <row r="204" spans="1:15" x14ac:dyDescent="0.25">
      <c r="A204" s="2" t="s">
        <v>363</v>
      </c>
      <c r="B204" s="2"/>
      <c r="C204" s="5">
        <v>198</v>
      </c>
      <c r="D204" s="5">
        <v>2</v>
      </c>
      <c r="E204" s="5">
        <v>0</v>
      </c>
      <c r="F204" s="5">
        <v>0</v>
      </c>
      <c r="G204" s="5"/>
      <c r="H204" s="5"/>
      <c r="I204" s="5"/>
      <c r="J204" s="5"/>
      <c r="K204" s="5" t="b">
        <f t="shared" si="11"/>
        <v>0</v>
      </c>
      <c r="L204" s="5"/>
    </row>
    <row r="205" spans="1:15" x14ac:dyDescent="0.25">
      <c r="A205" s="2" t="s">
        <v>404</v>
      </c>
      <c r="B205" s="2"/>
      <c r="C205" s="5">
        <v>198</v>
      </c>
      <c r="D205" s="5">
        <v>3</v>
      </c>
      <c r="E205" s="5">
        <v>0</v>
      </c>
      <c r="F205" s="5">
        <v>0</v>
      </c>
      <c r="G205" s="5"/>
      <c r="H205" s="5"/>
      <c r="I205" s="5"/>
      <c r="J205" s="5"/>
      <c r="K205" s="5" t="b">
        <f t="shared" si="11"/>
        <v>0</v>
      </c>
      <c r="L205" s="5"/>
      <c r="O205" t="s">
        <v>607</v>
      </c>
    </row>
    <row r="206" spans="1:15" x14ac:dyDescent="0.25">
      <c r="A206" s="2" t="s">
        <v>194</v>
      </c>
      <c r="B206" s="2"/>
      <c r="C206" s="5">
        <v>203</v>
      </c>
      <c r="D206" s="5">
        <v>1</v>
      </c>
      <c r="E206" s="5">
        <v>0</v>
      </c>
      <c r="F206" s="5"/>
      <c r="G206" s="5"/>
      <c r="H206" s="5">
        <v>6.7</v>
      </c>
      <c r="I206" s="5">
        <v>45</v>
      </c>
      <c r="J206" s="5">
        <v>3645</v>
      </c>
      <c r="K206" s="5">
        <f t="shared" ref="K206:K219" si="12">IF(NOT(ISBLANK(G206)),SQRT((G206^2*1/I206)/(G206^2*1/I206+1)),IF(NOT(ISBLANK(H206)),SQRT((H206*I206/J206)/(H206*I206/J206+1)*SQRT(1/I206))))</f>
        <v>0.1067172133511109</v>
      </c>
      <c r="L206" s="5"/>
      <c r="M206" s="25" t="s">
        <v>676</v>
      </c>
      <c r="N206" s="25" t="s">
        <v>676</v>
      </c>
      <c r="O206" s="5" t="s">
        <v>602</v>
      </c>
    </row>
    <row r="207" spans="1:15" x14ac:dyDescent="0.25">
      <c r="A207" s="2" t="s">
        <v>405</v>
      </c>
      <c r="B207" s="2"/>
      <c r="C207" s="5">
        <v>203</v>
      </c>
      <c r="D207" s="5">
        <v>1</v>
      </c>
      <c r="E207" s="5">
        <v>0</v>
      </c>
      <c r="F207" s="5"/>
      <c r="G207" s="5"/>
      <c r="H207" s="5">
        <v>6.6</v>
      </c>
      <c r="I207" s="5">
        <v>53</v>
      </c>
      <c r="J207" s="5">
        <v>3483</v>
      </c>
      <c r="K207" s="5">
        <f t="shared" si="12"/>
        <v>0.11196514741826641</v>
      </c>
      <c r="L207" s="5"/>
      <c r="M207" s="25" t="s">
        <v>676</v>
      </c>
      <c r="N207" s="25" t="s">
        <v>676</v>
      </c>
      <c r="O207" s="5" t="s">
        <v>602</v>
      </c>
    </row>
    <row r="208" spans="1:15" x14ac:dyDescent="0.25">
      <c r="A208" s="2" t="s">
        <v>443</v>
      </c>
      <c r="B208" s="2"/>
      <c r="C208" s="5">
        <v>203</v>
      </c>
      <c r="D208" s="5">
        <v>2</v>
      </c>
      <c r="E208" s="5">
        <v>0</v>
      </c>
      <c r="F208" s="5">
        <v>0</v>
      </c>
      <c r="G208" s="5"/>
      <c r="H208" s="5"/>
      <c r="I208" s="5"/>
      <c r="J208" s="5"/>
      <c r="K208" s="5" t="b">
        <f t="shared" si="12"/>
        <v>0</v>
      </c>
      <c r="L208" s="5"/>
      <c r="O208" s="5"/>
    </row>
    <row r="209" spans="1:15" x14ac:dyDescent="0.25">
      <c r="A209" s="2" t="s">
        <v>443</v>
      </c>
      <c r="B209" s="2"/>
      <c r="C209" s="5">
        <v>203</v>
      </c>
      <c r="D209" s="5">
        <v>2</v>
      </c>
      <c r="E209" s="5">
        <v>0</v>
      </c>
      <c r="F209" s="5">
        <v>0</v>
      </c>
      <c r="G209" s="5"/>
      <c r="H209" s="5"/>
      <c r="I209" s="5"/>
      <c r="J209" s="5"/>
      <c r="K209" s="5" t="b">
        <f t="shared" si="12"/>
        <v>0</v>
      </c>
      <c r="L209" s="5"/>
      <c r="O209" s="5"/>
    </row>
    <row r="210" spans="1:15" x14ac:dyDescent="0.25">
      <c r="A210" s="2" t="s">
        <v>443</v>
      </c>
      <c r="B210" s="2"/>
      <c r="C210" s="5">
        <v>203</v>
      </c>
      <c r="D210" s="5">
        <v>2</v>
      </c>
      <c r="E210" s="5">
        <v>1</v>
      </c>
      <c r="F210" s="5">
        <v>0</v>
      </c>
      <c r="G210" s="5"/>
      <c r="H210" s="5"/>
      <c r="I210" s="5"/>
      <c r="J210" s="5"/>
      <c r="K210" s="5" t="b">
        <f t="shared" si="12"/>
        <v>0</v>
      </c>
      <c r="L210" s="5"/>
      <c r="O210" s="5"/>
    </row>
    <row r="211" spans="1:15" x14ac:dyDescent="0.25">
      <c r="A211" s="2" t="s">
        <v>443</v>
      </c>
      <c r="B211" s="2"/>
      <c r="C211" s="5">
        <v>203</v>
      </c>
      <c r="D211" s="5">
        <v>2</v>
      </c>
      <c r="E211" s="5">
        <v>1</v>
      </c>
      <c r="F211" s="5">
        <v>0</v>
      </c>
      <c r="G211" s="5"/>
      <c r="H211" s="5"/>
      <c r="I211" s="5"/>
      <c r="J211" s="5"/>
      <c r="K211" s="5" t="b">
        <f t="shared" si="12"/>
        <v>0</v>
      </c>
      <c r="L211" s="5"/>
      <c r="O211" s="5"/>
    </row>
    <row r="212" spans="1:15" x14ac:dyDescent="0.25">
      <c r="A212" s="2" t="s">
        <v>574</v>
      </c>
      <c r="B212" s="2"/>
      <c r="C212" s="5">
        <v>203</v>
      </c>
      <c r="D212" s="5">
        <v>1</v>
      </c>
      <c r="E212" s="5">
        <v>0</v>
      </c>
      <c r="F212" s="5"/>
      <c r="G212" s="5">
        <v>7.47</v>
      </c>
      <c r="H212" s="5"/>
      <c r="I212" s="5">
        <v>81</v>
      </c>
      <c r="J212" s="5"/>
      <c r="K212" s="5">
        <f t="shared" si="12"/>
        <v>0.63866942329020304</v>
      </c>
      <c r="L212" s="5"/>
      <c r="M212" s="25">
        <v>0</v>
      </c>
      <c r="N212" s="25">
        <v>0</v>
      </c>
      <c r="O212" s="5"/>
    </row>
    <row r="213" spans="1:15" x14ac:dyDescent="0.25">
      <c r="A213" s="2" t="s">
        <v>49</v>
      </c>
      <c r="B213" s="2"/>
      <c r="C213" s="5">
        <v>207</v>
      </c>
      <c r="D213" s="5">
        <v>1</v>
      </c>
      <c r="E213" s="5">
        <v>0</v>
      </c>
      <c r="F213" s="5">
        <v>0</v>
      </c>
      <c r="G213" s="5"/>
      <c r="H213" s="5"/>
      <c r="I213" s="5"/>
      <c r="J213" s="5"/>
      <c r="K213" s="5" t="b">
        <f t="shared" si="12"/>
        <v>0</v>
      </c>
      <c r="L213" s="5"/>
      <c r="O213" s="5"/>
    </row>
    <row r="214" spans="1:15" x14ac:dyDescent="0.25">
      <c r="A214" s="2" t="s">
        <v>195</v>
      </c>
      <c r="B214" s="2"/>
      <c r="C214" s="5">
        <v>207</v>
      </c>
      <c r="D214" s="5">
        <v>2</v>
      </c>
      <c r="E214" s="5">
        <v>0</v>
      </c>
      <c r="F214" s="5">
        <v>0</v>
      </c>
      <c r="G214" s="5"/>
      <c r="H214" s="5"/>
      <c r="I214" s="5"/>
      <c r="J214" s="5"/>
      <c r="K214" s="5" t="b">
        <f t="shared" si="12"/>
        <v>0</v>
      </c>
      <c r="L214" s="5"/>
      <c r="O214" s="5"/>
    </row>
    <row r="215" spans="1:15" x14ac:dyDescent="0.25">
      <c r="A215" s="2" t="s">
        <v>292</v>
      </c>
      <c r="B215" s="2"/>
      <c r="C215" s="5">
        <v>207</v>
      </c>
      <c r="D215" s="5">
        <v>3</v>
      </c>
      <c r="E215" s="5">
        <v>0</v>
      </c>
      <c r="F215" s="5">
        <v>0</v>
      </c>
      <c r="G215" s="5"/>
      <c r="H215" s="5"/>
      <c r="I215" s="5"/>
      <c r="J215" s="5"/>
      <c r="K215" s="5" t="b">
        <f t="shared" si="12"/>
        <v>0</v>
      </c>
      <c r="L215" s="5"/>
      <c r="O215" s="5"/>
    </row>
    <row r="216" spans="1:15" x14ac:dyDescent="0.25">
      <c r="A216" s="2" t="s">
        <v>364</v>
      </c>
      <c r="B216" s="2"/>
      <c r="C216" s="5">
        <v>207</v>
      </c>
      <c r="D216" s="5">
        <v>3</v>
      </c>
      <c r="E216" s="5">
        <v>0</v>
      </c>
      <c r="F216" s="5">
        <v>0</v>
      </c>
      <c r="G216" s="5"/>
      <c r="H216" s="5"/>
      <c r="I216" s="5"/>
      <c r="J216" s="5"/>
      <c r="K216" s="5" t="b">
        <f t="shared" si="12"/>
        <v>0</v>
      </c>
      <c r="L216" s="5"/>
      <c r="O216" s="5"/>
    </row>
    <row r="217" spans="1:15" x14ac:dyDescent="0.25">
      <c r="A217" s="2" t="s">
        <v>406</v>
      </c>
      <c r="B217" s="2"/>
      <c r="C217" s="5">
        <v>207</v>
      </c>
      <c r="D217" s="5">
        <v>1</v>
      </c>
      <c r="E217" s="5">
        <v>0</v>
      </c>
      <c r="F217" s="5"/>
      <c r="G217" s="5"/>
      <c r="H217" s="5">
        <v>1.37</v>
      </c>
      <c r="I217" s="5">
        <v>1</v>
      </c>
      <c r="J217" s="5">
        <v>264</v>
      </c>
      <c r="K217" s="5">
        <f t="shared" si="12"/>
        <v>7.1851257176580224E-2</v>
      </c>
      <c r="L217" s="5"/>
      <c r="M217" s="25" t="s">
        <v>676</v>
      </c>
      <c r="N217" s="25" t="s">
        <v>676</v>
      </c>
      <c r="O217" s="5" t="s">
        <v>603</v>
      </c>
    </row>
    <row r="218" spans="1:15" x14ac:dyDescent="0.25">
      <c r="A218" s="2" t="s">
        <v>444</v>
      </c>
      <c r="B218" s="2"/>
      <c r="C218" s="5">
        <v>207</v>
      </c>
      <c r="D218" s="5">
        <v>2</v>
      </c>
      <c r="E218" s="5">
        <v>0</v>
      </c>
      <c r="F218" s="5">
        <v>0</v>
      </c>
      <c r="G218" s="5"/>
      <c r="H218" s="5"/>
      <c r="I218" s="5"/>
      <c r="J218" s="5"/>
      <c r="K218" s="5" t="b">
        <f t="shared" si="12"/>
        <v>0</v>
      </c>
      <c r="L218" s="5"/>
      <c r="O218" s="5"/>
    </row>
    <row r="219" spans="1:15" x14ac:dyDescent="0.25">
      <c r="A219" s="2" t="s">
        <v>476</v>
      </c>
      <c r="B219" s="2"/>
      <c r="C219" s="5">
        <v>207</v>
      </c>
      <c r="D219" s="5">
        <v>3</v>
      </c>
      <c r="E219" s="5">
        <v>0</v>
      </c>
      <c r="F219" s="5">
        <v>0</v>
      </c>
      <c r="G219" s="5"/>
      <c r="H219" s="5"/>
      <c r="I219" s="5"/>
      <c r="J219" s="5"/>
      <c r="K219" s="5" t="b">
        <f t="shared" si="12"/>
        <v>0</v>
      </c>
      <c r="L219" s="5"/>
      <c r="O219" s="5"/>
    </row>
    <row r="220" spans="1:15" x14ac:dyDescent="0.25">
      <c r="A220" s="2" t="s">
        <v>50</v>
      </c>
      <c r="B220" s="2"/>
      <c r="C220" s="5">
        <v>209</v>
      </c>
      <c r="D220" s="5">
        <v>3</v>
      </c>
      <c r="E220" s="5">
        <v>0</v>
      </c>
      <c r="F220" s="5"/>
      <c r="G220" s="5"/>
      <c r="H220" s="5">
        <v>0.16</v>
      </c>
      <c r="I220" s="5">
        <v>1</v>
      </c>
      <c r="J220" s="5">
        <v>112</v>
      </c>
      <c r="K220" s="5">
        <f t="shared" ref="K220:K236" si="13">IF(NOT(ISBLANK(G220)),SQRT((G220^2*1/I220)/(G220^2*1/I220+1)),IF(NOT(ISBLANK(H220)),SQRT((H220*I220/J220)/(H220*I220/J220+1)*SQRT(1/I220))))</f>
        <v>3.7769478730024897E-2</v>
      </c>
      <c r="L220" s="5"/>
      <c r="M220" s="25">
        <v>0</v>
      </c>
      <c r="N220" s="25">
        <v>0</v>
      </c>
      <c r="O220" s="5" t="s">
        <v>692</v>
      </c>
    </row>
    <row r="221" spans="1:15" x14ac:dyDescent="0.25">
      <c r="A221" s="2" t="s">
        <v>51</v>
      </c>
      <c r="B221" s="2"/>
      <c r="C221" s="5">
        <v>210</v>
      </c>
      <c r="D221" s="5"/>
      <c r="E221" s="5">
        <v>0</v>
      </c>
      <c r="F221" s="5">
        <v>0</v>
      </c>
      <c r="G221" s="5"/>
      <c r="H221" s="5"/>
      <c r="I221" s="5"/>
      <c r="J221" s="5"/>
      <c r="K221" s="5" t="b">
        <f t="shared" si="13"/>
        <v>0</v>
      </c>
      <c r="L221" s="5"/>
      <c r="O221" s="5"/>
    </row>
    <row r="222" spans="1:15" x14ac:dyDescent="0.25">
      <c r="A222" s="2" t="s">
        <v>196</v>
      </c>
      <c r="B222" s="2"/>
      <c r="C222" s="5">
        <v>210</v>
      </c>
      <c r="D222" s="5"/>
      <c r="E222" s="5">
        <v>0</v>
      </c>
      <c r="F222" s="5">
        <v>0</v>
      </c>
      <c r="G222" s="5"/>
      <c r="H222" s="5"/>
      <c r="I222" s="5"/>
      <c r="J222" s="5"/>
      <c r="K222" s="5" t="b">
        <f t="shared" si="13"/>
        <v>0</v>
      </c>
      <c r="L222" s="5"/>
      <c r="O222" s="5"/>
    </row>
    <row r="223" spans="1:15" x14ac:dyDescent="0.25">
      <c r="A223" s="2" t="s">
        <v>293</v>
      </c>
      <c r="B223" s="2"/>
      <c r="C223" s="5">
        <v>210</v>
      </c>
      <c r="D223" s="5"/>
      <c r="E223" s="5">
        <v>0</v>
      </c>
      <c r="F223" s="5">
        <v>0</v>
      </c>
      <c r="G223" s="5"/>
      <c r="H223" s="5"/>
      <c r="I223" s="5"/>
      <c r="J223" s="5"/>
      <c r="K223" s="5" t="b">
        <f t="shared" si="13"/>
        <v>0</v>
      </c>
      <c r="L223" s="5"/>
      <c r="O223" s="5"/>
    </row>
    <row r="224" spans="1:15" x14ac:dyDescent="0.25">
      <c r="A224" s="2" t="s">
        <v>365</v>
      </c>
      <c r="B224" s="2"/>
      <c r="C224" s="5">
        <v>210</v>
      </c>
      <c r="D224" s="5"/>
      <c r="E224" s="5">
        <v>0</v>
      </c>
      <c r="F224" s="5">
        <v>0</v>
      </c>
      <c r="G224" s="5"/>
      <c r="H224" s="5"/>
      <c r="I224" s="5"/>
      <c r="J224" s="5"/>
      <c r="K224" s="5" t="b">
        <f t="shared" si="13"/>
        <v>0</v>
      </c>
      <c r="L224" s="5"/>
      <c r="O224" s="5"/>
    </row>
    <row r="225" spans="1:15" x14ac:dyDescent="0.25">
      <c r="A225" s="2" t="s">
        <v>407</v>
      </c>
      <c r="B225" s="2"/>
      <c r="C225" s="5">
        <v>210</v>
      </c>
      <c r="D225" s="5"/>
      <c r="E225" s="5">
        <v>0</v>
      </c>
      <c r="F225" s="5">
        <v>0</v>
      </c>
      <c r="G225" s="5"/>
      <c r="H225" s="5"/>
      <c r="I225" s="5"/>
      <c r="J225" s="5"/>
      <c r="K225" s="5" t="b">
        <f t="shared" si="13"/>
        <v>0</v>
      </c>
      <c r="L225" s="5"/>
      <c r="O225" s="5"/>
    </row>
    <row r="226" spans="1:15" x14ac:dyDescent="0.25">
      <c r="A226" s="2" t="s">
        <v>445</v>
      </c>
      <c r="B226" s="2"/>
      <c r="C226" s="5">
        <v>210</v>
      </c>
      <c r="D226" s="5"/>
      <c r="E226" s="5">
        <v>0</v>
      </c>
      <c r="F226" s="5">
        <v>0</v>
      </c>
      <c r="G226" s="5"/>
      <c r="H226" s="5"/>
      <c r="I226" s="5"/>
      <c r="J226" s="5"/>
      <c r="K226" s="5" t="b">
        <f t="shared" si="13"/>
        <v>0</v>
      </c>
      <c r="L226" s="5"/>
      <c r="O226" s="5"/>
    </row>
    <row r="227" spans="1:15" x14ac:dyDescent="0.25">
      <c r="A227" s="2" t="s">
        <v>477</v>
      </c>
      <c r="B227" s="2"/>
      <c r="C227" s="5">
        <v>210</v>
      </c>
      <c r="D227" s="5"/>
      <c r="E227" s="5">
        <v>0</v>
      </c>
      <c r="F227" s="5">
        <v>0</v>
      </c>
      <c r="G227" s="5"/>
      <c r="H227" s="5"/>
      <c r="I227" s="5"/>
      <c r="J227" s="5"/>
      <c r="K227" s="5" t="b">
        <f t="shared" si="13"/>
        <v>0</v>
      </c>
      <c r="L227" s="5"/>
      <c r="O227" s="5"/>
    </row>
    <row r="228" spans="1:15" x14ac:dyDescent="0.25">
      <c r="A228" s="2" t="s">
        <v>500</v>
      </c>
      <c r="B228" s="2"/>
      <c r="C228" s="5">
        <v>210</v>
      </c>
      <c r="D228" s="5"/>
      <c r="E228" s="5">
        <v>0</v>
      </c>
      <c r="F228" s="5">
        <v>0</v>
      </c>
      <c r="G228" s="5"/>
      <c r="H228" s="5"/>
      <c r="I228" s="5"/>
      <c r="J228" s="5"/>
      <c r="K228" s="5" t="b">
        <f t="shared" si="13"/>
        <v>0</v>
      </c>
      <c r="L228" s="5"/>
      <c r="O228" s="5"/>
    </row>
    <row r="229" spans="1:15" x14ac:dyDescent="0.25">
      <c r="A229" s="2" t="s">
        <v>478</v>
      </c>
      <c r="B229" s="2"/>
      <c r="C229" s="5">
        <v>210</v>
      </c>
      <c r="D229" s="5"/>
      <c r="E229" s="5">
        <v>0</v>
      </c>
      <c r="F229" s="5">
        <v>0</v>
      </c>
      <c r="G229" s="5"/>
      <c r="H229" s="5"/>
      <c r="I229" s="5"/>
      <c r="J229" s="5"/>
      <c r="K229" s="5" t="b">
        <f t="shared" si="13"/>
        <v>0</v>
      </c>
      <c r="L229" s="5"/>
      <c r="O229" s="5"/>
    </row>
    <row r="230" spans="1:15" x14ac:dyDescent="0.25">
      <c r="A230" s="2" t="s">
        <v>52</v>
      </c>
      <c r="B230" s="2"/>
      <c r="C230" s="5">
        <v>211</v>
      </c>
      <c r="D230" s="5">
        <v>1</v>
      </c>
      <c r="E230" s="5">
        <v>0</v>
      </c>
      <c r="F230" s="5"/>
      <c r="G230" s="5"/>
      <c r="H230" s="5">
        <v>0.14000000000000001</v>
      </c>
      <c r="I230" s="5">
        <v>1</v>
      </c>
      <c r="J230" s="5">
        <v>367</v>
      </c>
      <c r="K230" s="5">
        <f t="shared" si="13"/>
        <v>1.9527568325712435E-2</v>
      </c>
      <c r="L230" s="5"/>
      <c r="M230" s="25" t="s">
        <v>676</v>
      </c>
      <c r="N230" s="25" t="s">
        <v>676</v>
      </c>
      <c r="O230" s="5" t="s">
        <v>603</v>
      </c>
    </row>
    <row r="231" spans="1:15" x14ac:dyDescent="0.25">
      <c r="A231" s="2" t="s">
        <v>197</v>
      </c>
      <c r="B231" s="2"/>
      <c r="C231" s="5">
        <v>211</v>
      </c>
      <c r="D231" s="5">
        <v>1</v>
      </c>
      <c r="E231" s="5">
        <v>0</v>
      </c>
      <c r="F231" s="5"/>
      <c r="G231" s="5"/>
      <c r="H231" s="5">
        <v>0.56999999999999995</v>
      </c>
      <c r="I231" s="5">
        <v>1</v>
      </c>
      <c r="J231" s="5">
        <v>365</v>
      </c>
      <c r="K231" s="5">
        <f t="shared" si="13"/>
        <v>3.9486819403934614E-2</v>
      </c>
      <c r="L231" s="5"/>
      <c r="M231" s="25" t="s">
        <v>676</v>
      </c>
      <c r="N231" s="25" t="s">
        <v>676</v>
      </c>
      <c r="O231" s="5" t="s">
        <v>603</v>
      </c>
    </row>
    <row r="232" spans="1:15" x14ac:dyDescent="0.25">
      <c r="A232" s="2" t="s">
        <v>53</v>
      </c>
      <c r="B232" s="2"/>
      <c r="C232" s="5">
        <v>215</v>
      </c>
      <c r="D232" s="5">
        <v>1</v>
      </c>
      <c r="E232" s="5">
        <v>0</v>
      </c>
      <c r="F232" s="5"/>
      <c r="G232" s="5">
        <v>1.77</v>
      </c>
      <c r="H232" s="5"/>
      <c r="I232" s="5">
        <v>50</v>
      </c>
      <c r="J232" s="5"/>
      <c r="K232" s="5">
        <f t="shared" si="13"/>
        <v>0.24282394255863438</v>
      </c>
      <c r="L232" s="5"/>
      <c r="M232" s="25">
        <v>0</v>
      </c>
      <c r="N232" s="25">
        <v>0</v>
      </c>
      <c r="O232" s="5"/>
    </row>
    <row r="233" spans="1:15" x14ac:dyDescent="0.25">
      <c r="A233" s="2" t="s">
        <v>198</v>
      </c>
      <c r="B233" s="2"/>
      <c r="C233" s="5">
        <v>215</v>
      </c>
      <c r="D233" s="5">
        <v>5</v>
      </c>
      <c r="E233" s="5">
        <v>0</v>
      </c>
      <c r="F233" s="5"/>
      <c r="G233" s="5"/>
      <c r="H233" s="5">
        <v>2.02</v>
      </c>
      <c r="I233" s="5">
        <v>1</v>
      </c>
      <c r="J233" s="5">
        <v>201</v>
      </c>
      <c r="K233" s="5">
        <f t="shared" si="13"/>
        <v>9.974847690300101E-2</v>
      </c>
      <c r="L233" s="5"/>
      <c r="M233" s="25">
        <v>0</v>
      </c>
      <c r="N233" s="25">
        <v>0</v>
      </c>
      <c r="O233" s="5" t="s">
        <v>692</v>
      </c>
    </row>
    <row r="234" spans="1:15" x14ac:dyDescent="0.25">
      <c r="A234" s="2" t="s">
        <v>294</v>
      </c>
      <c r="B234" s="2"/>
      <c r="C234" s="5">
        <v>215</v>
      </c>
      <c r="D234" s="5">
        <v>1</v>
      </c>
      <c r="E234" s="5">
        <v>0</v>
      </c>
      <c r="F234" s="5"/>
      <c r="G234" s="5">
        <v>7.16</v>
      </c>
      <c r="H234" s="5"/>
      <c r="I234" s="5">
        <v>118</v>
      </c>
      <c r="J234" s="5"/>
      <c r="K234" s="5">
        <f t="shared" si="13"/>
        <v>0.55033694642559938</v>
      </c>
      <c r="L234" s="5"/>
      <c r="M234" s="25">
        <v>0</v>
      </c>
      <c r="N234" s="25">
        <v>0</v>
      </c>
      <c r="O234" s="5"/>
    </row>
    <row r="235" spans="1:15" x14ac:dyDescent="0.25">
      <c r="A235" s="2" t="s">
        <v>408</v>
      </c>
      <c r="B235" s="2"/>
      <c r="C235" s="5">
        <v>215</v>
      </c>
      <c r="D235" s="5">
        <v>1</v>
      </c>
      <c r="E235" s="5">
        <v>0</v>
      </c>
      <c r="F235" s="5">
        <v>0</v>
      </c>
      <c r="G235" s="5"/>
      <c r="H235" s="5"/>
      <c r="I235" s="5"/>
      <c r="J235" s="5"/>
      <c r="K235" s="5" t="b">
        <f t="shared" si="13"/>
        <v>0</v>
      </c>
      <c r="L235" s="5"/>
      <c r="O235" s="5"/>
    </row>
    <row r="236" spans="1:15" x14ac:dyDescent="0.25">
      <c r="A236" s="2" t="s">
        <v>479</v>
      </c>
      <c r="B236" s="2"/>
      <c r="C236" s="5">
        <v>215</v>
      </c>
      <c r="D236" s="5">
        <v>2</v>
      </c>
      <c r="E236" s="5">
        <v>0</v>
      </c>
      <c r="F236" s="5"/>
      <c r="G236" s="5"/>
      <c r="H236" s="5">
        <v>6.98</v>
      </c>
      <c r="I236" s="5">
        <v>1</v>
      </c>
      <c r="J236" s="5">
        <v>431</v>
      </c>
      <c r="K236" s="5">
        <f t="shared" si="13"/>
        <v>0.12624104232442918</v>
      </c>
      <c r="L236" s="5"/>
      <c r="M236" s="25">
        <v>0</v>
      </c>
      <c r="N236" s="25">
        <v>0</v>
      </c>
      <c r="O236" s="5" t="s">
        <v>692</v>
      </c>
    </row>
    <row r="237" spans="1:15" x14ac:dyDescent="0.25">
      <c r="A237" s="2" t="s">
        <v>501</v>
      </c>
      <c r="B237" s="2"/>
      <c r="C237" s="5">
        <v>215</v>
      </c>
      <c r="D237" s="5">
        <v>1</v>
      </c>
      <c r="E237" s="5">
        <v>0</v>
      </c>
      <c r="F237" s="5"/>
      <c r="G237" s="5"/>
      <c r="H237" s="5"/>
      <c r="I237" s="5">
        <v>1</v>
      </c>
      <c r="J237" s="5"/>
      <c r="K237" s="5">
        <v>0.22</v>
      </c>
      <c r="L237" s="5"/>
      <c r="O237" s="5"/>
    </row>
    <row r="238" spans="1:15" x14ac:dyDescent="0.25">
      <c r="A238" s="2" t="s">
        <v>520</v>
      </c>
      <c r="B238" s="2"/>
      <c r="C238" s="5">
        <v>215</v>
      </c>
      <c r="D238" s="5">
        <v>1</v>
      </c>
      <c r="E238" s="5">
        <v>0</v>
      </c>
      <c r="F238" s="5"/>
      <c r="G238" s="5"/>
      <c r="H238" s="5"/>
      <c r="I238" s="5"/>
      <c r="J238" s="5"/>
      <c r="K238" s="5">
        <v>-0.2</v>
      </c>
      <c r="L238" s="5"/>
      <c r="O238" s="5"/>
    </row>
    <row r="239" spans="1:15" x14ac:dyDescent="0.25">
      <c r="A239" s="2" t="s">
        <v>501</v>
      </c>
      <c r="B239" s="2"/>
      <c r="C239" s="5">
        <v>215</v>
      </c>
      <c r="D239" s="5">
        <v>1</v>
      </c>
      <c r="E239" s="5">
        <v>1</v>
      </c>
      <c r="F239" s="5"/>
      <c r="G239" s="5"/>
      <c r="H239" s="5"/>
      <c r="I239" s="5"/>
      <c r="J239" s="5"/>
      <c r="K239" s="5">
        <v>-0.24</v>
      </c>
      <c r="L239" s="5"/>
      <c r="O239" s="5"/>
    </row>
    <row r="240" spans="1:15" x14ac:dyDescent="0.25">
      <c r="A240" s="2" t="s">
        <v>549</v>
      </c>
      <c r="B240" s="2"/>
      <c r="C240" s="5">
        <v>215</v>
      </c>
      <c r="D240" s="5">
        <v>1</v>
      </c>
      <c r="E240" s="5">
        <v>1</v>
      </c>
      <c r="F240" s="5"/>
      <c r="G240" s="5"/>
      <c r="H240" s="5"/>
      <c r="I240" s="5"/>
      <c r="J240" s="5"/>
      <c r="K240" s="5">
        <v>0.19</v>
      </c>
      <c r="L240" s="5"/>
      <c r="O240" s="5"/>
    </row>
    <row r="241" spans="1:15" x14ac:dyDescent="0.25">
      <c r="A241" s="2" t="s">
        <v>559</v>
      </c>
      <c r="B241" s="2"/>
      <c r="C241" s="5">
        <v>215</v>
      </c>
      <c r="D241" s="5">
        <v>1</v>
      </c>
      <c r="E241" s="5">
        <v>0</v>
      </c>
      <c r="F241" s="5"/>
      <c r="G241" s="5"/>
      <c r="H241" s="5"/>
      <c r="I241" s="5"/>
      <c r="J241" s="5"/>
      <c r="K241" s="5">
        <v>0.02</v>
      </c>
      <c r="L241" s="5"/>
      <c r="O241" s="5"/>
    </row>
    <row r="242" spans="1:15" x14ac:dyDescent="0.25">
      <c r="A242" s="2" t="s">
        <v>568</v>
      </c>
      <c r="B242" s="2"/>
      <c r="C242" s="5">
        <v>215</v>
      </c>
      <c r="D242" s="5">
        <v>1</v>
      </c>
      <c r="E242" s="5">
        <v>0</v>
      </c>
      <c r="F242" s="5"/>
      <c r="G242" s="5"/>
      <c r="H242" s="5"/>
      <c r="I242" s="5"/>
      <c r="J242" s="5"/>
      <c r="K242" s="5">
        <v>-0.13</v>
      </c>
      <c r="L242" s="5"/>
      <c r="O242" s="5"/>
    </row>
    <row r="243" spans="1:15" x14ac:dyDescent="0.25">
      <c r="A243" s="2" t="s">
        <v>565</v>
      </c>
      <c r="B243" s="2"/>
      <c r="C243" s="5">
        <v>215</v>
      </c>
      <c r="D243" s="5">
        <v>1</v>
      </c>
      <c r="E243" s="5">
        <v>0</v>
      </c>
      <c r="F243" s="5"/>
      <c r="G243" s="5"/>
      <c r="H243" s="5">
        <v>2.54</v>
      </c>
      <c r="I243" s="5">
        <v>1</v>
      </c>
      <c r="J243" s="5">
        <v>565</v>
      </c>
      <c r="K243" s="5">
        <f t="shared" ref="K243" si="14">IF(NOT(ISBLANK(G243)),SQRT((G243^2*1/I243)/(G243^2*1/I243+1)),IF(NOT(ISBLANK(H243)),SQRT((H243*I243/J243)/(H243*I243/J243+1)*SQRT(1/I243))))</f>
        <v>6.6898845090958031E-2</v>
      </c>
      <c r="L243" s="5"/>
      <c r="M243" s="25">
        <v>0</v>
      </c>
      <c r="N243" s="25">
        <v>0</v>
      </c>
      <c r="O243" s="5"/>
    </row>
    <row r="244" spans="1:15" x14ac:dyDescent="0.25">
      <c r="A244" s="2" t="s">
        <v>54</v>
      </c>
      <c r="B244" s="2"/>
      <c r="C244" s="5">
        <v>220</v>
      </c>
      <c r="D244" s="5">
        <v>1</v>
      </c>
      <c r="E244" s="5">
        <v>0</v>
      </c>
      <c r="F244" s="5"/>
      <c r="G244" s="5">
        <v>18.512</v>
      </c>
      <c r="H244" s="5"/>
      <c r="I244" s="5">
        <v>175</v>
      </c>
      <c r="J244" s="5"/>
      <c r="K244" s="5">
        <f t="shared" ref="K244:K258" si="15">IF(NOT(ISBLANK(G244)),SQRT((G244^2*1/I244)/(G244^2*1/I244+1)),IF(NOT(ISBLANK(H244)),SQRT((H244*I244/J244)/(H244*I244/J244+1)*SQRT(1/I244))))</f>
        <v>0.81361081978228933</v>
      </c>
      <c r="L244" s="5"/>
      <c r="M244" s="25">
        <v>0</v>
      </c>
      <c r="N244" s="25">
        <v>0</v>
      </c>
      <c r="O244" s="5"/>
    </row>
    <row r="245" spans="1:15" x14ac:dyDescent="0.25">
      <c r="A245" s="2" t="s">
        <v>199</v>
      </c>
      <c r="B245" s="2"/>
      <c r="C245" s="5">
        <v>220</v>
      </c>
      <c r="D245" s="5">
        <v>1</v>
      </c>
      <c r="E245" s="5">
        <v>0</v>
      </c>
      <c r="F245" s="5"/>
      <c r="G245" s="5">
        <v>-17.66</v>
      </c>
      <c r="H245" s="5"/>
      <c r="I245" s="5">
        <v>172</v>
      </c>
      <c r="J245" s="5"/>
      <c r="K245" s="5">
        <f t="shared" si="15"/>
        <v>0.80283045302332956</v>
      </c>
      <c r="L245" s="5"/>
      <c r="M245" s="25">
        <v>0</v>
      </c>
      <c r="N245" s="25">
        <v>0</v>
      </c>
      <c r="O245" s="5"/>
    </row>
    <row r="246" spans="1:15" x14ac:dyDescent="0.25">
      <c r="A246" s="2" t="s">
        <v>295</v>
      </c>
      <c r="B246" s="2"/>
      <c r="C246" s="5">
        <v>220</v>
      </c>
      <c r="D246" s="5">
        <v>1</v>
      </c>
      <c r="E246" s="5">
        <v>0</v>
      </c>
      <c r="F246" s="5">
        <v>0</v>
      </c>
      <c r="G246" s="5"/>
      <c r="H246" s="5"/>
      <c r="I246" s="5"/>
      <c r="J246" s="5"/>
      <c r="K246" s="5" t="b">
        <f t="shared" si="15"/>
        <v>0</v>
      </c>
      <c r="L246" s="5"/>
      <c r="M246" s="25">
        <v>0</v>
      </c>
      <c r="N246" s="25">
        <v>0</v>
      </c>
      <c r="O246" s="5"/>
    </row>
    <row r="247" spans="1:15" x14ac:dyDescent="0.25">
      <c r="A247" s="2" t="s">
        <v>366</v>
      </c>
      <c r="B247" s="2"/>
      <c r="C247" s="5">
        <v>220</v>
      </c>
      <c r="D247" s="5">
        <v>1</v>
      </c>
      <c r="E247" s="5">
        <v>0</v>
      </c>
      <c r="F247" s="5">
        <v>0</v>
      </c>
      <c r="G247" s="5"/>
      <c r="H247" s="5"/>
      <c r="I247" s="5"/>
      <c r="J247" s="5"/>
      <c r="K247" s="5" t="b">
        <f t="shared" si="15"/>
        <v>0</v>
      </c>
      <c r="L247" s="5"/>
      <c r="M247" s="25">
        <v>0</v>
      </c>
      <c r="N247" s="25">
        <v>0</v>
      </c>
      <c r="O247" s="5"/>
    </row>
    <row r="248" spans="1:15" x14ac:dyDescent="0.25">
      <c r="A248" s="2" t="s">
        <v>409</v>
      </c>
      <c r="B248" s="2"/>
      <c r="C248" s="5">
        <v>220</v>
      </c>
      <c r="D248" s="5">
        <v>0</v>
      </c>
      <c r="E248" s="5">
        <v>0</v>
      </c>
      <c r="F248" s="5"/>
      <c r="G248" s="5"/>
      <c r="H248" s="5"/>
      <c r="I248" s="5"/>
      <c r="J248" s="5"/>
      <c r="K248" s="5" t="b">
        <f t="shared" si="15"/>
        <v>0</v>
      </c>
      <c r="L248" s="5"/>
      <c r="O248" s="5"/>
    </row>
    <row r="249" spans="1:15" x14ac:dyDescent="0.25">
      <c r="A249" s="2" t="s">
        <v>409</v>
      </c>
      <c r="B249" s="2"/>
      <c r="C249" s="5">
        <v>220</v>
      </c>
      <c r="D249" s="5">
        <v>0</v>
      </c>
      <c r="E249" s="5">
        <v>1</v>
      </c>
      <c r="F249" s="5"/>
      <c r="G249" s="5"/>
      <c r="H249" s="5"/>
      <c r="I249" s="5"/>
      <c r="J249" s="5"/>
      <c r="K249" s="5" t="b">
        <f t="shared" si="15"/>
        <v>0</v>
      </c>
      <c r="L249" s="5"/>
      <c r="O249" s="5"/>
    </row>
    <row r="250" spans="1:15" x14ac:dyDescent="0.25">
      <c r="A250" s="2" t="s">
        <v>409</v>
      </c>
      <c r="B250" s="2"/>
      <c r="C250" s="5">
        <v>220</v>
      </c>
      <c r="D250" s="5">
        <v>0</v>
      </c>
      <c r="E250" s="5">
        <v>1</v>
      </c>
      <c r="F250" s="5"/>
      <c r="G250" s="5"/>
      <c r="H250" s="5"/>
      <c r="I250" s="5"/>
      <c r="J250" s="5"/>
      <c r="K250" s="5" t="b">
        <f t="shared" si="15"/>
        <v>0</v>
      </c>
      <c r="L250" s="5"/>
      <c r="O250" s="5"/>
    </row>
    <row r="251" spans="1:15" x14ac:dyDescent="0.25">
      <c r="A251" s="2" t="s">
        <v>409</v>
      </c>
      <c r="B251" s="2"/>
      <c r="C251" s="5">
        <v>220</v>
      </c>
      <c r="D251" s="5">
        <v>0</v>
      </c>
      <c r="E251" s="5">
        <v>1</v>
      </c>
      <c r="F251" s="5"/>
      <c r="G251" s="5"/>
      <c r="H251" s="5"/>
      <c r="I251" s="5"/>
      <c r="J251" s="5"/>
      <c r="K251" s="5" t="b">
        <f t="shared" si="15"/>
        <v>0</v>
      </c>
      <c r="L251" s="5"/>
      <c r="O251" s="5"/>
    </row>
    <row r="252" spans="1:15" x14ac:dyDescent="0.25">
      <c r="A252" s="2" t="s">
        <v>410</v>
      </c>
      <c r="B252" s="2"/>
      <c r="C252" s="5">
        <v>220</v>
      </c>
      <c r="D252" s="5">
        <v>0</v>
      </c>
      <c r="E252" s="5">
        <v>1</v>
      </c>
      <c r="F252" s="5"/>
      <c r="G252" s="5"/>
      <c r="H252" s="5"/>
      <c r="I252" s="5"/>
      <c r="J252" s="5"/>
      <c r="K252" s="5" t="b">
        <f t="shared" si="15"/>
        <v>0</v>
      </c>
      <c r="L252" s="5"/>
      <c r="O252" s="5"/>
    </row>
    <row r="253" spans="1:15" x14ac:dyDescent="0.25">
      <c r="A253" s="2" t="s">
        <v>409</v>
      </c>
      <c r="B253" s="2"/>
      <c r="C253" s="5">
        <v>220</v>
      </c>
      <c r="D253" s="5">
        <v>0</v>
      </c>
      <c r="E253" s="5">
        <v>1</v>
      </c>
      <c r="F253" s="5"/>
      <c r="G253" s="5"/>
      <c r="H253" s="5"/>
      <c r="I253" s="5"/>
      <c r="J253" s="5"/>
      <c r="K253" s="5" t="b">
        <f t="shared" si="15"/>
        <v>0</v>
      </c>
      <c r="L253" s="5"/>
      <c r="O253" s="5"/>
    </row>
    <row r="254" spans="1:15" x14ac:dyDescent="0.25">
      <c r="A254" s="2" t="s">
        <v>409</v>
      </c>
      <c r="B254" s="2"/>
      <c r="C254" s="5">
        <v>220</v>
      </c>
      <c r="D254" s="5">
        <v>0</v>
      </c>
      <c r="E254" s="5">
        <v>1</v>
      </c>
      <c r="F254" s="5"/>
      <c r="G254" s="5"/>
      <c r="H254" s="5"/>
      <c r="I254" s="5"/>
      <c r="J254" s="5"/>
      <c r="K254" s="5" t="b">
        <f t="shared" si="15"/>
        <v>0</v>
      </c>
      <c r="L254" s="5"/>
      <c r="O254" s="5"/>
    </row>
    <row r="255" spans="1:15" x14ac:dyDescent="0.25">
      <c r="A255" s="2" t="s">
        <v>550</v>
      </c>
      <c r="B255" s="2"/>
      <c r="C255" s="5">
        <v>220</v>
      </c>
      <c r="D255" s="5">
        <v>0</v>
      </c>
      <c r="E255" s="5">
        <v>1</v>
      </c>
      <c r="F255" s="5"/>
      <c r="G255" s="5"/>
      <c r="H255" s="5"/>
      <c r="I255" s="5"/>
      <c r="J255" s="5"/>
      <c r="K255" s="5" t="b">
        <f t="shared" si="15"/>
        <v>0</v>
      </c>
      <c r="L255" s="5"/>
      <c r="O255" s="5"/>
    </row>
    <row r="256" spans="1:15" x14ac:dyDescent="0.25">
      <c r="A256" s="2" t="s">
        <v>409</v>
      </c>
      <c r="B256" s="2"/>
      <c r="C256" s="5">
        <v>220</v>
      </c>
      <c r="D256" s="5">
        <v>0</v>
      </c>
      <c r="E256" s="5">
        <v>1</v>
      </c>
      <c r="F256" s="5"/>
      <c r="G256" s="5"/>
      <c r="H256" s="5"/>
      <c r="I256" s="5"/>
      <c r="J256" s="5"/>
      <c r="K256" s="5" t="b">
        <f t="shared" si="15"/>
        <v>0</v>
      </c>
      <c r="L256" s="5"/>
      <c r="O256" s="5"/>
    </row>
    <row r="257" spans="1:16" x14ac:dyDescent="0.25">
      <c r="A257" s="2" t="s">
        <v>550</v>
      </c>
      <c r="B257" s="2"/>
      <c r="C257" s="5">
        <v>220</v>
      </c>
      <c r="D257" s="5">
        <v>0</v>
      </c>
      <c r="E257" s="5">
        <v>1</v>
      </c>
      <c r="F257" s="5"/>
      <c r="G257" s="5"/>
      <c r="H257" s="5"/>
      <c r="I257" s="5"/>
      <c r="J257" s="5"/>
      <c r="K257" s="5" t="b">
        <f t="shared" si="15"/>
        <v>0</v>
      </c>
      <c r="L257" s="5"/>
      <c r="O257" s="5"/>
    </row>
    <row r="258" spans="1:16" x14ac:dyDescent="0.25">
      <c r="A258" s="2" t="s">
        <v>409</v>
      </c>
      <c r="B258" s="2"/>
      <c r="C258" s="5">
        <v>220</v>
      </c>
      <c r="D258" s="5">
        <v>0</v>
      </c>
      <c r="E258" s="5">
        <v>1</v>
      </c>
      <c r="F258" s="5"/>
      <c r="G258" s="5"/>
      <c r="H258" s="5"/>
      <c r="I258" s="5"/>
      <c r="J258" s="5"/>
      <c r="K258" s="5" t="b">
        <f t="shared" si="15"/>
        <v>0</v>
      </c>
      <c r="L258" s="5"/>
      <c r="O258" s="5"/>
    </row>
    <row r="259" spans="1:16" x14ac:dyDescent="0.25">
      <c r="A259" s="2" t="s">
        <v>55</v>
      </c>
      <c r="B259" s="2"/>
      <c r="C259" s="5">
        <v>221</v>
      </c>
      <c r="D259" s="5">
        <v>1</v>
      </c>
      <c r="E259" s="5">
        <v>0</v>
      </c>
      <c r="F259" s="5"/>
      <c r="G259" s="5"/>
      <c r="H259" s="5"/>
      <c r="I259" s="5"/>
      <c r="J259" s="5"/>
      <c r="K259" s="5">
        <v>-0.16</v>
      </c>
      <c r="L259" s="5"/>
      <c r="O259" s="5"/>
    </row>
    <row r="260" spans="1:16" x14ac:dyDescent="0.25">
      <c r="A260" s="2" t="s">
        <v>200</v>
      </c>
      <c r="B260" s="2"/>
      <c r="C260" s="5">
        <v>221</v>
      </c>
      <c r="D260" s="5">
        <v>1</v>
      </c>
      <c r="E260" s="5">
        <v>0</v>
      </c>
      <c r="F260" s="5"/>
      <c r="G260" s="5"/>
      <c r="H260" s="5"/>
      <c r="I260" s="5"/>
      <c r="J260" s="5"/>
      <c r="K260" s="5">
        <v>-0.13</v>
      </c>
      <c r="L260" s="5"/>
      <c r="O260" s="5"/>
    </row>
    <row r="261" spans="1:16" x14ac:dyDescent="0.25">
      <c r="A261" s="2" t="s">
        <v>296</v>
      </c>
      <c r="B261" s="2"/>
      <c r="C261" s="5">
        <v>221</v>
      </c>
      <c r="D261" s="5">
        <v>1</v>
      </c>
      <c r="E261" s="5">
        <v>0</v>
      </c>
      <c r="F261" s="5"/>
      <c r="G261" s="5"/>
      <c r="H261" s="5"/>
      <c r="I261" s="5"/>
      <c r="J261" s="5"/>
      <c r="K261" s="5">
        <v>-0.16</v>
      </c>
      <c r="L261" s="5"/>
      <c r="O261" s="5"/>
    </row>
    <row r="262" spans="1:16" x14ac:dyDescent="0.25">
      <c r="A262" s="2" t="s">
        <v>56</v>
      </c>
      <c r="B262" s="2"/>
      <c r="C262" s="5">
        <v>222</v>
      </c>
      <c r="D262" s="5">
        <v>1</v>
      </c>
      <c r="E262" s="5">
        <v>0</v>
      </c>
      <c r="F262" s="5"/>
      <c r="G262" s="5"/>
      <c r="H262" s="5">
        <v>10.77</v>
      </c>
      <c r="I262" s="5">
        <v>1</v>
      </c>
      <c r="J262" s="5">
        <v>1980</v>
      </c>
      <c r="K262" s="5">
        <f t="shared" ref="K262:K274" si="16">IF(NOT(ISBLANK(G262)),SQRT((G262^2*1/I262)/(G262^2*1/I262+1)),IF(NOT(ISBLANK(H262)),SQRT((H262*I262/J262)/(H262*I262/J262+1)*SQRT(1/I262))))</f>
        <v>7.3552477848773792E-2</v>
      </c>
      <c r="L262" s="5"/>
      <c r="M262" s="25">
        <v>0</v>
      </c>
      <c r="N262" s="25">
        <v>0</v>
      </c>
      <c r="O262" s="5"/>
    </row>
    <row r="263" spans="1:16" x14ac:dyDescent="0.25">
      <c r="A263" s="2" t="s">
        <v>201</v>
      </c>
      <c r="B263" s="2"/>
      <c r="C263" s="5">
        <v>222</v>
      </c>
      <c r="D263" s="5">
        <v>2</v>
      </c>
      <c r="E263" s="5">
        <v>0</v>
      </c>
      <c r="F263" s="5"/>
      <c r="G263" s="5"/>
      <c r="H263" s="5">
        <v>3.95</v>
      </c>
      <c r="I263" s="5">
        <v>1</v>
      </c>
      <c r="J263" s="5">
        <v>2480</v>
      </c>
      <c r="K263" s="5">
        <f t="shared" si="16"/>
        <v>3.9877426480354888E-2</v>
      </c>
      <c r="L263" s="5"/>
      <c r="M263" s="25">
        <v>0</v>
      </c>
      <c r="N263" s="25">
        <v>0</v>
      </c>
      <c r="O263" s="5" t="s">
        <v>692</v>
      </c>
      <c r="P263" t="s">
        <v>689</v>
      </c>
    </row>
    <row r="264" spans="1:16" x14ac:dyDescent="0.25">
      <c r="A264" s="2" t="s">
        <v>297</v>
      </c>
      <c r="B264" s="2"/>
      <c r="C264" s="5">
        <v>222</v>
      </c>
      <c r="D264" s="5">
        <v>1</v>
      </c>
      <c r="E264" s="5">
        <v>0</v>
      </c>
      <c r="F264" s="5">
        <v>0</v>
      </c>
      <c r="G264" s="5"/>
      <c r="H264" s="5"/>
      <c r="I264" s="5"/>
      <c r="J264" s="5"/>
      <c r="K264" s="5" t="b">
        <f t="shared" si="16"/>
        <v>0</v>
      </c>
      <c r="L264" s="5"/>
      <c r="O264" s="5"/>
    </row>
    <row r="265" spans="1:16" x14ac:dyDescent="0.25">
      <c r="A265" s="2" t="s">
        <v>367</v>
      </c>
      <c r="B265" s="2"/>
      <c r="C265" s="5">
        <v>222</v>
      </c>
      <c r="D265" s="5">
        <v>1</v>
      </c>
      <c r="E265" s="5">
        <v>0</v>
      </c>
      <c r="F265" s="5">
        <v>0</v>
      </c>
      <c r="G265" s="5"/>
      <c r="H265" s="5"/>
      <c r="I265" s="5"/>
      <c r="J265" s="5"/>
      <c r="K265" s="5" t="b">
        <f t="shared" si="16"/>
        <v>0</v>
      </c>
      <c r="L265" s="5"/>
      <c r="O265" s="5"/>
    </row>
    <row r="266" spans="1:16" x14ac:dyDescent="0.25">
      <c r="A266" s="2" t="s">
        <v>57</v>
      </c>
      <c r="B266" s="2"/>
      <c r="C266" s="5">
        <v>225</v>
      </c>
      <c r="D266" s="5">
        <v>2</v>
      </c>
      <c r="E266" s="5">
        <v>0</v>
      </c>
      <c r="F266" s="5"/>
      <c r="G266" s="5"/>
      <c r="H266" s="5">
        <v>4.92</v>
      </c>
      <c r="I266" s="5">
        <v>2</v>
      </c>
      <c r="J266" s="5">
        <v>371</v>
      </c>
      <c r="K266" s="5">
        <f t="shared" si="16"/>
        <v>0.13516640779275829</v>
      </c>
      <c r="L266" s="5"/>
      <c r="M266" s="25">
        <v>0</v>
      </c>
      <c r="N266" s="25">
        <v>0</v>
      </c>
      <c r="O266" s="5" t="s">
        <v>692</v>
      </c>
    </row>
    <row r="267" spans="1:16" x14ac:dyDescent="0.25">
      <c r="A267" s="2" t="s">
        <v>202</v>
      </c>
      <c r="B267" s="2"/>
      <c r="C267" s="5">
        <v>225</v>
      </c>
      <c r="D267" s="5">
        <v>1</v>
      </c>
      <c r="E267" s="5">
        <v>0</v>
      </c>
      <c r="F267" s="5">
        <v>0</v>
      </c>
      <c r="G267" s="5"/>
      <c r="H267" s="5"/>
      <c r="I267" s="5"/>
      <c r="J267" s="5"/>
      <c r="K267" s="5" t="b">
        <f t="shared" si="16"/>
        <v>0</v>
      </c>
      <c r="L267" s="5"/>
      <c r="M267" s="25">
        <v>0</v>
      </c>
      <c r="N267" s="25">
        <v>0</v>
      </c>
      <c r="O267" s="5"/>
    </row>
    <row r="268" spans="1:16" x14ac:dyDescent="0.25">
      <c r="A268" s="2" t="s">
        <v>58</v>
      </c>
      <c r="B268" s="2"/>
      <c r="C268" s="5">
        <v>229</v>
      </c>
      <c r="D268" s="5">
        <v>1</v>
      </c>
      <c r="E268" s="5">
        <v>0</v>
      </c>
      <c r="F268" s="5">
        <v>0</v>
      </c>
      <c r="G268" s="5"/>
      <c r="H268" s="5"/>
      <c r="I268" s="5"/>
      <c r="J268" s="5"/>
      <c r="K268" s="5" t="b">
        <f t="shared" si="16"/>
        <v>0</v>
      </c>
      <c r="L268" s="5"/>
      <c r="O268" s="5"/>
    </row>
    <row r="269" spans="1:16" x14ac:dyDescent="0.25">
      <c r="A269" s="2" t="s">
        <v>203</v>
      </c>
      <c r="B269" s="2"/>
      <c r="C269" s="5">
        <v>229</v>
      </c>
      <c r="D269" s="5">
        <v>1</v>
      </c>
      <c r="E269" s="5">
        <v>0</v>
      </c>
      <c r="F269" s="5">
        <v>0</v>
      </c>
      <c r="G269" s="5"/>
      <c r="H269" s="5"/>
      <c r="I269" s="5"/>
      <c r="J269" s="5"/>
      <c r="K269" s="5" t="b">
        <f t="shared" si="16"/>
        <v>0</v>
      </c>
      <c r="L269" s="5"/>
      <c r="O269" s="5" t="s">
        <v>608</v>
      </c>
    </row>
    <row r="270" spans="1:16" x14ac:dyDescent="0.25">
      <c r="A270" s="2" t="s">
        <v>59</v>
      </c>
      <c r="B270" s="2"/>
      <c r="C270" s="5">
        <v>232</v>
      </c>
      <c r="D270" s="5">
        <v>1</v>
      </c>
      <c r="E270" s="5">
        <v>0</v>
      </c>
      <c r="F270" s="5">
        <v>0</v>
      </c>
      <c r="G270" s="5"/>
      <c r="H270" s="5"/>
      <c r="I270" s="5"/>
      <c r="J270" s="5"/>
      <c r="K270" s="5" t="b">
        <f t="shared" si="16"/>
        <v>0</v>
      </c>
      <c r="L270" s="5"/>
      <c r="O270" s="5" t="s">
        <v>609</v>
      </c>
    </row>
    <row r="271" spans="1:16" x14ac:dyDescent="0.25">
      <c r="A271" s="2" t="s">
        <v>204</v>
      </c>
      <c r="B271" s="2"/>
      <c r="C271" s="5">
        <v>232</v>
      </c>
      <c r="D271" s="5">
        <v>1</v>
      </c>
      <c r="E271" s="5">
        <v>0</v>
      </c>
      <c r="F271" s="5">
        <v>0</v>
      </c>
      <c r="G271" s="5"/>
      <c r="H271" s="5"/>
      <c r="I271" s="5"/>
      <c r="J271" s="5"/>
      <c r="K271" s="5" t="b">
        <f t="shared" si="16"/>
        <v>0</v>
      </c>
      <c r="L271" s="5"/>
      <c r="O271" s="5"/>
    </row>
    <row r="272" spans="1:16" x14ac:dyDescent="0.25">
      <c r="A272" s="2" t="s">
        <v>298</v>
      </c>
      <c r="B272" s="2"/>
      <c r="C272" s="5">
        <v>232</v>
      </c>
      <c r="D272" s="5">
        <v>1</v>
      </c>
      <c r="E272" s="5">
        <v>0</v>
      </c>
      <c r="F272" s="5"/>
      <c r="G272" s="5">
        <v>5.58</v>
      </c>
      <c r="H272" s="5"/>
      <c r="I272" s="5">
        <v>42</v>
      </c>
      <c r="J272" s="5"/>
      <c r="K272" s="5">
        <f t="shared" si="16"/>
        <v>0.6524803083429892</v>
      </c>
      <c r="L272" s="5"/>
      <c r="M272" s="25">
        <v>0</v>
      </c>
      <c r="N272" s="25">
        <v>0</v>
      </c>
      <c r="O272" s="5"/>
    </row>
    <row r="273" spans="1:15" x14ac:dyDescent="0.25">
      <c r="A273" s="2" t="s">
        <v>60</v>
      </c>
      <c r="B273" s="2"/>
      <c r="C273" s="5">
        <v>233</v>
      </c>
      <c r="D273" s="5">
        <v>1</v>
      </c>
      <c r="E273" s="5">
        <v>0</v>
      </c>
      <c r="F273" s="5"/>
      <c r="G273" s="5">
        <v>6.58</v>
      </c>
      <c r="H273" s="5"/>
      <c r="I273" s="5">
        <v>14</v>
      </c>
      <c r="J273" s="5"/>
      <c r="K273" s="5">
        <f t="shared" si="16"/>
        <v>0.86928508030902718</v>
      </c>
      <c r="L273" s="5"/>
      <c r="M273" s="25">
        <v>0</v>
      </c>
      <c r="N273" s="25">
        <v>0</v>
      </c>
      <c r="O273" s="5"/>
    </row>
    <row r="274" spans="1:15" x14ac:dyDescent="0.25">
      <c r="A274" s="2" t="s">
        <v>205</v>
      </c>
      <c r="B274" s="2"/>
      <c r="C274" s="5">
        <v>233</v>
      </c>
      <c r="D274" s="5">
        <v>1</v>
      </c>
      <c r="E274" s="5">
        <v>0</v>
      </c>
      <c r="F274" s="5"/>
      <c r="G274" s="5">
        <v>-0.9</v>
      </c>
      <c r="H274" s="5"/>
      <c r="I274" s="5">
        <v>14</v>
      </c>
      <c r="J274" s="5"/>
      <c r="K274" s="5">
        <f t="shared" si="16"/>
        <v>0.23386486515063434</v>
      </c>
      <c r="L274" s="5"/>
      <c r="M274" s="25">
        <v>0</v>
      </c>
      <c r="N274" s="25">
        <v>0</v>
      </c>
      <c r="O274" s="5"/>
    </row>
    <row r="275" spans="1:15" x14ac:dyDescent="0.25">
      <c r="A275" s="2" t="s">
        <v>299</v>
      </c>
      <c r="B275" s="2"/>
      <c r="C275" s="5">
        <v>233</v>
      </c>
      <c r="D275" s="5">
        <v>1</v>
      </c>
      <c r="E275" s="5">
        <v>0</v>
      </c>
      <c r="F275" s="5"/>
      <c r="G275" s="5"/>
      <c r="H275" s="5"/>
      <c r="I275" s="5"/>
      <c r="J275" s="5"/>
      <c r="K275" s="5">
        <v>-0.39</v>
      </c>
      <c r="L275" s="5"/>
      <c r="O275" s="5"/>
    </row>
    <row r="276" spans="1:15" x14ac:dyDescent="0.25">
      <c r="A276" s="2" t="s">
        <v>61</v>
      </c>
      <c r="B276" s="2"/>
      <c r="C276" s="5">
        <v>235</v>
      </c>
      <c r="D276" s="5">
        <v>1</v>
      </c>
      <c r="E276" s="5">
        <v>0</v>
      </c>
      <c r="F276" s="5"/>
      <c r="G276" s="5">
        <v>4.93</v>
      </c>
      <c r="H276" s="5"/>
      <c r="I276" s="5">
        <v>2</v>
      </c>
      <c r="J276" s="5">
        <v>470</v>
      </c>
      <c r="K276" s="5">
        <f>IF(NOT(ISBLANK(G276)),SQRT((G276^2*1/I276)/(G276^2*1/I276+1)),IF(NOT(ISBLANK(H276)),SQRT((H276*I276/J276)/(H276*I276/J276+1)*SQRT(1/I276))))</f>
        <v>0.96123282204734317</v>
      </c>
      <c r="L276" s="5"/>
      <c r="M276" s="25">
        <v>0</v>
      </c>
      <c r="N276" s="25">
        <v>0</v>
      </c>
      <c r="O276" s="5"/>
    </row>
    <row r="277" spans="1:15" x14ac:dyDescent="0.25">
      <c r="A277" s="2" t="s">
        <v>206</v>
      </c>
      <c r="B277" s="2"/>
      <c r="C277" s="5">
        <v>236</v>
      </c>
      <c r="D277" s="5">
        <v>1</v>
      </c>
      <c r="E277" s="5">
        <v>0</v>
      </c>
      <c r="F277" s="5">
        <v>0</v>
      </c>
      <c r="G277" s="5"/>
      <c r="H277" s="5"/>
      <c r="I277" s="5"/>
      <c r="J277" s="5"/>
      <c r="K277" s="5">
        <v>0.35</v>
      </c>
      <c r="L277" s="5"/>
      <c r="O277" s="5"/>
    </row>
    <row r="278" spans="1:15" x14ac:dyDescent="0.25">
      <c r="A278" s="2" t="s">
        <v>300</v>
      </c>
      <c r="B278" s="2"/>
      <c r="C278" s="5">
        <v>236</v>
      </c>
      <c r="D278" s="5">
        <v>0</v>
      </c>
      <c r="E278" s="5">
        <v>0</v>
      </c>
      <c r="F278" s="5"/>
      <c r="G278" s="5"/>
      <c r="H278" s="5"/>
      <c r="I278" s="5"/>
      <c r="J278" s="5"/>
      <c r="K278" s="5" t="b">
        <f t="shared" ref="K278:K304" si="17">IF(NOT(ISBLANK(G278)),SQRT((G278^2*1/I278)/(G278^2*1/I278+1)),IF(NOT(ISBLANK(H278)),SQRT((H278*I278/J278)/(H278*I278/J278+1)*SQRT(1/I278))))</f>
        <v>0</v>
      </c>
      <c r="L278" s="5"/>
      <c r="O278" s="5"/>
    </row>
    <row r="279" spans="1:15" x14ac:dyDescent="0.25">
      <c r="A279" s="2" t="s">
        <v>411</v>
      </c>
      <c r="B279" s="2"/>
      <c r="C279" s="5">
        <v>236</v>
      </c>
      <c r="D279" s="5">
        <v>0</v>
      </c>
      <c r="E279" s="5">
        <v>0</v>
      </c>
      <c r="F279" s="5"/>
      <c r="G279" s="5"/>
      <c r="H279" s="5"/>
      <c r="I279" s="5"/>
      <c r="J279" s="5"/>
      <c r="K279" s="5" t="b">
        <f t="shared" si="17"/>
        <v>0</v>
      </c>
      <c r="L279" s="5"/>
      <c r="O279" s="5"/>
    </row>
    <row r="280" spans="1:15" x14ac:dyDescent="0.25">
      <c r="A280" s="2" t="s">
        <v>411</v>
      </c>
      <c r="B280" s="2"/>
      <c r="C280" s="5">
        <v>236</v>
      </c>
      <c r="D280" s="5">
        <v>0</v>
      </c>
      <c r="E280" s="5">
        <v>1</v>
      </c>
      <c r="F280" s="5"/>
      <c r="G280" s="5"/>
      <c r="H280" s="5"/>
      <c r="I280" s="5"/>
      <c r="J280" s="5"/>
      <c r="K280" s="5" t="b">
        <f t="shared" si="17"/>
        <v>0</v>
      </c>
      <c r="L280" s="5"/>
      <c r="O280" s="5"/>
    </row>
    <row r="281" spans="1:15" x14ac:dyDescent="0.25">
      <c r="A281" s="2" t="s">
        <v>502</v>
      </c>
      <c r="B281" s="2"/>
      <c r="C281" s="5">
        <v>236</v>
      </c>
      <c r="D281" s="5">
        <v>0</v>
      </c>
      <c r="E281" s="5">
        <v>0</v>
      </c>
      <c r="F281" s="5"/>
      <c r="G281" s="5"/>
      <c r="H281" s="5"/>
      <c r="I281" s="5"/>
      <c r="J281" s="5"/>
      <c r="K281" s="5" t="b">
        <f t="shared" si="17"/>
        <v>0</v>
      </c>
      <c r="L281" s="5"/>
      <c r="O281" s="5"/>
    </row>
    <row r="282" spans="1:15" x14ac:dyDescent="0.25">
      <c r="A282" s="2" t="s">
        <v>522</v>
      </c>
      <c r="B282" s="2"/>
      <c r="C282" s="5">
        <v>236</v>
      </c>
      <c r="D282" s="5">
        <v>0</v>
      </c>
      <c r="E282" s="5">
        <v>0</v>
      </c>
      <c r="F282" s="5"/>
      <c r="G282" s="5"/>
      <c r="H282" s="5"/>
      <c r="I282" s="5"/>
      <c r="J282" s="5"/>
      <c r="K282" s="5" t="b">
        <f t="shared" si="17"/>
        <v>0</v>
      </c>
      <c r="L282" s="5"/>
      <c r="O282" s="5"/>
    </row>
    <row r="283" spans="1:15" x14ac:dyDescent="0.25">
      <c r="A283" s="2" t="s">
        <v>535</v>
      </c>
      <c r="B283" s="2"/>
      <c r="C283" s="5">
        <v>236</v>
      </c>
      <c r="D283" s="5">
        <v>0</v>
      </c>
      <c r="E283" s="5">
        <v>0</v>
      </c>
      <c r="F283" s="5"/>
      <c r="G283" s="5"/>
      <c r="H283" s="5"/>
      <c r="I283" s="5"/>
      <c r="J283" s="5"/>
      <c r="K283" s="5" t="b">
        <f t="shared" si="17"/>
        <v>0</v>
      </c>
      <c r="L283" s="5"/>
      <c r="O283" s="5"/>
    </row>
    <row r="284" spans="1:15" x14ac:dyDescent="0.25">
      <c r="A284" s="2" t="s">
        <v>521</v>
      </c>
      <c r="B284" s="2"/>
      <c r="C284" s="5">
        <v>236</v>
      </c>
      <c r="D284" s="5">
        <v>0</v>
      </c>
      <c r="E284" s="5">
        <v>0</v>
      </c>
      <c r="F284" s="5"/>
      <c r="G284" s="5"/>
      <c r="H284" s="5"/>
      <c r="I284" s="5"/>
      <c r="J284" s="5"/>
      <c r="K284" s="5" t="b">
        <f t="shared" si="17"/>
        <v>0</v>
      </c>
      <c r="L284" s="5"/>
      <c r="O284" s="5"/>
    </row>
    <row r="285" spans="1:15" x14ac:dyDescent="0.25">
      <c r="A285" s="2" t="s">
        <v>62</v>
      </c>
      <c r="B285" s="2"/>
      <c r="C285" s="5">
        <v>237</v>
      </c>
      <c r="D285" s="5">
        <v>1</v>
      </c>
      <c r="E285" s="5">
        <v>0</v>
      </c>
      <c r="F285" s="5"/>
      <c r="G285" s="5"/>
      <c r="H285" s="5"/>
      <c r="I285" s="5"/>
      <c r="J285" s="5"/>
      <c r="K285" s="5" t="b">
        <f t="shared" si="17"/>
        <v>0</v>
      </c>
      <c r="L285" s="5"/>
      <c r="O285" s="5" t="s">
        <v>610</v>
      </c>
    </row>
    <row r="286" spans="1:15" x14ac:dyDescent="0.25">
      <c r="A286" s="2" t="s">
        <v>207</v>
      </c>
      <c r="B286" s="2"/>
      <c r="C286" s="5">
        <v>237</v>
      </c>
      <c r="D286" s="5">
        <v>1</v>
      </c>
      <c r="E286" s="5">
        <v>0</v>
      </c>
      <c r="F286" s="5">
        <v>0</v>
      </c>
      <c r="G286" s="5"/>
      <c r="H286" s="5"/>
      <c r="I286" s="5"/>
      <c r="J286" s="5"/>
      <c r="K286" s="5" t="b">
        <f t="shared" si="17"/>
        <v>0</v>
      </c>
      <c r="L286" s="5"/>
      <c r="O286" s="5"/>
    </row>
    <row r="287" spans="1:15" x14ac:dyDescent="0.25">
      <c r="A287" s="2" t="s">
        <v>301</v>
      </c>
      <c r="B287" s="2"/>
      <c r="C287" s="5">
        <v>237</v>
      </c>
      <c r="D287" s="5">
        <v>1</v>
      </c>
      <c r="E287" s="5">
        <v>0</v>
      </c>
      <c r="F287" s="5"/>
      <c r="G287" s="5"/>
      <c r="H287" s="5">
        <v>15.7</v>
      </c>
      <c r="I287" s="5">
        <v>1</v>
      </c>
      <c r="J287" s="5">
        <v>971</v>
      </c>
      <c r="K287" s="5">
        <f t="shared" si="17"/>
        <v>0.12614128827341498</v>
      </c>
      <c r="L287" s="5"/>
      <c r="M287" s="25">
        <v>0</v>
      </c>
      <c r="N287" s="25">
        <v>0</v>
      </c>
      <c r="O287" s="5"/>
    </row>
    <row r="288" spans="1:15" x14ac:dyDescent="0.25">
      <c r="A288" s="2" t="s">
        <v>368</v>
      </c>
      <c r="B288" s="2"/>
      <c r="C288" s="5">
        <v>237</v>
      </c>
      <c r="D288" s="5">
        <v>1</v>
      </c>
      <c r="E288" s="5">
        <v>0</v>
      </c>
      <c r="F288" s="5">
        <v>0</v>
      </c>
      <c r="G288" s="5"/>
      <c r="H288" s="5"/>
      <c r="I288" s="5"/>
      <c r="J288" s="5"/>
      <c r="K288" s="5" t="b">
        <f t="shared" si="17"/>
        <v>0</v>
      </c>
      <c r="L288" s="5"/>
      <c r="O288" s="5"/>
    </row>
    <row r="289" spans="1:15" x14ac:dyDescent="0.25">
      <c r="A289" s="2" t="s">
        <v>412</v>
      </c>
      <c r="B289" s="2"/>
      <c r="C289" s="5">
        <v>237</v>
      </c>
      <c r="D289" s="5">
        <v>1</v>
      </c>
      <c r="E289" s="5">
        <v>0</v>
      </c>
      <c r="F289" s="5"/>
      <c r="G289" s="5">
        <v>24.59</v>
      </c>
      <c r="H289" s="5"/>
      <c r="I289" s="5">
        <v>973</v>
      </c>
      <c r="J289" s="5"/>
      <c r="K289" s="5">
        <f t="shared" si="17"/>
        <v>0.61908560597398965</v>
      </c>
      <c r="L289" s="5"/>
      <c r="M289" s="25" t="s">
        <v>676</v>
      </c>
      <c r="N289" s="25" t="s">
        <v>676</v>
      </c>
      <c r="O289" s="5" t="s">
        <v>611</v>
      </c>
    </row>
    <row r="290" spans="1:15" x14ac:dyDescent="0.25">
      <c r="A290" s="2" t="s">
        <v>446</v>
      </c>
      <c r="B290" s="2"/>
      <c r="C290" s="5">
        <v>237</v>
      </c>
      <c r="D290" s="5">
        <v>1</v>
      </c>
      <c r="E290" s="5">
        <v>0</v>
      </c>
      <c r="F290" s="5">
        <v>0</v>
      </c>
      <c r="G290" s="5"/>
      <c r="H290" s="5"/>
      <c r="I290" s="5"/>
      <c r="J290" s="5"/>
      <c r="K290" s="5" t="b">
        <f t="shared" si="17"/>
        <v>0</v>
      </c>
      <c r="L290" s="5"/>
      <c r="O290" s="5"/>
    </row>
    <row r="291" spans="1:15" x14ac:dyDescent="0.25">
      <c r="A291" s="2" t="s">
        <v>63</v>
      </c>
      <c r="B291" s="2"/>
      <c r="C291" s="5">
        <v>238</v>
      </c>
      <c r="D291" s="5">
        <v>1</v>
      </c>
      <c r="E291" s="5">
        <v>0</v>
      </c>
      <c r="F291" s="5">
        <v>0</v>
      </c>
      <c r="G291" s="5"/>
      <c r="H291" s="5"/>
      <c r="I291" s="5"/>
      <c r="J291" s="5"/>
      <c r="K291" s="5" t="b">
        <f t="shared" si="17"/>
        <v>0</v>
      </c>
      <c r="L291" s="5"/>
      <c r="O291" s="5"/>
    </row>
    <row r="292" spans="1:15" x14ac:dyDescent="0.25">
      <c r="A292" s="2" t="s">
        <v>64</v>
      </c>
      <c r="B292" s="2"/>
      <c r="C292" s="5">
        <v>238</v>
      </c>
      <c r="D292" s="5">
        <v>1</v>
      </c>
      <c r="E292" s="5">
        <v>1</v>
      </c>
      <c r="F292" s="5">
        <v>0</v>
      </c>
      <c r="G292" s="5"/>
      <c r="H292" s="5"/>
      <c r="I292" s="5"/>
      <c r="J292" s="5"/>
      <c r="K292" s="5" t="b">
        <f t="shared" si="17"/>
        <v>0</v>
      </c>
      <c r="L292" s="5"/>
      <c r="O292" s="5"/>
    </row>
    <row r="293" spans="1:15" x14ac:dyDescent="0.25">
      <c r="A293" s="2" t="s">
        <v>302</v>
      </c>
      <c r="B293" s="2"/>
      <c r="C293" s="5">
        <v>238</v>
      </c>
      <c r="D293" s="5">
        <v>1</v>
      </c>
      <c r="E293" s="5">
        <v>1</v>
      </c>
      <c r="F293" s="5">
        <v>0</v>
      </c>
      <c r="G293" s="5"/>
      <c r="H293" s="5"/>
      <c r="I293" s="5"/>
      <c r="J293" s="5"/>
      <c r="K293" s="5" t="b">
        <f t="shared" si="17"/>
        <v>0</v>
      </c>
      <c r="L293" s="5"/>
      <c r="O293" s="5"/>
    </row>
    <row r="294" spans="1:15" x14ac:dyDescent="0.25">
      <c r="A294" s="2" t="s">
        <v>63</v>
      </c>
      <c r="B294" s="2"/>
      <c r="C294" s="5">
        <v>238</v>
      </c>
      <c r="D294" s="5">
        <v>1</v>
      </c>
      <c r="E294" s="5">
        <v>1</v>
      </c>
      <c r="F294" s="5">
        <v>0</v>
      </c>
      <c r="G294" s="5"/>
      <c r="H294" s="5"/>
      <c r="I294" s="5"/>
      <c r="J294" s="5"/>
      <c r="K294" s="5" t="b">
        <f t="shared" si="17"/>
        <v>0</v>
      </c>
      <c r="L294" s="5"/>
      <c r="O294" s="5"/>
    </row>
    <row r="295" spans="1:15" x14ac:dyDescent="0.25">
      <c r="A295" s="2" t="s">
        <v>302</v>
      </c>
      <c r="B295" s="2"/>
      <c r="C295" s="5">
        <v>238</v>
      </c>
      <c r="D295" s="5">
        <v>1</v>
      </c>
      <c r="E295" s="5">
        <v>1</v>
      </c>
      <c r="F295" s="5">
        <v>0</v>
      </c>
      <c r="G295" s="5"/>
      <c r="H295" s="5"/>
      <c r="I295" s="5"/>
      <c r="J295" s="5"/>
      <c r="K295" s="5" t="b">
        <f t="shared" si="17"/>
        <v>0</v>
      </c>
      <c r="L295" s="5"/>
      <c r="O295" s="5"/>
    </row>
    <row r="296" spans="1:15" x14ac:dyDescent="0.25">
      <c r="A296" s="2" t="s">
        <v>302</v>
      </c>
      <c r="B296" s="2"/>
      <c r="C296" s="5">
        <v>238</v>
      </c>
      <c r="D296" s="5">
        <v>1</v>
      </c>
      <c r="E296" s="5">
        <v>1</v>
      </c>
      <c r="F296" s="5">
        <v>0</v>
      </c>
      <c r="G296" s="5"/>
      <c r="H296" s="5"/>
      <c r="I296" s="5"/>
      <c r="J296" s="5"/>
      <c r="K296" s="5" t="b">
        <f t="shared" si="17"/>
        <v>0</v>
      </c>
      <c r="L296" s="5"/>
      <c r="O296" s="5"/>
    </row>
    <row r="297" spans="1:15" x14ac:dyDescent="0.25">
      <c r="A297" s="2" t="s">
        <v>63</v>
      </c>
      <c r="B297" s="2"/>
      <c r="C297" s="5">
        <v>238</v>
      </c>
      <c r="D297" s="5">
        <v>1</v>
      </c>
      <c r="E297" s="5">
        <v>1</v>
      </c>
      <c r="F297" s="5">
        <v>0</v>
      </c>
      <c r="G297" s="5"/>
      <c r="H297" s="5"/>
      <c r="I297" s="5"/>
      <c r="J297" s="5"/>
      <c r="K297" s="5" t="b">
        <f t="shared" si="17"/>
        <v>0</v>
      </c>
      <c r="L297" s="5"/>
      <c r="O297" s="5"/>
    </row>
    <row r="298" spans="1:15" x14ac:dyDescent="0.25">
      <c r="A298" s="2" t="s">
        <v>63</v>
      </c>
      <c r="B298" s="2"/>
      <c r="C298" s="5">
        <v>238</v>
      </c>
      <c r="D298" s="5">
        <v>1</v>
      </c>
      <c r="E298" s="5">
        <v>1</v>
      </c>
      <c r="F298" s="5">
        <v>0</v>
      </c>
      <c r="G298" s="5"/>
      <c r="H298" s="5"/>
      <c r="I298" s="5"/>
      <c r="J298" s="5"/>
      <c r="K298" s="5" t="b">
        <f t="shared" si="17"/>
        <v>0</v>
      </c>
      <c r="L298" s="5"/>
      <c r="O298" s="5"/>
    </row>
    <row r="299" spans="1:15" x14ac:dyDescent="0.25">
      <c r="A299" s="2" t="s">
        <v>302</v>
      </c>
      <c r="B299" s="2"/>
      <c r="C299" s="5">
        <v>238</v>
      </c>
      <c r="D299" s="5">
        <v>1</v>
      </c>
      <c r="E299" s="5">
        <v>1</v>
      </c>
      <c r="F299" s="5">
        <v>0</v>
      </c>
      <c r="G299" s="5"/>
      <c r="H299" s="5"/>
      <c r="I299" s="5"/>
      <c r="J299" s="5"/>
      <c r="K299" s="5" t="b">
        <f t="shared" si="17"/>
        <v>0</v>
      </c>
      <c r="L299" s="5"/>
      <c r="O299" s="5"/>
    </row>
    <row r="300" spans="1:15" x14ac:dyDescent="0.25">
      <c r="A300" s="2" t="s">
        <v>63</v>
      </c>
      <c r="B300" s="2"/>
      <c r="C300" s="5">
        <v>238</v>
      </c>
      <c r="D300" s="5">
        <v>1</v>
      </c>
      <c r="E300" s="5">
        <v>1</v>
      </c>
      <c r="F300" s="5">
        <v>0</v>
      </c>
      <c r="G300" s="5"/>
      <c r="H300" s="5"/>
      <c r="I300" s="5"/>
      <c r="J300" s="5"/>
      <c r="K300" s="5" t="b">
        <f t="shared" si="17"/>
        <v>0</v>
      </c>
      <c r="L300" s="5"/>
      <c r="O300" s="5"/>
    </row>
    <row r="301" spans="1:15" x14ac:dyDescent="0.25">
      <c r="A301" s="2" t="s">
        <v>63</v>
      </c>
      <c r="B301" s="2"/>
      <c r="C301" s="5">
        <v>238</v>
      </c>
      <c r="D301" s="5">
        <v>1</v>
      </c>
      <c r="E301" s="5">
        <v>1</v>
      </c>
      <c r="F301" s="5">
        <v>0</v>
      </c>
      <c r="G301" s="5"/>
      <c r="H301" s="5"/>
      <c r="I301" s="5"/>
      <c r="J301" s="5"/>
      <c r="K301" s="5" t="b">
        <f t="shared" si="17"/>
        <v>0</v>
      </c>
      <c r="L301" s="5"/>
      <c r="O301" s="5"/>
    </row>
    <row r="302" spans="1:15" x14ac:dyDescent="0.25">
      <c r="A302" s="2" t="s">
        <v>302</v>
      </c>
      <c r="B302" s="2"/>
      <c r="C302" s="5">
        <v>238</v>
      </c>
      <c r="D302" s="5">
        <v>1</v>
      </c>
      <c r="E302" s="5">
        <v>1</v>
      </c>
      <c r="F302" s="5">
        <v>0</v>
      </c>
      <c r="G302" s="5"/>
      <c r="H302" s="5"/>
      <c r="I302" s="5"/>
      <c r="J302" s="5"/>
      <c r="K302" s="5" t="b">
        <f t="shared" si="17"/>
        <v>0</v>
      </c>
      <c r="L302" s="5"/>
      <c r="O302" s="5"/>
    </row>
    <row r="303" spans="1:15" x14ac:dyDescent="0.25">
      <c r="A303" s="2" t="s">
        <v>302</v>
      </c>
      <c r="B303" s="2"/>
      <c r="C303" s="5">
        <v>238</v>
      </c>
      <c r="D303" s="5">
        <v>1</v>
      </c>
      <c r="E303" s="5">
        <v>1</v>
      </c>
      <c r="F303" s="5">
        <v>0</v>
      </c>
      <c r="G303" s="5"/>
      <c r="H303" s="5"/>
      <c r="I303" s="5"/>
      <c r="J303" s="5"/>
      <c r="K303" s="5" t="b">
        <f t="shared" si="17"/>
        <v>0</v>
      </c>
      <c r="L303" s="5"/>
      <c r="O303" s="5"/>
    </row>
    <row r="304" spans="1:15" x14ac:dyDescent="0.25">
      <c r="A304" s="2" t="s">
        <v>302</v>
      </c>
      <c r="B304" s="2"/>
      <c r="C304" s="5">
        <v>238</v>
      </c>
      <c r="D304" s="5">
        <v>1</v>
      </c>
      <c r="E304" s="5">
        <v>1</v>
      </c>
      <c r="F304" s="5">
        <v>0</v>
      </c>
      <c r="G304" s="5"/>
      <c r="H304" s="5"/>
      <c r="I304" s="5"/>
      <c r="J304" s="5"/>
      <c r="K304" s="5" t="b">
        <f t="shared" si="17"/>
        <v>0</v>
      </c>
      <c r="L304" s="5"/>
      <c r="O304" s="5"/>
    </row>
    <row r="305" spans="1:15" x14ac:dyDescent="0.25">
      <c r="A305" s="2" t="s">
        <v>65</v>
      </c>
      <c r="B305" s="2"/>
      <c r="C305" s="5">
        <v>245</v>
      </c>
      <c r="D305" s="5">
        <v>1</v>
      </c>
      <c r="E305" s="5">
        <v>0</v>
      </c>
      <c r="F305" s="5"/>
      <c r="G305" s="5">
        <v>3.75</v>
      </c>
      <c r="H305" s="5"/>
      <c r="I305" s="5">
        <v>308</v>
      </c>
      <c r="J305" s="5"/>
      <c r="K305" s="5">
        <f t="shared" ref="K305:K321" si="18">IF(NOT(ISBLANK(G305)),SQRT((G305^2*1/I305)/(G305^2*1/I305+1)),IF(NOT(ISBLANK(H305)),SQRT((H305*I305/J305)/(H305*I305/J305+1)*SQRT(1/I305))))</f>
        <v>0.20895905128868367</v>
      </c>
      <c r="L305" s="5"/>
      <c r="M305" s="25" t="s">
        <v>676</v>
      </c>
      <c r="N305" s="25" t="s">
        <v>676</v>
      </c>
      <c r="O305" s="5" t="s">
        <v>613</v>
      </c>
    </row>
    <row r="306" spans="1:15" x14ac:dyDescent="0.25">
      <c r="A306" s="2" t="s">
        <v>208</v>
      </c>
      <c r="B306" s="2"/>
      <c r="C306" s="5">
        <v>245</v>
      </c>
      <c r="D306" s="5">
        <v>1</v>
      </c>
      <c r="E306" s="5">
        <v>0</v>
      </c>
      <c r="F306" s="5"/>
      <c r="G306" s="5">
        <v>1.57</v>
      </c>
      <c r="H306" s="5"/>
      <c r="I306" s="5">
        <v>308</v>
      </c>
      <c r="J306" s="5"/>
      <c r="K306" s="5">
        <f t="shared" si="18"/>
        <v>8.9103219964040886E-2</v>
      </c>
      <c r="L306" s="5"/>
      <c r="O306" s="5" t="s">
        <v>612</v>
      </c>
    </row>
    <row r="307" spans="1:15" x14ac:dyDescent="0.25">
      <c r="A307" s="2" t="s">
        <v>303</v>
      </c>
      <c r="B307" s="2"/>
      <c r="C307" s="5">
        <v>245</v>
      </c>
      <c r="D307" s="5">
        <v>1</v>
      </c>
      <c r="E307" s="5">
        <v>0</v>
      </c>
      <c r="F307" s="5"/>
      <c r="G307" s="5">
        <v>4.33</v>
      </c>
      <c r="H307" s="5"/>
      <c r="I307" s="5">
        <v>308</v>
      </c>
      <c r="J307" s="5"/>
      <c r="K307" s="5">
        <f t="shared" si="18"/>
        <v>0.23954153556936383</v>
      </c>
      <c r="L307" s="5"/>
      <c r="M307" s="25" t="s">
        <v>676</v>
      </c>
      <c r="N307" s="25" t="s">
        <v>676</v>
      </c>
      <c r="O307" s="5" t="s">
        <v>614</v>
      </c>
    </row>
    <row r="308" spans="1:15" x14ac:dyDescent="0.25">
      <c r="A308" s="2" t="s">
        <v>369</v>
      </c>
      <c r="B308" s="2"/>
      <c r="C308" s="5">
        <v>245</v>
      </c>
      <c r="D308" s="5">
        <v>1</v>
      </c>
      <c r="E308" s="5">
        <v>0</v>
      </c>
      <c r="F308" s="5"/>
      <c r="G308" s="5">
        <v>2.2599999999999998</v>
      </c>
      <c r="H308" s="5"/>
      <c r="I308" s="5">
        <v>308</v>
      </c>
      <c r="J308" s="5"/>
      <c r="K308" s="5">
        <f t="shared" si="18"/>
        <v>0.12772080127990235</v>
      </c>
      <c r="L308" s="5"/>
      <c r="O308" s="5" t="s">
        <v>612</v>
      </c>
    </row>
    <row r="309" spans="1:15" x14ac:dyDescent="0.25">
      <c r="A309" s="2" t="s">
        <v>413</v>
      </c>
      <c r="B309" s="2"/>
      <c r="C309" s="5">
        <v>245</v>
      </c>
      <c r="D309" s="5">
        <v>1</v>
      </c>
      <c r="E309" s="5">
        <v>0</v>
      </c>
      <c r="F309" s="5"/>
      <c r="G309" s="5">
        <v>2.29</v>
      </c>
      <c r="H309" s="5"/>
      <c r="I309" s="5">
        <v>308</v>
      </c>
      <c r="J309" s="5"/>
      <c r="K309" s="5">
        <f t="shared" si="18"/>
        <v>0.12938800971494255</v>
      </c>
      <c r="L309" s="5"/>
      <c r="O309" s="5" t="s">
        <v>612</v>
      </c>
    </row>
    <row r="310" spans="1:15" x14ac:dyDescent="0.25">
      <c r="A310" s="2" t="s">
        <v>480</v>
      </c>
      <c r="B310" s="2"/>
      <c r="C310" s="5">
        <v>245</v>
      </c>
      <c r="D310" s="5">
        <v>1</v>
      </c>
      <c r="E310" s="5">
        <v>0</v>
      </c>
      <c r="F310" s="5"/>
      <c r="G310" s="5">
        <v>4.42</v>
      </c>
      <c r="H310" s="5"/>
      <c r="I310" s="5">
        <v>308</v>
      </c>
      <c r="J310" s="5"/>
      <c r="K310" s="5">
        <f t="shared" si="18"/>
        <v>0.24422633019073403</v>
      </c>
      <c r="L310" s="5"/>
      <c r="O310" s="5" t="s">
        <v>612</v>
      </c>
    </row>
    <row r="311" spans="1:15" x14ac:dyDescent="0.25">
      <c r="A311" s="2" t="s">
        <v>66</v>
      </c>
      <c r="B311" s="2"/>
      <c r="C311" s="5">
        <v>250</v>
      </c>
      <c r="D311" s="5">
        <v>1</v>
      </c>
      <c r="E311" s="5">
        <v>0</v>
      </c>
      <c r="F311" s="5">
        <v>0</v>
      </c>
      <c r="G311" s="5"/>
      <c r="H311" s="5"/>
      <c r="I311" s="5"/>
      <c r="J311" s="5"/>
      <c r="K311" s="5" t="b">
        <f t="shared" si="18"/>
        <v>0</v>
      </c>
      <c r="L311" s="5"/>
      <c r="O311" s="5"/>
    </row>
    <row r="312" spans="1:15" x14ac:dyDescent="0.25">
      <c r="A312" s="2" t="s">
        <v>66</v>
      </c>
      <c r="B312" s="2"/>
      <c r="C312" s="5">
        <v>250</v>
      </c>
      <c r="D312" s="5">
        <v>1</v>
      </c>
      <c r="E312" s="5">
        <v>1</v>
      </c>
      <c r="F312" s="5">
        <v>0</v>
      </c>
      <c r="G312" s="5"/>
      <c r="H312" s="5"/>
      <c r="I312" s="5"/>
      <c r="J312" s="5"/>
      <c r="K312" s="5" t="b">
        <f t="shared" si="18"/>
        <v>0</v>
      </c>
      <c r="L312" s="5"/>
      <c r="O312" s="5"/>
    </row>
    <row r="313" spans="1:15" x14ac:dyDescent="0.25">
      <c r="A313" s="2" t="s">
        <v>414</v>
      </c>
      <c r="B313" s="2"/>
      <c r="C313" s="5">
        <v>250</v>
      </c>
      <c r="D313" s="5">
        <v>1</v>
      </c>
      <c r="E313" s="5">
        <v>0</v>
      </c>
      <c r="F313" s="5">
        <v>0</v>
      </c>
      <c r="G313" s="5"/>
      <c r="H313" s="5"/>
      <c r="I313" s="5"/>
      <c r="J313" s="5"/>
      <c r="K313" s="5" t="b">
        <f t="shared" si="18"/>
        <v>0</v>
      </c>
      <c r="L313" s="5"/>
      <c r="O313" s="5"/>
    </row>
    <row r="314" spans="1:15" x14ac:dyDescent="0.25">
      <c r="A314" s="2" t="s">
        <v>447</v>
      </c>
      <c r="B314" s="2"/>
      <c r="C314" s="5">
        <v>250</v>
      </c>
      <c r="D314" s="5">
        <v>1</v>
      </c>
      <c r="E314" s="5">
        <v>0</v>
      </c>
      <c r="F314" s="5">
        <v>0</v>
      </c>
      <c r="G314" s="5"/>
      <c r="H314" s="5"/>
      <c r="I314" s="5"/>
      <c r="J314" s="5"/>
      <c r="K314" s="5" t="b">
        <f t="shared" si="18"/>
        <v>0</v>
      </c>
      <c r="L314" s="5"/>
      <c r="O314" s="5"/>
    </row>
    <row r="315" spans="1:15" x14ac:dyDescent="0.25">
      <c r="A315" s="2" t="s">
        <v>67</v>
      </c>
      <c r="B315" s="2"/>
      <c r="C315" s="5">
        <v>254</v>
      </c>
      <c r="D315" s="5">
        <v>1</v>
      </c>
      <c r="E315" s="5">
        <v>0</v>
      </c>
      <c r="F315" s="5"/>
      <c r="G315" s="5">
        <v>6.17</v>
      </c>
      <c r="H315" s="5"/>
      <c r="I315" s="5">
        <v>323</v>
      </c>
      <c r="J315" s="5"/>
      <c r="K315" s="5">
        <f t="shared" si="18"/>
        <v>0.32470585711056399</v>
      </c>
      <c r="L315" s="5"/>
      <c r="M315" s="25">
        <v>0</v>
      </c>
      <c r="N315" s="25">
        <v>0</v>
      </c>
      <c r="O315" s="5"/>
    </row>
    <row r="316" spans="1:15" x14ac:dyDescent="0.25">
      <c r="A316" s="2" t="s">
        <v>68</v>
      </c>
      <c r="B316" s="2"/>
      <c r="C316" s="5">
        <v>255</v>
      </c>
      <c r="D316" s="5">
        <v>1</v>
      </c>
      <c r="E316" s="5">
        <v>0</v>
      </c>
      <c r="F316" s="5">
        <v>0</v>
      </c>
      <c r="G316" s="5"/>
      <c r="H316" s="5"/>
      <c r="I316" s="5"/>
      <c r="J316" s="5"/>
      <c r="K316" s="5" t="b">
        <f t="shared" si="18"/>
        <v>0</v>
      </c>
      <c r="L316" s="5"/>
      <c r="M316" s="25" t="s">
        <v>676</v>
      </c>
      <c r="N316" s="25" t="s">
        <v>676</v>
      </c>
      <c r="O316" t="s">
        <v>602</v>
      </c>
    </row>
    <row r="317" spans="1:15" x14ac:dyDescent="0.25">
      <c r="A317" s="2" t="s">
        <v>209</v>
      </c>
      <c r="B317" s="2"/>
      <c r="C317" s="5">
        <v>255</v>
      </c>
      <c r="D317" s="5">
        <v>1</v>
      </c>
      <c r="E317" s="5">
        <v>0</v>
      </c>
      <c r="F317" s="5">
        <v>0</v>
      </c>
      <c r="G317" s="5"/>
      <c r="H317" s="5"/>
      <c r="I317" s="5"/>
      <c r="J317" s="5"/>
      <c r="K317" s="5" t="b">
        <f t="shared" si="18"/>
        <v>0</v>
      </c>
      <c r="L317" s="5"/>
      <c r="M317" s="25">
        <v>0</v>
      </c>
      <c r="N317" s="25">
        <v>0</v>
      </c>
      <c r="O317" s="5"/>
    </row>
    <row r="318" spans="1:15" x14ac:dyDescent="0.25">
      <c r="A318" s="2" t="s">
        <v>304</v>
      </c>
      <c r="B318" s="2"/>
      <c r="C318" s="5">
        <v>255</v>
      </c>
      <c r="D318" s="5">
        <v>1</v>
      </c>
      <c r="E318" s="5">
        <v>0</v>
      </c>
      <c r="F318" s="5">
        <v>0</v>
      </c>
      <c r="G318" s="5"/>
      <c r="H318" s="5"/>
      <c r="I318" s="5"/>
      <c r="J318" s="5"/>
      <c r="K318" s="5" t="b">
        <f t="shared" si="18"/>
        <v>0</v>
      </c>
      <c r="L318" s="5"/>
      <c r="M318" s="25" t="s">
        <v>676</v>
      </c>
      <c r="N318" s="25" t="s">
        <v>676</v>
      </c>
      <c r="O318" t="s">
        <v>602</v>
      </c>
    </row>
    <row r="319" spans="1:15" x14ac:dyDescent="0.25">
      <c r="A319" s="2" t="s">
        <v>370</v>
      </c>
      <c r="B319" s="2"/>
      <c r="C319" s="5">
        <v>255</v>
      </c>
      <c r="D319" s="5">
        <v>1</v>
      </c>
      <c r="E319" s="5">
        <v>0</v>
      </c>
      <c r="F319" s="5">
        <v>0</v>
      </c>
      <c r="G319" s="5"/>
      <c r="H319" s="5"/>
      <c r="I319" s="5"/>
      <c r="J319" s="5"/>
      <c r="K319" s="5" t="b">
        <f t="shared" si="18"/>
        <v>0</v>
      </c>
      <c r="L319" s="5"/>
      <c r="M319" s="25" t="s">
        <v>676</v>
      </c>
      <c r="N319" s="25" t="s">
        <v>676</v>
      </c>
      <c r="O319" t="s">
        <v>602</v>
      </c>
    </row>
    <row r="320" spans="1:15" x14ac:dyDescent="0.25">
      <c r="A320" s="2" t="s">
        <v>415</v>
      </c>
      <c r="B320" s="2"/>
      <c r="C320" s="5">
        <v>255</v>
      </c>
      <c r="D320" s="5">
        <v>1</v>
      </c>
      <c r="E320" s="5">
        <v>0</v>
      </c>
      <c r="F320" s="5">
        <v>0</v>
      </c>
      <c r="G320" s="5"/>
      <c r="H320" s="5"/>
      <c r="I320" s="5"/>
      <c r="J320" s="5"/>
      <c r="K320" s="5" t="b">
        <f t="shared" si="18"/>
        <v>0</v>
      </c>
      <c r="L320" s="5"/>
      <c r="M320" s="25">
        <v>0</v>
      </c>
      <c r="N320" s="25">
        <v>0</v>
      </c>
      <c r="O320" s="5"/>
    </row>
    <row r="321" spans="1:15" x14ac:dyDescent="0.25">
      <c r="A321" s="2" t="s">
        <v>448</v>
      </c>
      <c r="B321" s="2"/>
      <c r="C321" s="5">
        <v>255</v>
      </c>
      <c r="D321" s="5">
        <v>0</v>
      </c>
      <c r="E321" s="5">
        <v>0</v>
      </c>
      <c r="F321" s="5"/>
      <c r="G321" s="5"/>
      <c r="H321" s="5"/>
      <c r="I321" s="5"/>
      <c r="J321" s="5"/>
      <c r="K321" s="5" t="b">
        <f t="shared" si="18"/>
        <v>0</v>
      </c>
      <c r="L321" s="5"/>
      <c r="O321" s="5"/>
    </row>
    <row r="322" spans="1:15" x14ac:dyDescent="0.25">
      <c r="A322" s="2" t="s">
        <v>481</v>
      </c>
      <c r="B322" s="2"/>
      <c r="C322" s="5">
        <v>255</v>
      </c>
      <c r="D322" s="5">
        <v>0</v>
      </c>
      <c r="E322" s="5">
        <v>0</v>
      </c>
      <c r="F322" s="5"/>
      <c r="G322" s="5"/>
      <c r="H322" s="5"/>
      <c r="I322" s="5"/>
      <c r="J322" s="5"/>
      <c r="K322" s="5" t="b">
        <f t="shared" ref="K322:K324" si="19">IF(NOT(ISBLANK(G322)),SQRT((G322^2*1/I322)/(G322^2*1/I322+1)),IF(NOT(ISBLANK(H322)),SQRT((H322*I322/J322)/(H322*I322/J322+1)*SQRT(1/I322))))</f>
        <v>0</v>
      </c>
      <c r="L322" s="5"/>
      <c r="O322" s="5"/>
    </row>
    <row r="323" spans="1:15" x14ac:dyDescent="0.25">
      <c r="A323" s="2" t="s">
        <v>503</v>
      </c>
      <c r="B323" s="2"/>
      <c r="C323" s="5">
        <v>255</v>
      </c>
      <c r="D323" s="5">
        <v>0</v>
      </c>
      <c r="E323" s="5">
        <v>0</v>
      </c>
      <c r="F323" s="5"/>
      <c r="G323" s="5"/>
      <c r="H323" s="5"/>
      <c r="I323" s="5"/>
      <c r="J323" s="5"/>
      <c r="K323" s="5" t="b">
        <f t="shared" si="19"/>
        <v>0</v>
      </c>
      <c r="L323" s="5"/>
      <c r="O323" s="5"/>
    </row>
    <row r="324" spans="1:15" x14ac:dyDescent="0.25">
      <c r="A324" s="2" t="s">
        <v>69</v>
      </c>
      <c r="B324" s="2"/>
      <c r="C324" s="5">
        <v>260</v>
      </c>
      <c r="D324" s="5">
        <v>1</v>
      </c>
      <c r="E324" s="5">
        <v>0</v>
      </c>
      <c r="F324" s="5"/>
      <c r="G324" s="5"/>
      <c r="H324" s="5">
        <v>6.556</v>
      </c>
      <c r="I324" s="5">
        <v>1</v>
      </c>
      <c r="J324" s="5">
        <v>54</v>
      </c>
      <c r="K324" s="5">
        <f t="shared" si="19"/>
        <v>0.32903407967798254</v>
      </c>
      <c r="L324" s="5"/>
      <c r="M324" s="25" t="s">
        <v>676</v>
      </c>
      <c r="N324" s="25" t="s">
        <v>676</v>
      </c>
      <c r="O324" s="5" t="s">
        <v>602</v>
      </c>
    </row>
    <row r="325" spans="1:15" x14ac:dyDescent="0.25">
      <c r="A325" s="2" t="s">
        <v>210</v>
      </c>
      <c r="B325" s="2"/>
      <c r="C325" s="5">
        <v>262</v>
      </c>
      <c r="D325" s="5">
        <v>1</v>
      </c>
      <c r="E325" s="5">
        <v>0</v>
      </c>
      <c r="F325" s="5"/>
      <c r="G325" s="5"/>
      <c r="H325" s="5"/>
      <c r="I325" s="5"/>
      <c r="J325" s="5"/>
      <c r="K325" s="5">
        <v>-0.16</v>
      </c>
      <c r="L325" s="5"/>
      <c r="O325" s="5" t="s">
        <v>615</v>
      </c>
    </row>
    <row r="326" spans="1:15" x14ac:dyDescent="0.25">
      <c r="A326" s="2" t="s">
        <v>305</v>
      </c>
      <c r="B326" s="2"/>
      <c r="C326" s="5">
        <v>262</v>
      </c>
      <c r="D326" s="5">
        <v>1</v>
      </c>
      <c r="E326" s="5">
        <v>0</v>
      </c>
      <c r="F326" s="5"/>
      <c r="G326" s="5"/>
      <c r="H326" s="5"/>
      <c r="I326" s="5"/>
      <c r="J326" s="5"/>
      <c r="K326" s="5">
        <v>0.14000000000000001</v>
      </c>
      <c r="L326" s="5"/>
      <c r="O326" s="5"/>
    </row>
    <row r="327" spans="1:15" x14ac:dyDescent="0.25">
      <c r="A327" s="2" t="s">
        <v>416</v>
      </c>
      <c r="B327" s="2"/>
      <c r="C327" s="5">
        <v>262</v>
      </c>
      <c r="D327" s="5">
        <v>1</v>
      </c>
      <c r="E327" s="5">
        <v>0</v>
      </c>
      <c r="F327" s="5"/>
      <c r="G327" s="5"/>
      <c r="H327" s="5"/>
      <c r="I327" s="5"/>
      <c r="J327" s="5"/>
      <c r="K327" s="5">
        <v>0.18</v>
      </c>
      <c r="L327" s="5"/>
      <c r="O327" s="5"/>
    </row>
    <row r="328" spans="1:15" x14ac:dyDescent="0.25">
      <c r="A328" s="2" t="s">
        <v>449</v>
      </c>
      <c r="B328" s="2"/>
      <c r="C328" s="5">
        <v>262</v>
      </c>
      <c r="D328" s="5">
        <v>1</v>
      </c>
      <c r="E328" s="5">
        <v>0</v>
      </c>
      <c r="F328" s="5"/>
      <c r="G328" s="5"/>
      <c r="H328" s="5"/>
      <c r="I328" s="5"/>
      <c r="J328" s="5"/>
      <c r="K328" s="5">
        <v>7.0000000000000007E-2</v>
      </c>
      <c r="L328" s="5"/>
      <c r="O328" s="5"/>
    </row>
    <row r="329" spans="1:15" x14ac:dyDescent="0.25">
      <c r="A329" s="2" t="s">
        <v>482</v>
      </c>
      <c r="B329" s="2"/>
      <c r="C329" s="5">
        <v>262</v>
      </c>
      <c r="D329" s="5">
        <v>1</v>
      </c>
      <c r="E329" s="5">
        <v>0</v>
      </c>
      <c r="F329" s="5"/>
      <c r="G329" s="5"/>
      <c r="H329" s="5"/>
      <c r="I329" s="5"/>
      <c r="J329" s="5"/>
      <c r="K329" s="5">
        <v>0.21</v>
      </c>
      <c r="L329" s="5"/>
      <c r="O329" s="5"/>
    </row>
    <row r="330" spans="1:15" x14ac:dyDescent="0.25">
      <c r="A330" s="2" t="s">
        <v>504</v>
      </c>
      <c r="B330" s="2"/>
      <c r="C330" s="5">
        <v>262</v>
      </c>
      <c r="D330" s="5">
        <v>1</v>
      </c>
      <c r="E330" s="5">
        <v>0</v>
      </c>
      <c r="F330" s="5"/>
      <c r="G330" s="5"/>
      <c r="H330" s="5"/>
      <c r="I330" s="5"/>
      <c r="J330" s="5"/>
      <c r="K330" s="5">
        <v>0.27</v>
      </c>
      <c r="L330" s="5"/>
      <c r="O330" s="5"/>
    </row>
    <row r="331" spans="1:15" x14ac:dyDescent="0.25">
      <c r="A331" s="2" t="s">
        <v>505</v>
      </c>
      <c r="B331" s="2"/>
      <c r="C331" s="5">
        <v>262</v>
      </c>
      <c r="D331" s="5">
        <v>1</v>
      </c>
      <c r="E331" s="5">
        <v>0</v>
      </c>
      <c r="F331" s="5"/>
      <c r="G331" s="5"/>
      <c r="H331" s="5"/>
      <c r="I331" s="5"/>
      <c r="J331" s="5"/>
      <c r="K331" s="5">
        <v>0.11</v>
      </c>
      <c r="L331" s="5"/>
      <c r="O331" s="5"/>
    </row>
    <row r="332" spans="1:15" x14ac:dyDescent="0.25">
      <c r="A332" s="2" t="s">
        <v>536</v>
      </c>
      <c r="B332" s="2"/>
      <c r="C332" s="5">
        <v>262</v>
      </c>
      <c r="D332" s="5">
        <v>0</v>
      </c>
      <c r="E332" s="5">
        <v>0</v>
      </c>
      <c r="F332" s="5"/>
      <c r="G332" s="5"/>
      <c r="H332" s="5"/>
      <c r="I332" s="5"/>
      <c r="J332" s="5"/>
      <c r="K332" s="5" t="b">
        <v>0</v>
      </c>
      <c r="L332" s="5"/>
      <c r="O332" s="5"/>
    </row>
    <row r="333" spans="1:15" x14ac:dyDescent="0.25">
      <c r="A333" s="2" t="s">
        <v>551</v>
      </c>
      <c r="B333" s="2"/>
      <c r="C333" s="5">
        <v>262</v>
      </c>
      <c r="D333" s="5">
        <v>1</v>
      </c>
      <c r="E333" s="5">
        <v>0</v>
      </c>
      <c r="F333" s="5"/>
      <c r="G333" s="5"/>
      <c r="H333" s="5"/>
      <c r="I333" s="5"/>
      <c r="J333" s="5"/>
      <c r="K333" s="5">
        <v>-0.19</v>
      </c>
      <c r="L333" s="5"/>
      <c r="O333" s="5"/>
    </row>
    <row r="334" spans="1:15" x14ac:dyDescent="0.25">
      <c r="A334" s="2" t="s">
        <v>560</v>
      </c>
      <c r="B334" s="2"/>
      <c r="C334" s="5">
        <v>262</v>
      </c>
      <c r="D334" s="5">
        <v>0</v>
      </c>
      <c r="E334" s="5">
        <v>0</v>
      </c>
      <c r="F334" s="5"/>
      <c r="G334" s="5"/>
      <c r="H334" s="5"/>
      <c r="I334" s="5"/>
      <c r="J334" s="5"/>
      <c r="K334" s="5" t="b">
        <f t="shared" ref="K334:K339" si="20">IF(NOT(ISBLANK(G334)),SQRT((G334^2*1/I334)/(G334^2*1/I334+1)),IF(NOT(ISBLANK(H334)),SQRT((H334*I334/J334)/(H334*I334/J334+1)*SQRT(1/I334))))</f>
        <v>0</v>
      </c>
      <c r="L334" s="5"/>
      <c r="O334" s="5"/>
    </row>
    <row r="335" spans="1:15" x14ac:dyDescent="0.25">
      <c r="A335" s="2" t="s">
        <v>560</v>
      </c>
      <c r="B335" s="2"/>
      <c r="C335" s="5">
        <v>262</v>
      </c>
      <c r="D335" s="5">
        <v>0</v>
      </c>
      <c r="E335" s="5">
        <v>1</v>
      </c>
      <c r="F335" s="5"/>
      <c r="G335" s="5"/>
      <c r="H335" s="5"/>
      <c r="I335" s="5"/>
      <c r="J335" s="5"/>
      <c r="K335" s="5" t="b">
        <f t="shared" si="20"/>
        <v>0</v>
      </c>
      <c r="L335" s="5"/>
      <c r="O335" s="5"/>
    </row>
    <row r="336" spans="1:15" x14ac:dyDescent="0.25">
      <c r="A336" s="2" t="s">
        <v>70</v>
      </c>
      <c r="B336" s="2"/>
      <c r="C336" s="5">
        <v>263</v>
      </c>
      <c r="D336" s="5">
        <v>1</v>
      </c>
      <c r="E336" s="5">
        <v>0</v>
      </c>
      <c r="F336" s="5"/>
      <c r="G336" s="5"/>
      <c r="H336" s="5">
        <v>8.59</v>
      </c>
      <c r="I336" s="5">
        <v>1</v>
      </c>
      <c r="J336" s="5">
        <v>214</v>
      </c>
      <c r="K336" s="5">
        <f t="shared" si="20"/>
        <v>0.19644625645981253</v>
      </c>
      <c r="L336" s="5"/>
      <c r="M336" s="25">
        <v>0</v>
      </c>
      <c r="O336" s="5"/>
    </row>
    <row r="337" spans="1:15" x14ac:dyDescent="0.25">
      <c r="A337" s="2" t="s">
        <v>71</v>
      </c>
      <c r="B337" s="2"/>
      <c r="C337" s="5">
        <v>264</v>
      </c>
      <c r="D337" s="5">
        <v>1</v>
      </c>
      <c r="E337" s="5">
        <v>0</v>
      </c>
      <c r="F337" s="5"/>
      <c r="G337" s="5">
        <v>43.331000000000003</v>
      </c>
      <c r="H337" s="5"/>
      <c r="I337" s="5">
        <v>1507</v>
      </c>
      <c r="J337" s="5"/>
      <c r="K337" s="5">
        <f t="shared" si="20"/>
        <v>0.74481189645205104</v>
      </c>
      <c r="L337" s="5"/>
      <c r="M337" s="25" t="s">
        <v>676</v>
      </c>
      <c r="N337" s="25" t="s">
        <v>676</v>
      </c>
      <c r="O337" s="5" t="s">
        <v>616</v>
      </c>
    </row>
    <row r="338" spans="1:15" x14ac:dyDescent="0.25">
      <c r="A338" s="2" t="s">
        <v>211</v>
      </c>
      <c r="B338" s="2"/>
      <c r="C338" s="5">
        <v>264</v>
      </c>
      <c r="D338" s="5">
        <v>1</v>
      </c>
      <c r="E338" s="5">
        <v>0</v>
      </c>
      <c r="F338" s="5"/>
      <c r="G338" s="5">
        <v>5.6</v>
      </c>
      <c r="H338" s="5"/>
      <c r="I338" s="5">
        <v>1700</v>
      </c>
      <c r="J338" s="5"/>
      <c r="K338" s="5">
        <f t="shared" si="20"/>
        <v>0.13458428052647028</v>
      </c>
      <c r="L338" s="5"/>
      <c r="M338" s="25">
        <v>0</v>
      </c>
      <c r="N338" s="25">
        <v>0</v>
      </c>
      <c r="O338" s="5"/>
    </row>
    <row r="339" spans="1:15" x14ac:dyDescent="0.25">
      <c r="A339" s="2" t="s">
        <v>306</v>
      </c>
      <c r="B339" s="2"/>
      <c r="C339" s="5">
        <v>264</v>
      </c>
      <c r="D339" s="5">
        <v>0</v>
      </c>
      <c r="E339" s="5">
        <v>0</v>
      </c>
      <c r="F339" s="5"/>
      <c r="G339" s="5"/>
      <c r="H339" s="5"/>
      <c r="I339" s="5"/>
      <c r="J339" s="5"/>
      <c r="K339" s="5" t="b">
        <f t="shared" si="20"/>
        <v>0</v>
      </c>
      <c r="L339" s="5"/>
      <c r="O339" s="5"/>
    </row>
    <row r="340" spans="1:15" x14ac:dyDescent="0.25">
      <c r="A340" s="2" t="s">
        <v>371</v>
      </c>
      <c r="B340" s="2"/>
      <c r="C340" s="5">
        <v>264</v>
      </c>
      <c r="D340" s="5">
        <v>1</v>
      </c>
      <c r="E340" s="5">
        <v>0</v>
      </c>
      <c r="F340" s="5"/>
      <c r="G340" s="5"/>
      <c r="H340" s="5"/>
      <c r="I340" s="5"/>
      <c r="J340" s="5"/>
      <c r="K340" s="5">
        <v>0.04</v>
      </c>
      <c r="L340" s="5"/>
      <c r="O340" s="5"/>
    </row>
    <row r="341" spans="1:15" x14ac:dyDescent="0.25">
      <c r="A341" s="2" t="s">
        <v>72</v>
      </c>
      <c r="B341" s="2"/>
      <c r="C341" s="5">
        <v>266</v>
      </c>
      <c r="D341" s="5">
        <v>1</v>
      </c>
      <c r="E341" s="5">
        <v>0</v>
      </c>
      <c r="F341" s="5"/>
      <c r="G341" s="5"/>
      <c r="H341" s="5">
        <v>48.44</v>
      </c>
      <c r="I341" s="5">
        <v>3</v>
      </c>
      <c r="J341" s="5">
        <v>541</v>
      </c>
      <c r="K341" s="5">
        <f t="shared" ref="K341:K349" si="21">IF(NOT(ISBLANK(G341)),SQRT((G341^2*1/I341)/(G341^2*1/I341+1)),IF(NOT(ISBLANK(H341)),SQRT((H341*I341/J341)/(H341*I341/J341+1)*SQRT(1/I341))))</f>
        <v>0.34963834311135183</v>
      </c>
      <c r="L341" s="5"/>
      <c r="M341" s="25">
        <v>0</v>
      </c>
      <c r="N341" s="25">
        <v>0</v>
      </c>
      <c r="O341" s="5"/>
    </row>
    <row r="342" spans="1:15" x14ac:dyDescent="0.25">
      <c r="A342" s="2" t="s">
        <v>212</v>
      </c>
      <c r="B342" s="2"/>
      <c r="C342" s="5">
        <v>268</v>
      </c>
      <c r="D342" s="5">
        <v>0</v>
      </c>
      <c r="E342" s="5">
        <v>0</v>
      </c>
      <c r="F342" s="5"/>
      <c r="G342" s="5"/>
      <c r="H342" s="5"/>
      <c r="I342" s="5"/>
      <c r="J342" s="5"/>
      <c r="K342" s="5" t="b">
        <f t="shared" si="21"/>
        <v>0</v>
      </c>
      <c r="L342" s="5"/>
      <c r="O342" s="5"/>
    </row>
    <row r="343" spans="1:15" x14ac:dyDescent="0.25">
      <c r="A343" s="2" t="s">
        <v>73</v>
      </c>
      <c r="B343" s="2"/>
      <c r="C343" s="5">
        <v>271</v>
      </c>
      <c r="D343" s="5">
        <v>1</v>
      </c>
      <c r="E343" s="5">
        <v>0</v>
      </c>
      <c r="F343" s="5"/>
      <c r="G343" s="5"/>
      <c r="H343" s="5">
        <v>5.5</v>
      </c>
      <c r="I343" s="5">
        <v>1</v>
      </c>
      <c r="J343" s="5">
        <v>420.73</v>
      </c>
      <c r="K343" s="5">
        <f t="shared" si="21"/>
        <v>0.11359503186675939</v>
      </c>
      <c r="L343" s="5"/>
      <c r="M343" s="25">
        <v>0</v>
      </c>
      <c r="N343" s="25">
        <v>0</v>
      </c>
      <c r="O343" s="5"/>
    </row>
    <row r="344" spans="1:15" x14ac:dyDescent="0.25">
      <c r="A344" s="2" t="s">
        <v>74</v>
      </c>
      <c r="B344" s="2"/>
      <c r="C344" s="5">
        <v>273</v>
      </c>
      <c r="D344" s="5">
        <v>1</v>
      </c>
      <c r="E344" s="5">
        <v>0</v>
      </c>
      <c r="F344" s="5"/>
      <c r="G344" s="5">
        <v>5.15</v>
      </c>
      <c r="H344" s="5"/>
      <c r="I344" s="5">
        <v>203.9</v>
      </c>
      <c r="J344" s="5"/>
      <c r="K344" s="5">
        <f t="shared" si="21"/>
        <v>0.33926947513431283</v>
      </c>
      <c r="L344" s="5"/>
      <c r="M344" s="25">
        <v>0</v>
      </c>
      <c r="N344" s="25">
        <v>0</v>
      </c>
      <c r="O344" s="5"/>
    </row>
    <row r="345" spans="1:15" x14ac:dyDescent="0.25">
      <c r="A345" s="2" t="s">
        <v>213</v>
      </c>
      <c r="B345" s="2"/>
      <c r="C345" s="5">
        <v>273</v>
      </c>
      <c r="D345" s="5">
        <v>1</v>
      </c>
      <c r="E345" s="5">
        <v>0</v>
      </c>
      <c r="F345" s="5">
        <v>0</v>
      </c>
      <c r="G345" s="5"/>
      <c r="H345" s="5"/>
      <c r="I345" s="5"/>
      <c r="J345" s="5"/>
      <c r="K345" s="5" t="b">
        <f t="shared" si="21"/>
        <v>0</v>
      </c>
      <c r="L345" s="5"/>
      <c r="O345" s="5"/>
    </row>
    <row r="346" spans="1:15" x14ac:dyDescent="0.25">
      <c r="A346" s="2" t="s">
        <v>690</v>
      </c>
      <c r="B346" s="2"/>
      <c r="C346" s="5">
        <v>276</v>
      </c>
      <c r="D346" s="5">
        <v>1</v>
      </c>
      <c r="E346" s="5">
        <v>0</v>
      </c>
      <c r="F346" s="5"/>
      <c r="G346" s="5">
        <v>-2.15</v>
      </c>
      <c r="H346" s="5"/>
      <c r="I346" s="5">
        <v>482</v>
      </c>
      <c r="J346" s="5"/>
      <c r="K346" s="5">
        <f t="shared" si="21"/>
        <v>9.7463581668252725E-2</v>
      </c>
      <c r="L346" s="5"/>
      <c r="M346" s="25">
        <v>0</v>
      </c>
      <c r="N346" s="25">
        <v>0</v>
      </c>
      <c r="O346" s="5"/>
    </row>
    <row r="347" spans="1:15" x14ac:dyDescent="0.25">
      <c r="A347" s="2" t="s">
        <v>214</v>
      </c>
      <c r="B347" s="2"/>
      <c r="C347" s="5">
        <v>276</v>
      </c>
      <c r="D347" s="5">
        <v>1</v>
      </c>
      <c r="E347" s="5">
        <v>0</v>
      </c>
      <c r="F347" s="5"/>
      <c r="G347" s="5">
        <v>-1.98</v>
      </c>
      <c r="H347" s="5"/>
      <c r="I347" s="5">
        <v>482</v>
      </c>
      <c r="J347" s="5"/>
      <c r="K347" s="5">
        <f t="shared" si="21"/>
        <v>8.9821979995045834E-2</v>
      </c>
      <c r="L347" s="5"/>
      <c r="M347" s="25">
        <v>0</v>
      </c>
      <c r="N347" s="25">
        <v>0</v>
      </c>
      <c r="O347" s="5"/>
    </row>
    <row r="348" spans="1:15" x14ac:dyDescent="0.25">
      <c r="A348" s="2" t="s">
        <v>691</v>
      </c>
      <c r="B348" s="2"/>
      <c r="C348" s="5">
        <v>276</v>
      </c>
      <c r="D348" s="5">
        <v>2</v>
      </c>
      <c r="E348" s="5">
        <v>0</v>
      </c>
      <c r="F348" s="5">
        <v>0</v>
      </c>
      <c r="G348" s="5"/>
      <c r="H348" s="5"/>
      <c r="I348" s="5"/>
      <c r="J348" s="5"/>
      <c r="K348" s="5" t="b">
        <f t="shared" si="21"/>
        <v>0</v>
      </c>
      <c r="L348" s="5"/>
      <c r="O348" s="5"/>
    </row>
    <row r="349" spans="1:15" x14ac:dyDescent="0.25">
      <c r="A349" s="2" t="s">
        <v>372</v>
      </c>
      <c r="B349" s="2"/>
      <c r="C349" s="5">
        <v>276</v>
      </c>
      <c r="D349" s="5">
        <v>1</v>
      </c>
      <c r="E349" s="5">
        <v>1</v>
      </c>
      <c r="F349" s="5">
        <v>0</v>
      </c>
      <c r="G349" s="5"/>
      <c r="H349" s="5"/>
      <c r="I349" s="5"/>
      <c r="J349" s="5"/>
      <c r="K349" s="5" t="b">
        <f t="shared" si="21"/>
        <v>0</v>
      </c>
      <c r="L349" s="5"/>
      <c r="O349" s="5"/>
    </row>
    <row r="350" spans="1:15" x14ac:dyDescent="0.25">
      <c r="A350" s="2" t="s">
        <v>215</v>
      </c>
      <c r="B350" s="2" t="s">
        <v>617</v>
      </c>
      <c r="C350" s="5">
        <v>280</v>
      </c>
      <c r="D350" s="5">
        <v>1</v>
      </c>
      <c r="E350" s="5">
        <v>0</v>
      </c>
      <c r="F350" s="5">
        <v>0</v>
      </c>
      <c r="G350" s="5">
        <v>2.69</v>
      </c>
      <c r="H350" s="5"/>
      <c r="I350" s="5">
        <v>354</v>
      </c>
      <c r="J350" s="5"/>
      <c r="K350" s="5">
        <f t="shared" ref="K350:K352" si="22">IF(NOT(ISBLANK(G350)),SQRT((G350^2*1/I350)/(G350^2*1/I350+1)),IF(NOT(ISBLANK(H350)),SQRT((H350*I350/J350)/(H350*I350/J350+1)*SQRT(1/I350))))</f>
        <v>0.14153267257320243</v>
      </c>
      <c r="L350" s="5"/>
      <c r="O350" s="5"/>
    </row>
    <row r="351" spans="1:15" x14ac:dyDescent="0.25">
      <c r="A351" s="2" t="s">
        <v>75</v>
      </c>
      <c r="B351" s="2"/>
      <c r="C351" s="5">
        <v>282</v>
      </c>
      <c r="D351" s="5">
        <v>1</v>
      </c>
      <c r="E351" s="5">
        <v>0</v>
      </c>
      <c r="F351" s="5">
        <v>0</v>
      </c>
      <c r="G351" s="5"/>
      <c r="H351" s="5"/>
      <c r="I351" s="5"/>
      <c r="J351" s="5"/>
      <c r="K351" s="5" t="b">
        <f t="shared" si="22"/>
        <v>0</v>
      </c>
      <c r="L351" s="5"/>
      <c r="O351" s="5"/>
    </row>
    <row r="352" spans="1:15" x14ac:dyDescent="0.25">
      <c r="A352" s="2" t="s">
        <v>216</v>
      </c>
      <c r="B352" s="2"/>
      <c r="C352" s="5">
        <v>282</v>
      </c>
      <c r="D352" s="5">
        <v>0</v>
      </c>
      <c r="E352" s="5">
        <v>0</v>
      </c>
      <c r="F352" s="5"/>
      <c r="G352" s="5"/>
      <c r="H352" s="5"/>
      <c r="I352" s="5"/>
      <c r="J352" s="5"/>
      <c r="K352" s="5" t="b">
        <f t="shared" si="22"/>
        <v>0</v>
      </c>
      <c r="L352" s="5"/>
      <c r="O352" s="5"/>
    </row>
    <row r="353" spans="1:15" x14ac:dyDescent="0.25">
      <c r="A353" s="2" t="s">
        <v>307</v>
      </c>
      <c r="B353" s="2"/>
      <c r="C353" s="5">
        <v>282</v>
      </c>
      <c r="D353" s="5">
        <v>1</v>
      </c>
      <c r="E353" s="5">
        <v>0</v>
      </c>
      <c r="F353" s="5"/>
      <c r="G353" s="5"/>
      <c r="H353" s="5"/>
      <c r="I353" s="5"/>
      <c r="J353" s="5"/>
      <c r="K353" s="5">
        <v>0.19</v>
      </c>
      <c r="L353" s="5"/>
      <c r="O353" s="5"/>
    </row>
    <row r="354" spans="1:15" x14ac:dyDescent="0.25">
      <c r="A354" s="2" t="s">
        <v>373</v>
      </c>
      <c r="B354" s="2"/>
      <c r="C354" s="5">
        <v>282</v>
      </c>
      <c r="D354" s="5">
        <v>1</v>
      </c>
      <c r="E354" s="5">
        <v>0</v>
      </c>
      <c r="F354" s="5"/>
      <c r="G354" s="5"/>
      <c r="H354" s="5"/>
      <c r="I354" s="5"/>
      <c r="J354" s="5"/>
      <c r="K354" s="5">
        <v>0.23</v>
      </c>
      <c r="L354" s="5"/>
      <c r="O354" s="5"/>
    </row>
    <row r="355" spans="1:15" x14ac:dyDescent="0.25">
      <c r="A355" s="2" t="s">
        <v>76</v>
      </c>
      <c r="B355" s="2"/>
      <c r="C355" s="5">
        <v>288</v>
      </c>
      <c r="D355" s="5">
        <v>1</v>
      </c>
      <c r="E355" s="5">
        <v>0</v>
      </c>
      <c r="F355" s="5">
        <v>0</v>
      </c>
      <c r="G355" s="5"/>
      <c r="H355" s="5"/>
      <c r="I355" s="5"/>
      <c r="J355" s="5"/>
      <c r="K355" s="5" t="b">
        <f t="shared" ref="K355:K356" si="23">IF(NOT(ISBLANK(G355)),SQRT((G355^2*1/I355)/(G355^2*1/I355+1)),IF(NOT(ISBLANK(H355)),SQRT((H355*I355/J355)/(H355*I355/J355+1)*SQRT(1/I355))))</f>
        <v>0</v>
      </c>
      <c r="L355" s="5"/>
      <c r="O355" s="5" t="s">
        <v>618</v>
      </c>
    </row>
    <row r="356" spans="1:15" x14ac:dyDescent="0.25">
      <c r="A356" s="2" t="s">
        <v>217</v>
      </c>
      <c r="B356" s="2"/>
      <c r="C356" s="5">
        <v>288</v>
      </c>
      <c r="D356" s="5">
        <v>1</v>
      </c>
      <c r="E356" s="5">
        <v>0</v>
      </c>
      <c r="F356" s="5">
        <v>0</v>
      </c>
      <c r="G356" s="5"/>
      <c r="H356" s="5"/>
      <c r="I356" s="5"/>
      <c r="J356" s="5"/>
      <c r="K356" s="5" t="b">
        <f t="shared" si="23"/>
        <v>0</v>
      </c>
      <c r="L356" s="5"/>
      <c r="O356" s="5" t="s">
        <v>619</v>
      </c>
    </row>
    <row r="357" spans="1:15" x14ac:dyDescent="0.25">
      <c r="A357" s="2" t="s">
        <v>77</v>
      </c>
      <c r="B357" s="2"/>
      <c r="C357" s="5">
        <v>294</v>
      </c>
      <c r="D357" s="5">
        <v>1</v>
      </c>
      <c r="E357" s="5">
        <v>0</v>
      </c>
      <c r="F357" s="5"/>
      <c r="G357" s="5"/>
      <c r="H357" s="5">
        <v>0.01</v>
      </c>
      <c r="I357" s="5">
        <v>1</v>
      </c>
      <c r="J357" s="5">
        <v>46</v>
      </c>
      <c r="K357" s="5">
        <f t="shared" ref="K357:K367" si="24">IF(NOT(ISBLANK(G357)),SQRT((G357^2*1/I357)/(G357^2*1/I357+1)),IF(NOT(ISBLANK(H357)),SQRT((H357*I357/J357)/(H357*I357/J357+1)*SQRT(1/I357))))</f>
        <v>1.4742593246782544E-2</v>
      </c>
      <c r="L357" s="5"/>
      <c r="M357" s="25">
        <v>0</v>
      </c>
      <c r="N357" s="25">
        <v>0</v>
      </c>
      <c r="O357" s="5"/>
    </row>
    <row r="358" spans="1:15" x14ac:dyDescent="0.25">
      <c r="A358" s="2" t="s">
        <v>218</v>
      </c>
      <c r="B358" s="2"/>
      <c r="C358" s="5">
        <v>297</v>
      </c>
      <c r="D358" s="5">
        <v>1</v>
      </c>
      <c r="E358" s="5">
        <v>0</v>
      </c>
      <c r="F358" s="5"/>
      <c r="G358" s="5">
        <v>2.27</v>
      </c>
      <c r="H358" s="5"/>
      <c r="I358" s="5">
        <v>66</v>
      </c>
      <c r="J358" s="5"/>
      <c r="K358" s="5">
        <f t="shared" si="24"/>
        <v>0.26910982539979889</v>
      </c>
      <c r="L358" s="5"/>
      <c r="M358" s="25">
        <v>0</v>
      </c>
      <c r="N358" s="25">
        <v>0</v>
      </c>
      <c r="O358" s="5"/>
    </row>
    <row r="359" spans="1:15" x14ac:dyDescent="0.25">
      <c r="A359" s="2" t="s">
        <v>308</v>
      </c>
      <c r="B359" s="2"/>
      <c r="C359" s="5">
        <v>297</v>
      </c>
      <c r="D359" s="5">
        <v>1</v>
      </c>
      <c r="E359" s="5">
        <v>0</v>
      </c>
      <c r="F359" s="5">
        <v>0</v>
      </c>
      <c r="G359" s="5"/>
      <c r="H359" s="5"/>
      <c r="I359" s="5"/>
      <c r="J359" s="5"/>
      <c r="K359" s="5" t="b">
        <f t="shared" si="24"/>
        <v>0</v>
      </c>
      <c r="L359" s="5"/>
      <c r="O359" s="5"/>
    </row>
    <row r="360" spans="1:15" x14ac:dyDescent="0.25">
      <c r="A360" s="2" t="s">
        <v>374</v>
      </c>
      <c r="B360" s="2"/>
      <c r="C360" s="5">
        <v>297</v>
      </c>
      <c r="D360" s="5">
        <v>1</v>
      </c>
      <c r="E360" s="5">
        <v>0</v>
      </c>
      <c r="F360" s="5">
        <v>0</v>
      </c>
      <c r="G360" s="5"/>
      <c r="H360" s="5"/>
      <c r="I360" s="5"/>
      <c r="J360" s="5"/>
      <c r="K360" s="5" t="b">
        <f t="shared" si="24"/>
        <v>0</v>
      </c>
      <c r="L360" s="5"/>
      <c r="O360" s="5"/>
    </row>
    <row r="361" spans="1:15" x14ac:dyDescent="0.25">
      <c r="A361" s="2" t="s">
        <v>417</v>
      </c>
      <c r="B361" s="2"/>
      <c r="C361" s="5">
        <v>297</v>
      </c>
      <c r="D361" s="5">
        <v>1</v>
      </c>
      <c r="E361" s="5">
        <v>0</v>
      </c>
      <c r="F361" s="5">
        <v>0</v>
      </c>
      <c r="G361" s="5"/>
      <c r="H361" s="5"/>
      <c r="I361" s="5"/>
      <c r="J361" s="5"/>
      <c r="K361" s="5" t="b">
        <f t="shared" si="24"/>
        <v>0</v>
      </c>
      <c r="L361" s="5"/>
      <c r="O361" s="5"/>
    </row>
    <row r="362" spans="1:15" x14ac:dyDescent="0.25">
      <c r="A362" s="2" t="s">
        <v>450</v>
      </c>
      <c r="B362" s="2"/>
      <c r="C362" s="5">
        <v>297</v>
      </c>
      <c r="D362" s="5">
        <v>1</v>
      </c>
      <c r="E362" s="5">
        <v>1</v>
      </c>
      <c r="F362" s="5"/>
      <c r="G362" s="5">
        <v>2.27</v>
      </c>
      <c r="H362" s="5"/>
      <c r="I362" s="5">
        <v>66</v>
      </c>
      <c r="J362" s="5"/>
      <c r="K362" s="5">
        <f t="shared" si="24"/>
        <v>0.26910982539979889</v>
      </c>
      <c r="L362" s="5"/>
      <c r="M362" s="25">
        <v>0</v>
      </c>
      <c r="N362" s="25">
        <v>0</v>
      </c>
      <c r="O362" s="5" t="s">
        <v>620</v>
      </c>
    </row>
    <row r="363" spans="1:15" x14ac:dyDescent="0.25">
      <c r="A363" s="2" t="s">
        <v>308</v>
      </c>
      <c r="B363" s="2"/>
      <c r="C363" s="5">
        <v>297</v>
      </c>
      <c r="D363" s="5">
        <v>1</v>
      </c>
      <c r="E363" s="5">
        <v>1</v>
      </c>
      <c r="F363" s="5">
        <v>0</v>
      </c>
      <c r="G363" s="5"/>
      <c r="H363" s="5"/>
      <c r="I363" s="5"/>
      <c r="J363" s="5"/>
      <c r="K363" s="5" t="b">
        <f t="shared" si="24"/>
        <v>0</v>
      </c>
      <c r="L363" s="5"/>
      <c r="O363" s="5"/>
    </row>
    <row r="364" spans="1:15" x14ac:dyDescent="0.25">
      <c r="A364" s="2" t="s">
        <v>537</v>
      </c>
      <c r="B364" s="2"/>
      <c r="C364" s="5">
        <v>297</v>
      </c>
      <c r="D364" s="5">
        <v>1</v>
      </c>
      <c r="E364" s="5">
        <v>0</v>
      </c>
      <c r="F364" s="5">
        <v>0</v>
      </c>
      <c r="G364" s="5"/>
      <c r="H364" s="5"/>
      <c r="I364" s="5"/>
      <c r="J364" s="5"/>
      <c r="K364" s="5" t="b">
        <f t="shared" si="24"/>
        <v>0</v>
      </c>
      <c r="L364" s="5"/>
      <c r="O364" s="5"/>
    </row>
    <row r="365" spans="1:15" x14ac:dyDescent="0.25">
      <c r="A365" s="2" t="s">
        <v>78</v>
      </c>
      <c r="B365" s="2"/>
      <c r="C365" s="5">
        <v>298</v>
      </c>
      <c r="D365" s="5">
        <v>1</v>
      </c>
      <c r="E365" s="5">
        <v>0</v>
      </c>
      <c r="F365" s="5">
        <v>0</v>
      </c>
      <c r="G365" s="5"/>
      <c r="H365" s="5"/>
      <c r="I365" s="5"/>
      <c r="J365" s="5"/>
      <c r="K365" s="5" t="b">
        <f t="shared" si="24"/>
        <v>0</v>
      </c>
      <c r="L365" s="5"/>
      <c r="O365" s="5"/>
    </row>
    <row r="366" spans="1:15" x14ac:dyDescent="0.25">
      <c r="A366" s="2" t="s">
        <v>79</v>
      </c>
      <c r="B366" s="2"/>
      <c r="C366" s="5">
        <v>303</v>
      </c>
      <c r="D366" s="5">
        <v>1</v>
      </c>
      <c r="E366" s="5">
        <v>0</v>
      </c>
      <c r="F366" s="5"/>
      <c r="G366" s="5"/>
      <c r="H366" s="5">
        <v>7.5590000000000002</v>
      </c>
      <c r="I366" s="5">
        <v>1</v>
      </c>
      <c r="J366" s="5">
        <v>1496</v>
      </c>
      <c r="K366" s="5">
        <f t="shared" si="24"/>
        <v>7.0904195765302047E-2</v>
      </c>
      <c r="L366" s="5"/>
      <c r="M366" s="25">
        <v>0</v>
      </c>
      <c r="N366" s="25">
        <v>0</v>
      </c>
      <c r="O366" s="5"/>
    </row>
    <row r="367" spans="1:15" x14ac:dyDescent="0.25">
      <c r="A367" s="2" t="s">
        <v>219</v>
      </c>
      <c r="B367" s="2"/>
      <c r="C367" s="5">
        <v>303</v>
      </c>
      <c r="D367" s="5">
        <v>1</v>
      </c>
      <c r="E367" s="5">
        <v>0</v>
      </c>
      <c r="F367" s="5">
        <v>0</v>
      </c>
      <c r="G367" s="5"/>
      <c r="H367" s="5"/>
      <c r="I367" s="5"/>
      <c r="J367" s="5"/>
      <c r="K367" s="5" t="b">
        <f t="shared" si="24"/>
        <v>0</v>
      </c>
      <c r="L367" s="5"/>
      <c r="O367" s="5"/>
    </row>
    <row r="368" spans="1:15" x14ac:dyDescent="0.25">
      <c r="A368" s="2" t="s">
        <v>80</v>
      </c>
      <c r="B368" s="2"/>
      <c r="C368" s="5">
        <v>306</v>
      </c>
      <c r="D368" s="5">
        <v>3</v>
      </c>
      <c r="E368" s="5">
        <v>0</v>
      </c>
      <c r="F368" s="5"/>
      <c r="G368" s="5"/>
      <c r="H368" s="5"/>
      <c r="I368" s="5"/>
      <c r="J368" s="5"/>
      <c r="K368" s="5">
        <v>0.85</v>
      </c>
      <c r="L368" s="5"/>
      <c r="O368" s="5" t="s">
        <v>621</v>
      </c>
    </row>
    <row r="369" spans="1:15" x14ac:dyDescent="0.25">
      <c r="A369" s="2" t="s">
        <v>309</v>
      </c>
      <c r="B369" s="2"/>
      <c r="C369" s="5">
        <v>306</v>
      </c>
      <c r="D369" s="5">
        <v>1</v>
      </c>
      <c r="E369" s="5">
        <v>0</v>
      </c>
      <c r="F369" s="5">
        <v>0</v>
      </c>
      <c r="G369" s="5"/>
      <c r="H369" s="5"/>
      <c r="I369" s="5"/>
      <c r="J369" s="5"/>
      <c r="K369" s="5" t="b">
        <f>IF(NOT(ISBLANK(G369)),SQRT((G369^2*1/I369)/(G369^2*1/I369+1)),IF(NOT(ISBLANK(H369)),SQRT((H369*I369/J369)/(H369*I369/J369+1)*SQRT(1/I369))))</f>
        <v>0</v>
      </c>
      <c r="L369" s="5"/>
      <c r="O369" s="5"/>
    </row>
    <row r="370" spans="1:15" x14ac:dyDescent="0.25">
      <c r="A370" s="2" t="s">
        <v>81</v>
      </c>
      <c r="B370" s="2"/>
      <c r="C370" s="5">
        <v>313</v>
      </c>
      <c r="D370" s="5">
        <v>1</v>
      </c>
      <c r="E370" s="5">
        <v>0</v>
      </c>
      <c r="F370" s="5"/>
      <c r="G370" s="5"/>
      <c r="H370" s="5">
        <v>13.74</v>
      </c>
      <c r="I370" s="5">
        <v>3</v>
      </c>
      <c r="J370" s="5">
        <v>626</v>
      </c>
      <c r="K370" s="5">
        <f t="shared" ref="K370:K392" si="25">IF(NOT(ISBLANK(G370)),SQRT((G370^2*1/I370)/(G370^2*1/I370+1)),IF(NOT(ISBLANK(H370)),SQRT((H370*I370/J370)/(H370*I370/J370+1)*SQRT(1/I370))))</f>
        <v>0.18885963765432934</v>
      </c>
      <c r="L370" s="5"/>
      <c r="M370" s="25">
        <v>0</v>
      </c>
      <c r="N370" s="25">
        <v>0</v>
      </c>
      <c r="O370" s="5"/>
    </row>
    <row r="371" spans="1:15" x14ac:dyDescent="0.25">
      <c r="A371" s="2" t="s">
        <v>220</v>
      </c>
      <c r="B371" s="2"/>
      <c r="C371" s="5">
        <v>313</v>
      </c>
      <c r="D371" s="5">
        <v>2</v>
      </c>
      <c r="E371" s="5">
        <v>0</v>
      </c>
      <c r="F371" s="5"/>
      <c r="G371" s="5"/>
      <c r="H371" s="5">
        <v>1.39</v>
      </c>
      <c r="I371" s="5">
        <v>3</v>
      </c>
      <c r="J371" s="5">
        <v>626</v>
      </c>
      <c r="K371" s="5">
        <f t="shared" si="25"/>
        <v>6.1810015385863101E-2</v>
      </c>
      <c r="L371" s="5"/>
      <c r="M371" s="25">
        <v>0</v>
      </c>
      <c r="N371" s="25">
        <v>0</v>
      </c>
      <c r="O371" s="5" t="s">
        <v>623</v>
      </c>
    </row>
    <row r="372" spans="1:15" x14ac:dyDescent="0.25">
      <c r="A372" s="2" t="s">
        <v>310</v>
      </c>
      <c r="B372" s="2"/>
      <c r="C372" s="5">
        <v>313</v>
      </c>
      <c r="D372" s="5">
        <v>0</v>
      </c>
      <c r="E372" s="5">
        <v>0</v>
      </c>
      <c r="F372" s="5"/>
      <c r="G372" s="5"/>
      <c r="H372" s="5"/>
      <c r="I372" s="5"/>
      <c r="J372" s="5"/>
      <c r="K372" s="5" t="b">
        <f t="shared" si="25"/>
        <v>0</v>
      </c>
      <c r="L372" s="5"/>
      <c r="O372" s="5"/>
    </row>
    <row r="373" spans="1:15" x14ac:dyDescent="0.25">
      <c r="A373" s="2" t="s">
        <v>375</v>
      </c>
      <c r="B373" s="2"/>
      <c r="C373" s="5">
        <v>313</v>
      </c>
      <c r="D373" s="5">
        <v>1</v>
      </c>
      <c r="E373" s="5">
        <v>0</v>
      </c>
      <c r="F373" s="5"/>
      <c r="G373" s="5"/>
      <c r="H373" s="5">
        <v>1.58</v>
      </c>
      <c r="I373" s="5">
        <v>3</v>
      </c>
      <c r="J373" s="5">
        <v>626</v>
      </c>
      <c r="K373" s="5">
        <f t="shared" si="25"/>
        <v>6.5869394353771177E-2</v>
      </c>
      <c r="L373" s="5"/>
      <c r="M373" s="25">
        <v>0</v>
      </c>
      <c r="N373" s="25">
        <v>0</v>
      </c>
      <c r="O373" s="5"/>
    </row>
    <row r="374" spans="1:15" x14ac:dyDescent="0.25">
      <c r="A374" s="2" t="s">
        <v>418</v>
      </c>
      <c r="B374" s="2"/>
      <c r="C374" s="5">
        <v>313</v>
      </c>
      <c r="D374" s="5">
        <v>0</v>
      </c>
      <c r="E374" s="5">
        <v>0</v>
      </c>
      <c r="F374" s="5"/>
      <c r="G374" s="5"/>
      <c r="H374" s="5"/>
      <c r="I374" s="5"/>
      <c r="J374" s="5"/>
      <c r="K374" s="5" t="b">
        <f t="shared" si="25"/>
        <v>0</v>
      </c>
      <c r="L374" s="5"/>
      <c r="O374" s="5"/>
    </row>
    <row r="375" spans="1:15" x14ac:dyDescent="0.25">
      <c r="A375" s="2" t="s">
        <v>451</v>
      </c>
      <c r="B375" s="2"/>
      <c r="C375" s="5">
        <v>313</v>
      </c>
      <c r="D375" s="5">
        <v>0</v>
      </c>
      <c r="E375" s="5">
        <v>0</v>
      </c>
      <c r="F375" s="5"/>
      <c r="G375" s="5"/>
      <c r="H375" s="5"/>
      <c r="I375" s="5"/>
      <c r="J375" s="5"/>
      <c r="K375" s="5" t="b">
        <f t="shared" si="25"/>
        <v>0</v>
      </c>
      <c r="L375" s="5"/>
      <c r="O375" s="5"/>
    </row>
    <row r="376" spans="1:15" x14ac:dyDescent="0.25">
      <c r="A376" s="2" t="s">
        <v>82</v>
      </c>
      <c r="B376" s="2"/>
      <c r="C376" s="5">
        <v>316</v>
      </c>
      <c r="D376" s="5">
        <v>1</v>
      </c>
      <c r="E376" s="5">
        <v>0</v>
      </c>
      <c r="F376" s="5"/>
      <c r="G376" s="5">
        <v>3.24</v>
      </c>
      <c r="H376" s="5"/>
      <c r="I376" s="5">
        <v>98</v>
      </c>
      <c r="J376" s="5"/>
      <c r="K376" s="5">
        <f t="shared" si="25"/>
        <v>0.31105339399867654</v>
      </c>
      <c r="L376" s="5"/>
      <c r="O376" s="5"/>
    </row>
    <row r="377" spans="1:15" x14ac:dyDescent="0.25">
      <c r="A377" s="2" t="s">
        <v>483</v>
      </c>
      <c r="B377" s="2"/>
      <c r="C377" s="5">
        <v>319</v>
      </c>
      <c r="D377" s="5">
        <v>0</v>
      </c>
      <c r="E377" s="5">
        <v>0</v>
      </c>
      <c r="F377" s="5">
        <v>0</v>
      </c>
      <c r="G377" s="5"/>
      <c r="H377" s="5"/>
      <c r="I377" s="5"/>
      <c r="J377" s="5"/>
      <c r="K377" s="5" t="b">
        <f t="shared" si="25"/>
        <v>0</v>
      </c>
      <c r="L377" s="5"/>
      <c r="O377" s="5"/>
    </row>
    <row r="378" spans="1:15" x14ac:dyDescent="0.25">
      <c r="A378" s="2" t="s">
        <v>483</v>
      </c>
      <c r="B378" s="2"/>
      <c r="C378" s="5">
        <v>319</v>
      </c>
      <c r="D378" s="5">
        <v>0</v>
      </c>
      <c r="E378" s="5">
        <v>1</v>
      </c>
      <c r="F378" s="5"/>
      <c r="G378" s="5"/>
      <c r="H378" s="5"/>
      <c r="I378" s="5"/>
      <c r="J378" s="5"/>
      <c r="K378" s="5" t="b">
        <f t="shared" si="25"/>
        <v>0</v>
      </c>
      <c r="L378" s="5"/>
      <c r="O378" s="5"/>
    </row>
    <row r="379" spans="1:15" x14ac:dyDescent="0.25">
      <c r="A379" s="2" t="s">
        <v>83</v>
      </c>
      <c r="B379" s="2"/>
      <c r="C379" s="5">
        <v>321</v>
      </c>
      <c r="D379" s="5">
        <v>0</v>
      </c>
      <c r="E379" s="14">
        <v>0</v>
      </c>
      <c r="F379" s="5"/>
      <c r="G379" s="5"/>
      <c r="H379" s="5"/>
      <c r="I379" s="5"/>
      <c r="J379" s="5"/>
      <c r="K379" s="5" t="b">
        <f t="shared" si="25"/>
        <v>0</v>
      </c>
      <c r="L379" s="5"/>
      <c r="O379" s="5"/>
    </row>
    <row r="380" spans="1:15" x14ac:dyDescent="0.25">
      <c r="A380" s="2" t="s">
        <v>84</v>
      </c>
      <c r="B380" s="2"/>
      <c r="C380" s="5">
        <v>321</v>
      </c>
      <c r="D380" s="5">
        <v>0</v>
      </c>
      <c r="E380" s="14">
        <v>0</v>
      </c>
      <c r="F380" s="5"/>
      <c r="G380" s="5"/>
      <c r="H380" s="5"/>
      <c r="I380" s="5"/>
      <c r="J380" s="5"/>
      <c r="K380" s="5" t="b">
        <f t="shared" si="25"/>
        <v>0</v>
      </c>
      <c r="L380" s="5"/>
      <c r="O380" s="5"/>
    </row>
    <row r="381" spans="1:15" x14ac:dyDescent="0.25">
      <c r="A381" s="2" t="s">
        <v>84</v>
      </c>
      <c r="B381" s="2"/>
      <c r="C381" s="5">
        <v>321</v>
      </c>
      <c r="D381" s="5">
        <v>0</v>
      </c>
      <c r="E381" s="14">
        <v>1</v>
      </c>
      <c r="F381" s="5"/>
      <c r="G381" s="5"/>
      <c r="H381" s="5"/>
      <c r="I381" s="5"/>
      <c r="J381" s="5"/>
      <c r="K381" s="5" t="b">
        <f t="shared" si="25"/>
        <v>0</v>
      </c>
      <c r="L381" s="5"/>
      <c r="O381" s="5"/>
    </row>
    <row r="382" spans="1:15" x14ac:dyDescent="0.25">
      <c r="A382" s="2" t="s">
        <v>376</v>
      </c>
      <c r="B382" s="2"/>
      <c r="C382" s="5">
        <v>321</v>
      </c>
      <c r="D382" s="5">
        <v>1</v>
      </c>
      <c r="E382" s="14">
        <v>0</v>
      </c>
      <c r="F382" s="5">
        <v>0</v>
      </c>
      <c r="G382" s="5"/>
      <c r="H382" s="5"/>
      <c r="I382" s="5"/>
      <c r="J382" s="5"/>
      <c r="K382" s="5" t="b">
        <f t="shared" si="25"/>
        <v>0</v>
      </c>
      <c r="L382" s="5"/>
      <c r="O382" s="5"/>
    </row>
    <row r="383" spans="1:15" x14ac:dyDescent="0.25">
      <c r="A383" s="2" t="s">
        <v>85</v>
      </c>
      <c r="B383" s="2"/>
      <c r="C383" s="5">
        <v>322</v>
      </c>
      <c r="D383" s="5">
        <v>1</v>
      </c>
      <c r="E383" s="14">
        <v>0</v>
      </c>
      <c r="F383" s="5">
        <v>0</v>
      </c>
      <c r="G383" s="5"/>
      <c r="H383" s="5"/>
      <c r="I383" s="5"/>
      <c r="J383" s="5"/>
      <c r="K383" s="5" t="b">
        <f t="shared" si="25"/>
        <v>0</v>
      </c>
      <c r="L383" s="5"/>
      <c r="O383" s="5"/>
    </row>
    <row r="384" spans="1:15" x14ac:dyDescent="0.25">
      <c r="A384" s="2" t="s">
        <v>86</v>
      </c>
      <c r="B384" s="2"/>
      <c r="C384" s="5">
        <v>322</v>
      </c>
      <c r="D384" s="5">
        <v>1</v>
      </c>
      <c r="E384" s="14">
        <v>0</v>
      </c>
      <c r="F384" s="5">
        <v>0</v>
      </c>
      <c r="G384" s="5"/>
      <c r="H384" s="5"/>
      <c r="I384" s="5"/>
      <c r="J384" s="5"/>
      <c r="K384" s="5" t="b">
        <f t="shared" si="25"/>
        <v>0</v>
      </c>
      <c r="L384" s="5"/>
      <c r="O384" s="5"/>
    </row>
    <row r="385" spans="1:15" x14ac:dyDescent="0.25">
      <c r="A385" s="2" t="s">
        <v>86</v>
      </c>
      <c r="B385" s="2"/>
      <c r="C385" s="5">
        <v>322</v>
      </c>
      <c r="D385" s="5">
        <v>0</v>
      </c>
      <c r="E385" s="14">
        <v>1</v>
      </c>
      <c r="F385" s="5"/>
      <c r="G385" s="5"/>
      <c r="H385" s="5"/>
      <c r="I385" s="5"/>
      <c r="J385" s="5"/>
      <c r="K385" s="5" t="b">
        <f t="shared" si="25"/>
        <v>0</v>
      </c>
      <c r="L385" s="5"/>
      <c r="O385" s="5"/>
    </row>
    <row r="386" spans="1:15" x14ac:dyDescent="0.25">
      <c r="A386" s="2" t="s">
        <v>85</v>
      </c>
      <c r="B386" s="2"/>
      <c r="C386" s="5">
        <v>322</v>
      </c>
      <c r="D386" s="5">
        <v>1</v>
      </c>
      <c r="E386" s="14">
        <v>0</v>
      </c>
      <c r="F386" s="5">
        <v>0</v>
      </c>
      <c r="G386" s="5"/>
      <c r="H386" s="5"/>
      <c r="I386" s="5"/>
      <c r="J386" s="5"/>
      <c r="K386" s="5" t="b">
        <f t="shared" si="25"/>
        <v>0</v>
      </c>
      <c r="L386" s="5"/>
      <c r="O386" s="5"/>
    </row>
    <row r="387" spans="1:15" x14ac:dyDescent="0.25">
      <c r="A387" s="2" t="s">
        <v>419</v>
      </c>
      <c r="B387" s="2"/>
      <c r="C387" s="5">
        <v>322</v>
      </c>
      <c r="D387" s="5">
        <v>1</v>
      </c>
      <c r="E387" s="14">
        <v>1</v>
      </c>
      <c r="F387" s="5">
        <v>0</v>
      </c>
      <c r="G387" s="5"/>
      <c r="H387" s="5"/>
      <c r="I387" s="5"/>
      <c r="J387" s="5"/>
      <c r="K387" s="5" t="b">
        <f t="shared" si="25"/>
        <v>0</v>
      </c>
      <c r="L387" s="5"/>
      <c r="O387" s="5"/>
    </row>
    <row r="388" spans="1:15" x14ac:dyDescent="0.25">
      <c r="A388" s="2" t="s">
        <v>87</v>
      </c>
      <c r="B388" s="2"/>
      <c r="C388" s="5">
        <v>323</v>
      </c>
      <c r="D388" s="5">
        <v>1</v>
      </c>
      <c r="E388" s="14">
        <v>0</v>
      </c>
      <c r="F388" s="5">
        <v>0</v>
      </c>
      <c r="G388" s="5"/>
      <c r="H388" s="5"/>
      <c r="I388" s="5"/>
      <c r="J388" s="5"/>
      <c r="K388" s="5" t="b">
        <f t="shared" si="25"/>
        <v>0</v>
      </c>
      <c r="L388" s="5"/>
      <c r="O388" s="5"/>
    </row>
    <row r="389" spans="1:15" x14ac:dyDescent="0.25">
      <c r="A389" s="2" t="s">
        <v>221</v>
      </c>
      <c r="B389" s="2"/>
      <c r="C389" s="5">
        <v>323</v>
      </c>
      <c r="D389" s="5">
        <v>1</v>
      </c>
      <c r="E389" s="14">
        <v>0</v>
      </c>
      <c r="F389" s="5">
        <v>0</v>
      </c>
      <c r="G389" s="5"/>
      <c r="H389" s="5"/>
      <c r="I389" s="5"/>
      <c r="J389" s="5"/>
      <c r="K389" s="5" t="b">
        <f t="shared" si="25"/>
        <v>0</v>
      </c>
      <c r="L389" s="5"/>
      <c r="O389" s="5"/>
    </row>
    <row r="390" spans="1:15" x14ac:dyDescent="0.25">
      <c r="A390" s="2" t="s">
        <v>221</v>
      </c>
      <c r="B390" s="2"/>
      <c r="C390" s="5">
        <v>323</v>
      </c>
      <c r="D390" s="5">
        <v>1</v>
      </c>
      <c r="E390" s="14">
        <v>1</v>
      </c>
      <c r="F390" s="5">
        <v>0</v>
      </c>
      <c r="G390" s="5"/>
      <c r="H390" s="5"/>
      <c r="I390" s="5"/>
      <c r="J390" s="5"/>
      <c r="K390" s="5" t="b">
        <f t="shared" si="25"/>
        <v>0</v>
      </c>
      <c r="L390" s="5"/>
      <c r="O390" s="5"/>
    </row>
    <row r="391" spans="1:15" x14ac:dyDescent="0.25">
      <c r="A391" s="2" t="s">
        <v>88</v>
      </c>
      <c r="B391" s="2"/>
      <c r="C391" s="5">
        <v>324</v>
      </c>
      <c r="D391" s="5">
        <v>1</v>
      </c>
      <c r="E391" s="14">
        <v>0</v>
      </c>
      <c r="F391" s="5"/>
      <c r="G391" s="5">
        <v>5.62</v>
      </c>
      <c r="H391" s="5"/>
      <c r="I391" s="5">
        <v>31</v>
      </c>
      <c r="J391" s="5"/>
      <c r="K391" s="5">
        <f t="shared" si="25"/>
        <v>0.71040051740129284</v>
      </c>
      <c r="L391" s="5"/>
      <c r="M391" s="25" t="s">
        <v>676</v>
      </c>
      <c r="N391" s="25" t="s">
        <v>676</v>
      </c>
      <c r="O391" s="5" t="s">
        <v>622</v>
      </c>
    </row>
    <row r="392" spans="1:15" x14ac:dyDescent="0.25">
      <c r="A392" s="2" t="s">
        <v>222</v>
      </c>
      <c r="B392" s="2"/>
      <c r="C392" s="5">
        <v>324</v>
      </c>
      <c r="D392" s="5">
        <v>1</v>
      </c>
      <c r="E392" s="14">
        <v>0</v>
      </c>
      <c r="F392" s="5"/>
      <c r="G392" s="5">
        <v>2.1800000000000002</v>
      </c>
      <c r="H392" s="5"/>
      <c r="I392" s="5">
        <v>26.6</v>
      </c>
      <c r="J392" s="5"/>
      <c r="K392" s="5">
        <f t="shared" si="25"/>
        <v>0.38933289396185816</v>
      </c>
      <c r="L392" s="5"/>
      <c r="M392" s="25" t="s">
        <v>676</v>
      </c>
      <c r="N392" s="25" t="s">
        <v>676</v>
      </c>
      <c r="O392" s="5" t="s">
        <v>622</v>
      </c>
    </row>
    <row r="393" spans="1:15" x14ac:dyDescent="0.25">
      <c r="A393" s="2" t="s">
        <v>311</v>
      </c>
      <c r="B393" s="2"/>
      <c r="C393" s="5">
        <v>324</v>
      </c>
      <c r="D393" s="5">
        <v>1</v>
      </c>
      <c r="E393" s="14">
        <v>0</v>
      </c>
      <c r="F393" s="5"/>
      <c r="G393" s="5"/>
      <c r="H393" s="5"/>
      <c r="I393" s="5"/>
      <c r="J393" s="5"/>
      <c r="K393" s="5">
        <v>0.48</v>
      </c>
      <c r="L393" s="5"/>
      <c r="O393" s="5"/>
    </row>
    <row r="394" spans="1:15" x14ac:dyDescent="0.25">
      <c r="A394" s="2" t="s">
        <v>89</v>
      </c>
      <c r="B394" s="2"/>
      <c r="C394" s="5">
        <v>325</v>
      </c>
      <c r="D394" s="5">
        <v>2</v>
      </c>
      <c r="E394" s="14">
        <v>0</v>
      </c>
      <c r="F394" s="5"/>
      <c r="G394" s="5">
        <v>1.8</v>
      </c>
      <c r="H394" s="5"/>
      <c r="I394" s="5">
        <v>168</v>
      </c>
      <c r="J394" s="5"/>
      <c r="K394" s="5">
        <f>IF(NOT(ISBLANK(G394)),SQRT((G394^2*1/I394)/(G394^2*1/I394+1)),IF(NOT(ISBLANK(H394)),SQRT((H394*I394/J394)/(H394*I394/J394+1)*SQRT(1/I394))))</f>
        <v>0.13755294578519067</v>
      </c>
      <c r="L394" s="30">
        <v>7.3649999999999993E-2</v>
      </c>
      <c r="M394" s="25">
        <v>0</v>
      </c>
      <c r="N394" s="25">
        <v>0</v>
      </c>
      <c r="O394" s="5" t="s">
        <v>624</v>
      </c>
    </row>
    <row r="395" spans="1:15" x14ac:dyDescent="0.25">
      <c r="A395" s="2" t="s">
        <v>223</v>
      </c>
      <c r="B395" s="2"/>
      <c r="C395" s="5">
        <v>325</v>
      </c>
      <c r="D395" s="5">
        <v>2</v>
      </c>
      <c r="E395" s="14">
        <v>0</v>
      </c>
      <c r="F395" s="5">
        <v>0</v>
      </c>
      <c r="G395" s="5"/>
      <c r="H395" s="5"/>
      <c r="I395" s="5"/>
      <c r="J395" s="5"/>
      <c r="K395" s="5" t="b">
        <f>IF(NOT(ISBLANK(G395)),SQRT((G395^2*1/I395)/(G395^2*1/I395+1)),IF(NOT(ISBLANK(H395)),SQRT((H395*I395/J395)/(H395*I395/J395+1)*SQRT(1/I395))))</f>
        <v>0</v>
      </c>
      <c r="L395" s="5"/>
      <c r="O395" s="5"/>
    </row>
    <row r="396" spans="1:15" x14ac:dyDescent="0.25">
      <c r="A396" s="2" t="s">
        <v>694</v>
      </c>
      <c r="B396" s="2"/>
      <c r="C396" s="5">
        <v>325</v>
      </c>
      <c r="D396" s="5">
        <v>2</v>
      </c>
      <c r="E396" s="14">
        <v>0</v>
      </c>
      <c r="F396" s="5"/>
      <c r="G396" s="5">
        <v>-1.51</v>
      </c>
      <c r="H396" s="5"/>
      <c r="I396" s="5">
        <v>342</v>
      </c>
      <c r="J396" s="5"/>
      <c r="K396" s="5">
        <f>IF(NOT(ISBLANK(G396)),SQRT((G396^2*1/I396)/(G396^2*1/I396+1)),IF(NOT(ISBLANK(H396)),SQRT((H396*I396/J396)/(H396*I396/J396+1)*SQRT(1/I396))))</f>
        <v>8.138061866240387E-2</v>
      </c>
      <c r="L396" s="5">
        <v>0.13197</v>
      </c>
      <c r="M396" s="25">
        <v>0</v>
      </c>
      <c r="N396" s="25">
        <v>0</v>
      </c>
      <c r="O396" s="5"/>
    </row>
    <row r="397" spans="1:15" x14ac:dyDescent="0.25">
      <c r="A397" s="2" t="s">
        <v>90</v>
      </c>
      <c r="B397" s="2"/>
      <c r="C397" s="5">
        <v>326</v>
      </c>
      <c r="D397" s="5">
        <v>1</v>
      </c>
      <c r="E397" s="14">
        <v>0</v>
      </c>
      <c r="F397" s="5"/>
      <c r="G397" s="5"/>
      <c r="H397" s="5"/>
      <c r="I397" s="5"/>
      <c r="J397" s="5"/>
      <c r="K397" s="5">
        <v>-0.02</v>
      </c>
      <c r="L397" s="5"/>
      <c r="O397" s="5"/>
    </row>
    <row r="398" spans="1:15" x14ac:dyDescent="0.25">
      <c r="A398" s="2" t="s">
        <v>224</v>
      </c>
      <c r="B398" s="2"/>
      <c r="C398" s="5">
        <v>326</v>
      </c>
      <c r="D398" s="5">
        <v>3</v>
      </c>
      <c r="E398" s="14">
        <v>0</v>
      </c>
      <c r="F398" s="5">
        <v>0</v>
      </c>
      <c r="G398" s="5"/>
      <c r="H398" s="5"/>
      <c r="I398" s="5"/>
      <c r="J398" s="5"/>
      <c r="K398" s="5" t="b">
        <f>IF(NOT(ISBLANK(G398)),SQRT((G398^2*1/I398)/(G398^2*1/I398+1)),IF(NOT(ISBLANK(H398)),SQRT((H398*I398/J398)/(H398*I398/J398+1)*SQRT(1/I398))))</f>
        <v>0</v>
      </c>
      <c r="L398" s="5"/>
      <c r="O398" s="5"/>
    </row>
    <row r="399" spans="1:15" x14ac:dyDescent="0.25">
      <c r="A399" s="2" t="s">
        <v>91</v>
      </c>
      <c r="B399" s="2"/>
      <c r="C399" s="5">
        <v>327</v>
      </c>
      <c r="D399" s="5">
        <v>1</v>
      </c>
      <c r="E399" s="14">
        <v>0</v>
      </c>
      <c r="F399" s="5">
        <v>0</v>
      </c>
      <c r="G399" s="5"/>
      <c r="H399" s="5"/>
      <c r="I399" s="5"/>
      <c r="J399" s="5"/>
      <c r="K399" s="5" t="b">
        <f>IF(NOT(ISBLANK(G399)),SQRT((G399^2*1/I399)/(G399^2*1/I399+1)),IF(NOT(ISBLANK(H399)),SQRT((H399*I399/J399)/(H399*I399/J399+1)*SQRT(1/I399))))</f>
        <v>0</v>
      </c>
      <c r="L399" s="5"/>
      <c r="O399" s="5"/>
    </row>
    <row r="400" spans="1:15" x14ac:dyDescent="0.25">
      <c r="A400" s="2" t="s">
        <v>225</v>
      </c>
      <c r="B400" s="2"/>
      <c r="C400" s="5">
        <v>327</v>
      </c>
      <c r="D400" s="5">
        <v>2</v>
      </c>
      <c r="E400" s="14">
        <v>0</v>
      </c>
      <c r="F400" s="5"/>
      <c r="G400" s="5"/>
      <c r="H400" s="5"/>
      <c r="I400" s="5"/>
      <c r="J400" s="5"/>
      <c r="K400" s="5">
        <v>7.4999999999999997E-2</v>
      </c>
      <c r="L400" s="5"/>
      <c r="O400" s="5"/>
    </row>
    <row r="401" spans="1:15" x14ac:dyDescent="0.25">
      <c r="A401" s="2" t="s">
        <v>312</v>
      </c>
      <c r="B401" s="2"/>
      <c r="C401" s="5">
        <v>327</v>
      </c>
      <c r="D401" s="5">
        <v>2</v>
      </c>
      <c r="E401" s="14">
        <v>0</v>
      </c>
      <c r="F401" s="5"/>
      <c r="G401" s="5"/>
      <c r="H401" s="5"/>
      <c r="I401" s="5"/>
      <c r="J401" s="5"/>
      <c r="K401" s="5">
        <v>0.121</v>
      </c>
      <c r="L401" s="5"/>
      <c r="O401" s="5"/>
    </row>
    <row r="402" spans="1:15" x14ac:dyDescent="0.25">
      <c r="A402" s="2" t="s">
        <v>92</v>
      </c>
      <c r="B402" s="2"/>
      <c r="C402" s="5">
        <v>328</v>
      </c>
      <c r="D402" s="5">
        <v>4</v>
      </c>
      <c r="E402" s="14">
        <v>0</v>
      </c>
      <c r="F402" s="5"/>
      <c r="G402" s="5"/>
      <c r="H402" s="5">
        <v>7.33</v>
      </c>
      <c r="I402" s="5">
        <v>1</v>
      </c>
      <c r="J402" s="5">
        <v>49</v>
      </c>
      <c r="K402" s="5">
        <f t="shared" ref="K402:K409" si="26">IF(NOT(ISBLANK(G402)),SQRT((G402^2*1/I402)/(G402^2*1/I402+1)),IF(NOT(ISBLANK(H402)),SQRT((H402*I402/J402)/(H402*I402/J402+1)*SQRT(1/I402))))</f>
        <v>0.36072987533765755</v>
      </c>
      <c r="L402" s="5"/>
      <c r="M402" s="25">
        <v>0</v>
      </c>
      <c r="N402" s="25">
        <v>0</v>
      </c>
      <c r="O402" s="5" t="s">
        <v>625</v>
      </c>
    </row>
    <row r="403" spans="1:15" x14ac:dyDescent="0.25">
      <c r="A403" s="2" t="s">
        <v>93</v>
      </c>
      <c r="B403" s="2"/>
      <c r="C403" s="5">
        <v>329</v>
      </c>
      <c r="D403" s="5">
        <v>1</v>
      </c>
      <c r="E403" s="14">
        <v>0</v>
      </c>
      <c r="F403" s="5"/>
      <c r="G403" s="5"/>
      <c r="H403" s="5">
        <v>21.75</v>
      </c>
      <c r="I403" s="5">
        <v>1</v>
      </c>
      <c r="J403" s="5">
        <v>172</v>
      </c>
      <c r="K403" s="5">
        <f t="shared" si="26"/>
        <v>0.33504934638964606</v>
      </c>
      <c r="L403" s="5"/>
      <c r="M403" s="25">
        <v>0</v>
      </c>
      <c r="N403" s="25">
        <v>0</v>
      </c>
      <c r="O403" s="5"/>
    </row>
    <row r="404" spans="1:15" x14ac:dyDescent="0.25">
      <c r="A404" s="2" t="s">
        <v>226</v>
      </c>
      <c r="B404" s="2"/>
      <c r="C404" s="5">
        <v>329</v>
      </c>
      <c r="D404" s="5">
        <v>1</v>
      </c>
      <c r="E404" s="14">
        <v>0</v>
      </c>
      <c r="F404" s="5"/>
      <c r="G404" s="5"/>
      <c r="H404" s="5">
        <v>23.72</v>
      </c>
      <c r="I404" s="5">
        <v>1</v>
      </c>
      <c r="J404" s="5">
        <v>172</v>
      </c>
      <c r="K404" s="5">
        <f t="shared" si="26"/>
        <v>0.34812862823157786</v>
      </c>
      <c r="L404" s="5"/>
      <c r="M404" s="25">
        <v>0</v>
      </c>
      <c r="N404" s="25">
        <v>0</v>
      </c>
      <c r="O404" s="5"/>
    </row>
    <row r="405" spans="1:15" x14ac:dyDescent="0.25">
      <c r="A405" s="2" t="s">
        <v>313</v>
      </c>
      <c r="B405" s="2"/>
      <c r="C405" s="5">
        <v>329</v>
      </c>
      <c r="D405" s="5">
        <v>1</v>
      </c>
      <c r="E405" s="14">
        <v>0</v>
      </c>
      <c r="F405" s="5"/>
      <c r="G405" s="5"/>
      <c r="H405" s="5">
        <v>0.16</v>
      </c>
      <c r="I405" s="5">
        <v>1</v>
      </c>
      <c r="J405" s="5">
        <v>172</v>
      </c>
      <c r="K405" s="5">
        <f t="shared" si="26"/>
        <v>3.048553804248462E-2</v>
      </c>
      <c r="L405" s="5"/>
      <c r="M405" s="25">
        <v>0</v>
      </c>
      <c r="N405" s="25">
        <v>0</v>
      </c>
      <c r="O405" s="5"/>
    </row>
    <row r="406" spans="1:15" x14ac:dyDescent="0.25">
      <c r="A406" s="2" t="s">
        <v>377</v>
      </c>
      <c r="B406" s="2"/>
      <c r="C406" s="5">
        <v>329</v>
      </c>
      <c r="D406" s="5">
        <v>4</v>
      </c>
      <c r="E406" s="14">
        <v>0</v>
      </c>
      <c r="F406" s="5"/>
      <c r="G406" s="5"/>
      <c r="H406" s="5">
        <v>0.36</v>
      </c>
      <c r="I406" s="5">
        <v>1</v>
      </c>
      <c r="J406" s="5">
        <v>172</v>
      </c>
      <c r="K406" s="5">
        <f t="shared" si="26"/>
        <v>4.5701768667281428E-2</v>
      </c>
      <c r="L406" s="5"/>
      <c r="M406" s="25">
        <v>0</v>
      </c>
      <c r="N406" s="25">
        <v>0</v>
      </c>
      <c r="O406" s="5" t="s">
        <v>626</v>
      </c>
    </row>
    <row r="407" spans="1:15" x14ac:dyDescent="0.25">
      <c r="A407" s="2" t="s">
        <v>94</v>
      </c>
      <c r="B407" s="2"/>
      <c r="C407" s="5">
        <v>330</v>
      </c>
      <c r="D407" s="5">
        <v>1</v>
      </c>
      <c r="E407" s="14">
        <v>0</v>
      </c>
      <c r="F407" s="5">
        <v>0</v>
      </c>
      <c r="G407" s="5"/>
      <c r="H407" s="5"/>
      <c r="I407" s="5"/>
      <c r="J407" s="5"/>
      <c r="K407" s="5" t="b">
        <f t="shared" si="26"/>
        <v>0</v>
      </c>
      <c r="L407" s="5"/>
      <c r="O407" s="5" t="s">
        <v>627</v>
      </c>
    </row>
    <row r="408" spans="1:15" x14ac:dyDescent="0.25">
      <c r="A408" s="2" t="s">
        <v>95</v>
      </c>
      <c r="B408" s="2"/>
      <c r="C408" s="5">
        <v>340</v>
      </c>
      <c r="D408" s="5">
        <v>1</v>
      </c>
      <c r="E408" s="14">
        <v>0</v>
      </c>
      <c r="F408" s="5">
        <v>0</v>
      </c>
      <c r="G408" s="5">
        <v>-4.47</v>
      </c>
      <c r="H408" s="5"/>
      <c r="I408" s="5">
        <v>107</v>
      </c>
      <c r="J408" s="5"/>
      <c r="K408" s="5">
        <f t="shared" si="26"/>
        <v>0.39667818978110014</v>
      </c>
      <c r="L408" s="5"/>
      <c r="M408" s="25">
        <v>0</v>
      </c>
      <c r="N408" s="25">
        <v>0</v>
      </c>
      <c r="O408" s="5"/>
    </row>
    <row r="409" spans="1:15" x14ac:dyDescent="0.25">
      <c r="A409" s="2" t="s">
        <v>96</v>
      </c>
      <c r="B409" s="2"/>
      <c r="C409" s="5">
        <v>341</v>
      </c>
      <c r="D409" s="5">
        <v>0</v>
      </c>
      <c r="E409" s="14">
        <v>0</v>
      </c>
      <c r="F409" s="5"/>
      <c r="G409" s="5"/>
      <c r="H409" s="5"/>
      <c r="I409" s="5"/>
      <c r="J409" s="5"/>
      <c r="K409" s="5" t="b">
        <f t="shared" si="26"/>
        <v>0</v>
      </c>
      <c r="L409" s="5"/>
      <c r="O409" s="5"/>
    </row>
    <row r="410" spans="1:15" x14ac:dyDescent="0.25">
      <c r="A410" s="2" t="s">
        <v>227</v>
      </c>
      <c r="B410" s="2"/>
      <c r="C410" s="5">
        <v>341</v>
      </c>
      <c r="D410" s="5">
        <v>1</v>
      </c>
      <c r="E410" s="14">
        <v>0</v>
      </c>
      <c r="F410" s="5"/>
      <c r="G410" s="5"/>
      <c r="H410" s="5"/>
      <c r="I410" s="5"/>
      <c r="J410" s="5"/>
      <c r="K410" s="5">
        <v>0.06</v>
      </c>
      <c r="L410" s="5"/>
      <c r="O410" s="5" t="s">
        <v>695</v>
      </c>
    </row>
    <row r="411" spans="1:15" x14ac:dyDescent="0.25">
      <c r="A411" s="2" t="s">
        <v>314</v>
      </c>
      <c r="B411" s="2"/>
      <c r="C411" s="5">
        <v>341</v>
      </c>
      <c r="D411" s="5">
        <v>1</v>
      </c>
      <c r="E411" s="14">
        <v>0</v>
      </c>
      <c r="F411" s="5"/>
      <c r="G411" s="5"/>
      <c r="H411" s="5"/>
      <c r="I411" s="5"/>
      <c r="J411" s="5"/>
      <c r="K411" s="5">
        <v>0.17</v>
      </c>
      <c r="L411" s="5"/>
      <c r="O411" s="5" t="s">
        <v>695</v>
      </c>
    </row>
    <row r="412" spans="1:15" x14ac:dyDescent="0.25">
      <c r="A412" s="2" t="s">
        <v>378</v>
      </c>
      <c r="B412" s="2"/>
      <c r="C412" s="5">
        <v>341</v>
      </c>
      <c r="D412" s="5">
        <v>0</v>
      </c>
      <c r="E412" s="14">
        <v>0</v>
      </c>
      <c r="F412" s="5"/>
      <c r="G412" s="5"/>
      <c r="H412" s="5"/>
      <c r="I412" s="5"/>
      <c r="J412" s="5"/>
      <c r="K412" s="5" t="b">
        <f>IF(NOT(ISBLANK(G412)),SQRT((G412^2*1/I412)/(G412^2*1/I412+1)),IF(NOT(ISBLANK(H412)),SQRT((H412*I412/J412)/(H412*I412/J412+1)*SQRT(1/I412))))</f>
        <v>0</v>
      </c>
      <c r="L412" s="5"/>
      <c r="O412" s="5"/>
    </row>
    <row r="413" spans="1:15" x14ac:dyDescent="0.25">
      <c r="A413" s="2" t="s">
        <v>97</v>
      </c>
      <c r="B413" s="2"/>
      <c r="C413" s="5">
        <v>345</v>
      </c>
      <c r="D413" s="5">
        <v>1</v>
      </c>
      <c r="E413" s="14">
        <v>0</v>
      </c>
      <c r="F413" s="5"/>
      <c r="G413" s="5"/>
      <c r="H413" s="5">
        <v>347.52</v>
      </c>
      <c r="I413" s="5">
        <v>1</v>
      </c>
      <c r="J413" s="5">
        <v>488</v>
      </c>
      <c r="K413" s="5">
        <f t="shared" ref="K413:K426" si="27">IF(NOT(ISBLANK(G413)),SQRT((G413^2*1/I413)/(G413^2*1/I413+1)),IF(NOT(ISBLANK(H413)),SQRT((H413*I413/J413)/(H413*I413/J413+1)*SQRT(1/I413))))</f>
        <v>0.64492836259253827</v>
      </c>
      <c r="L413" s="5"/>
      <c r="M413" s="25">
        <v>0</v>
      </c>
      <c r="N413" s="25">
        <v>0</v>
      </c>
      <c r="O413" s="5"/>
    </row>
    <row r="414" spans="1:15" x14ac:dyDescent="0.25">
      <c r="A414" s="2" t="s">
        <v>228</v>
      </c>
      <c r="B414" s="2"/>
      <c r="C414" s="5">
        <v>345</v>
      </c>
      <c r="D414" s="5">
        <v>1</v>
      </c>
      <c r="E414" s="14">
        <v>0</v>
      </c>
      <c r="F414" s="5"/>
      <c r="G414" s="5"/>
      <c r="H414" s="5">
        <v>637.66999999999996</v>
      </c>
      <c r="I414" s="5">
        <v>1</v>
      </c>
      <c r="J414" s="5">
        <v>488</v>
      </c>
      <c r="K414" s="5">
        <f t="shared" si="27"/>
        <v>0.75264892694013852</v>
      </c>
      <c r="L414" s="5"/>
      <c r="M414" s="25">
        <v>0</v>
      </c>
      <c r="N414" s="25">
        <v>0</v>
      </c>
      <c r="O414" s="5"/>
    </row>
    <row r="415" spans="1:15" x14ac:dyDescent="0.25">
      <c r="A415" s="2" t="s">
        <v>315</v>
      </c>
      <c r="B415" s="2"/>
      <c r="C415" s="5">
        <v>345</v>
      </c>
      <c r="D415" s="5">
        <v>2</v>
      </c>
      <c r="E415" s="14">
        <v>0</v>
      </c>
      <c r="F415" s="5"/>
      <c r="G415" s="5"/>
      <c r="H415" s="5">
        <v>132.97</v>
      </c>
      <c r="I415" s="5">
        <v>1</v>
      </c>
      <c r="J415" s="5">
        <v>488</v>
      </c>
      <c r="K415" s="5">
        <f t="shared" si="27"/>
        <v>0.46274477612290948</v>
      </c>
      <c r="L415" s="5"/>
      <c r="M415" s="25">
        <v>0</v>
      </c>
      <c r="N415" s="25">
        <v>0</v>
      </c>
      <c r="O415" s="5" t="s">
        <v>628</v>
      </c>
    </row>
    <row r="416" spans="1:15" x14ac:dyDescent="0.25">
      <c r="A416" s="2" t="s">
        <v>379</v>
      </c>
      <c r="B416" s="2"/>
      <c r="C416" s="5">
        <v>345</v>
      </c>
      <c r="D416" s="5">
        <v>1</v>
      </c>
      <c r="E416" s="14">
        <v>0</v>
      </c>
      <c r="F416" s="5">
        <v>0</v>
      </c>
      <c r="G416" s="5"/>
      <c r="H416" s="5"/>
      <c r="I416" s="5"/>
      <c r="J416" s="5"/>
      <c r="K416" s="5" t="b">
        <f t="shared" si="27"/>
        <v>0</v>
      </c>
      <c r="L416" s="5"/>
      <c r="O416" s="5"/>
    </row>
    <row r="417" spans="1:15" x14ac:dyDescent="0.25">
      <c r="A417" s="2" t="s">
        <v>420</v>
      </c>
      <c r="B417" s="2"/>
      <c r="C417" s="5">
        <v>345</v>
      </c>
      <c r="D417" s="5">
        <v>1</v>
      </c>
      <c r="E417" s="14">
        <v>0</v>
      </c>
      <c r="F417" s="5">
        <v>0</v>
      </c>
      <c r="G417" s="5"/>
      <c r="H417" s="5"/>
      <c r="I417" s="5"/>
      <c r="J417" s="5"/>
      <c r="K417" s="5" t="b">
        <f t="shared" si="27"/>
        <v>0</v>
      </c>
      <c r="L417" s="5"/>
      <c r="O417" s="5"/>
    </row>
    <row r="418" spans="1:15" x14ac:dyDescent="0.25">
      <c r="A418" s="2" t="s">
        <v>452</v>
      </c>
      <c r="B418" s="2"/>
      <c r="C418" s="5">
        <v>345</v>
      </c>
      <c r="D418" s="5">
        <v>1</v>
      </c>
      <c r="E418" s="14">
        <v>0</v>
      </c>
      <c r="F418" s="5">
        <v>0</v>
      </c>
      <c r="G418" s="5"/>
      <c r="H418" s="5"/>
      <c r="I418" s="5"/>
      <c r="J418" s="5"/>
      <c r="K418" s="5" t="b">
        <f t="shared" si="27"/>
        <v>0</v>
      </c>
      <c r="L418" s="5"/>
      <c r="O418" s="5"/>
    </row>
    <row r="419" spans="1:15" x14ac:dyDescent="0.25">
      <c r="A419" s="2" t="s">
        <v>98</v>
      </c>
      <c r="B419" s="2"/>
      <c r="C419" s="5">
        <v>347</v>
      </c>
      <c r="D419" s="5">
        <v>1</v>
      </c>
      <c r="E419" s="14">
        <v>0</v>
      </c>
      <c r="F419" s="5"/>
      <c r="G419" s="5">
        <v>3.17</v>
      </c>
      <c r="H419" s="5"/>
      <c r="I419" s="5">
        <v>400</v>
      </c>
      <c r="J419" s="5"/>
      <c r="K419" s="5">
        <f t="shared" si="27"/>
        <v>0.15654580587180342</v>
      </c>
      <c r="L419" s="5"/>
      <c r="M419" s="25">
        <v>0</v>
      </c>
      <c r="N419" s="25">
        <v>0</v>
      </c>
      <c r="O419" s="5"/>
    </row>
    <row r="420" spans="1:15" x14ac:dyDescent="0.25">
      <c r="A420" s="2" t="s">
        <v>229</v>
      </c>
      <c r="B420" s="2"/>
      <c r="C420" s="5">
        <v>347</v>
      </c>
      <c r="D420" s="5">
        <v>1</v>
      </c>
      <c r="E420" s="14">
        <v>0</v>
      </c>
      <c r="F420" s="5"/>
      <c r="G420" s="5">
        <v>-4.2999999999999997E-2</v>
      </c>
      <c r="H420" s="5"/>
      <c r="I420" s="5">
        <v>400</v>
      </c>
      <c r="J420" s="5"/>
      <c r="K420" s="5">
        <f t="shared" si="27"/>
        <v>2.1499950308297273E-3</v>
      </c>
      <c r="L420" s="5"/>
      <c r="M420" s="25">
        <v>0</v>
      </c>
      <c r="N420" s="25">
        <v>0</v>
      </c>
      <c r="O420" s="5"/>
    </row>
    <row r="421" spans="1:15" x14ac:dyDescent="0.25">
      <c r="A421" s="2" t="s">
        <v>316</v>
      </c>
      <c r="B421" s="2"/>
      <c r="C421" s="5">
        <v>347</v>
      </c>
      <c r="D421" s="5">
        <v>1</v>
      </c>
      <c r="E421" s="14">
        <v>0</v>
      </c>
      <c r="F421" s="5"/>
      <c r="G421" s="5">
        <v>16.75</v>
      </c>
      <c r="H421" s="5"/>
      <c r="I421" s="5">
        <v>400</v>
      </c>
      <c r="J421" s="5"/>
      <c r="K421" s="5">
        <f t="shared" si="27"/>
        <v>0.6420676719778271</v>
      </c>
      <c r="L421" s="5"/>
      <c r="M421" s="25">
        <v>0</v>
      </c>
      <c r="N421" s="25">
        <v>0</v>
      </c>
      <c r="O421" s="5"/>
    </row>
    <row r="422" spans="1:15" x14ac:dyDescent="0.25">
      <c r="A422" s="2" t="s">
        <v>99</v>
      </c>
      <c r="B422" s="2"/>
      <c r="C422" s="5">
        <v>350</v>
      </c>
      <c r="D422" s="5">
        <v>1</v>
      </c>
      <c r="E422" s="14">
        <v>0</v>
      </c>
      <c r="F422" s="5"/>
      <c r="G422" s="5"/>
      <c r="H422" s="5">
        <v>24.43</v>
      </c>
      <c r="I422" s="5">
        <v>2</v>
      </c>
      <c r="J422" s="5">
        <v>95</v>
      </c>
      <c r="K422" s="5">
        <f t="shared" si="27"/>
        <v>0.49005994214809856</v>
      </c>
      <c r="L422" s="5"/>
      <c r="M422" s="25">
        <v>0</v>
      </c>
      <c r="N422" s="25">
        <v>0</v>
      </c>
      <c r="O422" s="5"/>
    </row>
    <row r="423" spans="1:15" x14ac:dyDescent="0.25">
      <c r="A423" s="2" t="s">
        <v>230</v>
      </c>
      <c r="B423" s="2"/>
      <c r="C423" s="5">
        <v>350</v>
      </c>
      <c r="D423" s="5">
        <v>4</v>
      </c>
      <c r="E423" s="14">
        <v>0</v>
      </c>
      <c r="F423" s="5"/>
      <c r="G423" s="5"/>
      <c r="H423" s="5">
        <v>17.8</v>
      </c>
      <c r="I423" s="5">
        <v>1</v>
      </c>
      <c r="J423" s="5">
        <v>96</v>
      </c>
      <c r="K423" s="5">
        <f t="shared" si="27"/>
        <v>0.39549306282367586</v>
      </c>
      <c r="L423" s="5"/>
      <c r="M423" s="25">
        <v>0</v>
      </c>
      <c r="N423" s="25">
        <v>0</v>
      </c>
      <c r="O423" s="5"/>
    </row>
    <row r="424" spans="1:15" x14ac:dyDescent="0.25">
      <c r="A424" s="2" t="s">
        <v>100</v>
      </c>
      <c r="B424" s="2"/>
      <c r="C424" s="5">
        <v>355</v>
      </c>
      <c r="D424" s="5">
        <v>1</v>
      </c>
      <c r="E424" s="14">
        <v>0</v>
      </c>
      <c r="F424" s="5"/>
      <c r="G424" s="5"/>
      <c r="H424" s="5">
        <v>5.09</v>
      </c>
      <c r="I424" s="5">
        <v>1</v>
      </c>
      <c r="J424" s="5">
        <v>79</v>
      </c>
      <c r="K424" s="5">
        <f t="shared" si="27"/>
        <v>0.24602923426345225</v>
      </c>
      <c r="L424" s="5"/>
      <c r="M424" s="25">
        <v>0</v>
      </c>
      <c r="N424" s="25">
        <v>0</v>
      </c>
      <c r="O424" s="5"/>
    </row>
    <row r="425" spans="1:15" x14ac:dyDescent="0.25">
      <c r="A425" s="2" t="s">
        <v>101</v>
      </c>
      <c r="B425" s="2"/>
      <c r="C425" s="5">
        <v>357</v>
      </c>
      <c r="D425" s="5">
        <v>1</v>
      </c>
      <c r="E425" s="14">
        <v>0</v>
      </c>
      <c r="F425" s="5">
        <v>0</v>
      </c>
      <c r="G425" s="5"/>
      <c r="H425" s="5"/>
      <c r="I425" s="5"/>
      <c r="J425" s="5"/>
      <c r="K425" s="5" t="b">
        <f t="shared" si="27"/>
        <v>0</v>
      </c>
      <c r="L425" s="5"/>
      <c r="M425" s="25">
        <v>0</v>
      </c>
      <c r="N425" s="25">
        <v>0</v>
      </c>
      <c r="O425" s="5" t="s">
        <v>629</v>
      </c>
    </row>
    <row r="426" spans="1:15" x14ac:dyDescent="0.25">
      <c r="A426" s="2" t="s">
        <v>231</v>
      </c>
      <c r="B426" s="2"/>
      <c r="C426" s="5">
        <v>357</v>
      </c>
      <c r="D426" s="5">
        <v>1</v>
      </c>
      <c r="E426" s="14">
        <v>0</v>
      </c>
      <c r="F426" s="5">
        <v>0</v>
      </c>
      <c r="G426" s="5"/>
      <c r="H426" s="5"/>
      <c r="I426" s="5"/>
      <c r="J426" s="5"/>
      <c r="K426" s="5" t="b">
        <f t="shared" si="27"/>
        <v>0</v>
      </c>
      <c r="L426" s="5"/>
      <c r="O426" t="s">
        <v>630</v>
      </c>
    </row>
    <row r="427" spans="1:15" x14ac:dyDescent="0.25">
      <c r="A427" s="2" t="s">
        <v>102</v>
      </c>
      <c r="B427" s="2"/>
      <c r="C427" s="5">
        <v>361</v>
      </c>
      <c r="D427" s="5">
        <v>1</v>
      </c>
      <c r="E427" s="5">
        <v>0</v>
      </c>
      <c r="F427" s="5"/>
      <c r="G427" s="5"/>
      <c r="H427" s="5">
        <v>0.5</v>
      </c>
      <c r="I427" s="5">
        <v>1</v>
      </c>
      <c r="J427" s="5">
        <v>78</v>
      </c>
      <c r="K427" s="5">
        <f t="shared" ref="K427:K441" si="28">IF(NOT(ISBLANK(G427)),SQRT((G427^2*1/I427)/(G427^2*1/I427+1)),IF(NOT(ISBLANK(H427)),SQRT((H427*I427/J427)/(H427*I427/J427+1)*SQRT(1/I427))))</f>
        <v>7.9808688446762213E-2</v>
      </c>
      <c r="L427" s="5"/>
      <c r="M427" s="25">
        <v>0</v>
      </c>
      <c r="N427" s="25">
        <v>0</v>
      </c>
      <c r="O427" s="5" t="s">
        <v>631</v>
      </c>
    </row>
    <row r="428" spans="1:15" x14ac:dyDescent="0.25">
      <c r="A428" s="2" t="s">
        <v>232</v>
      </c>
      <c r="B428" s="2"/>
      <c r="C428" s="5">
        <v>361</v>
      </c>
      <c r="D428" s="5">
        <v>1</v>
      </c>
      <c r="E428" s="5">
        <v>1</v>
      </c>
      <c r="F428" s="5"/>
      <c r="G428" s="5"/>
      <c r="H428" s="5">
        <v>0.5</v>
      </c>
      <c r="I428" s="5">
        <v>1</v>
      </c>
      <c r="J428" s="5">
        <v>78</v>
      </c>
      <c r="K428" s="5">
        <f t="shared" si="28"/>
        <v>7.9808688446762213E-2</v>
      </c>
      <c r="L428" s="5"/>
      <c r="M428" s="25">
        <v>0</v>
      </c>
      <c r="N428" s="25">
        <v>0</v>
      </c>
      <c r="O428" s="5"/>
    </row>
    <row r="429" spans="1:15" x14ac:dyDescent="0.25">
      <c r="A429" s="18" t="s">
        <v>674</v>
      </c>
      <c r="B429" s="16"/>
      <c r="C429">
        <v>363</v>
      </c>
      <c r="D429">
        <v>1</v>
      </c>
      <c r="E429">
        <v>0</v>
      </c>
      <c r="K429" t="b">
        <f>IF(NOT(ISBLANK(F429)),SQRT((F429^2*1/H429)/(F429^2*1/H429+1)),IF(NOT(ISBLANK(G429)),SQRT((G429*H429/I429)/(G429*H429/I429+1)*SQRT(1/H429))))</f>
        <v>0</v>
      </c>
      <c r="M429" s="25">
        <v>0</v>
      </c>
      <c r="N429" s="25">
        <v>0</v>
      </c>
    </row>
    <row r="430" spans="1:15" s="16" customFormat="1" x14ac:dyDescent="0.25">
      <c r="A430" s="18" t="s">
        <v>675</v>
      </c>
      <c r="C430" s="17">
        <v>363</v>
      </c>
      <c r="D430" s="17">
        <v>1</v>
      </c>
      <c r="E430" s="17">
        <v>0</v>
      </c>
      <c r="K430" t="b">
        <f>IF(NOT(ISBLANK(F430)),SQRT((F430^2*1/H430)/(F430^2*1/H430+1)),IF(NOT(ISBLANK(G430)),SQRT((G430*H430/I430)/(G430*H430/I430+1)*SQRT(1/H430))))</f>
        <v>0</v>
      </c>
      <c r="M430" s="25">
        <v>0</v>
      </c>
      <c r="N430" s="25">
        <v>0</v>
      </c>
    </row>
    <row r="431" spans="1:15" x14ac:dyDescent="0.25">
      <c r="A431" s="2" t="s">
        <v>103</v>
      </c>
      <c r="B431" s="2"/>
      <c r="C431" s="5">
        <v>370</v>
      </c>
      <c r="D431" s="5">
        <v>1</v>
      </c>
      <c r="E431" s="5">
        <v>0</v>
      </c>
      <c r="F431" s="5">
        <v>0</v>
      </c>
      <c r="G431" s="5"/>
      <c r="H431" s="5"/>
      <c r="I431" s="5"/>
      <c r="J431" s="5"/>
      <c r="K431" s="5" t="b">
        <f t="shared" si="28"/>
        <v>0</v>
      </c>
      <c r="L431" s="5"/>
      <c r="O431" s="5"/>
    </row>
    <row r="432" spans="1:15" x14ac:dyDescent="0.25">
      <c r="A432" s="2" t="s">
        <v>104</v>
      </c>
      <c r="B432" s="2"/>
      <c r="C432" s="5">
        <v>373</v>
      </c>
      <c r="D432" s="5">
        <v>0</v>
      </c>
      <c r="E432" s="5">
        <v>0</v>
      </c>
      <c r="F432" s="5"/>
      <c r="G432" s="5"/>
      <c r="H432" s="5"/>
      <c r="I432" s="5"/>
      <c r="J432" s="5"/>
      <c r="K432" s="5" t="b">
        <f t="shared" si="28"/>
        <v>0</v>
      </c>
      <c r="L432" s="5"/>
      <c r="O432" s="5"/>
    </row>
    <row r="433" spans="1:15" x14ac:dyDescent="0.25">
      <c r="A433" s="2" t="s">
        <v>233</v>
      </c>
      <c r="B433" s="2"/>
      <c r="C433" s="5">
        <v>373</v>
      </c>
      <c r="D433" s="5">
        <v>3</v>
      </c>
      <c r="E433" s="5">
        <v>0</v>
      </c>
      <c r="F433" s="5">
        <v>0</v>
      </c>
      <c r="G433" s="5"/>
      <c r="H433" s="5"/>
      <c r="I433" s="5"/>
      <c r="J433" s="5"/>
      <c r="K433" s="5" t="b">
        <f t="shared" si="28"/>
        <v>0</v>
      </c>
      <c r="L433" s="5"/>
      <c r="O433" s="5"/>
    </row>
    <row r="434" spans="1:15" x14ac:dyDescent="0.25">
      <c r="A434" s="2" t="s">
        <v>317</v>
      </c>
      <c r="B434" s="2"/>
      <c r="C434" s="5">
        <v>373</v>
      </c>
      <c r="D434" s="5">
        <v>3</v>
      </c>
      <c r="E434" s="5">
        <v>0</v>
      </c>
      <c r="F434" s="5">
        <v>0</v>
      </c>
      <c r="G434" s="5"/>
      <c r="H434" s="5"/>
      <c r="I434" s="5"/>
      <c r="J434" s="5"/>
      <c r="K434" s="5" t="b">
        <f t="shared" si="28"/>
        <v>0</v>
      </c>
      <c r="L434" s="5"/>
      <c r="O434" s="5"/>
    </row>
    <row r="435" spans="1:15" x14ac:dyDescent="0.25">
      <c r="A435" s="2" t="s">
        <v>453</v>
      </c>
      <c r="B435" s="2"/>
      <c r="C435" s="5">
        <v>373</v>
      </c>
      <c r="D435" s="5">
        <v>1</v>
      </c>
      <c r="E435" s="5">
        <v>0</v>
      </c>
      <c r="F435" s="5"/>
      <c r="G435" s="5"/>
      <c r="H435" s="5"/>
      <c r="I435" s="5"/>
      <c r="J435" s="5"/>
      <c r="K435" s="5" t="b">
        <f t="shared" si="28"/>
        <v>0</v>
      </c>
      <c r="L435" s="5"/>
      <c r="O435" s="5"/>
    </row>
    <row r="436" spans="1:15" x14ac:dyDescent="0.25">
      <c r="A436" s="2" t="s">
        <v>523</v>
      </c>
      <c r="B436" s="2"/>
      <c r="C436" s="5">
        <v>373</v>
      </c>
      <c r="D436" s="5">
        <v>3</v>
      </c>
      <c r="E436" s="5">
        <v>0</v>
      </c>
      <c r="F436" s="5"/>
      <c r="G436" s="5"/>
      <c r="H436" s="5"/>
      <c r="I436" s="5"/>
      <c r="J436" s="5"/>
      <c r="K436" s="5" t="b">
        <f t="shared" si="28"/>
        <v>0</v>
      </c>
      <c r="L436" s="5"/>
      <c r="O436" s="5"/>
    </row>
    <row r="437" spans="1:15" x14ac:dyDescent="0.25">
      <c r="A437" s="2" t="s">
        <v>538</v>
      </c>
      <c r="B437" s="2"/>
      <c r="C437" s="5">
        <v>373</v>
      </c>
      <c r="D437" s="5">
        <v>3</v>
      </c>
      <c r="E437" s="5">
        <v>0</v>
      </c>
      <c r="F437" s="5">
        <v>0</v>
      </c>
      <c r="G437" s="5"/>
      <c r="H437" s="5"/>
      <c r="I437" s="5"/>
      <c r="J437" s="5"/>
      <c r="K437" s="5" t="b">
        <f t="shared" si="28"/>
        <v>0</v>
      </c>
      <c r="L437" s="5"/>
      <c r="O437" s="5"/>
    </row>
    <row r="438" spans="1:15" x14ac:dyDescent="0.25">
      <c r="A438" s="2" t="s">
        <v>561</v>
      </c>
      <c r="B438" s="2"/>
      <c r="C438" s="5">
        <v>373</v>
      </c>
      <c r="D438" s="5">
        <v>3</v>
      </c>
      <c r="E438" s="5">
        <v>0</v>
      </c>
      <c r="F438" s="5">
        <v>0</v>
      </c>
      <c r="G438" s="5"/>
      <c r="H438" s="5"/>
      <c r="I438" s="5"/>
      <c r="J438" s="5"/>
      <c r="K438" s="5" t="b">
        <f t="shared" si="28"/>
        <v>0</v>
      </c>
      <c r="L438" s="5"/>
      <c r="O438" s="5"/>
    </row>
    <row r="439" spans="1:15" x14ac:dyDescent="0.25">
      <c r="A439" s="2" t="s">
        <v>569</v>
      </c>
      <c r="B439" s="2"/>
      <c r="C439" s="5">
        <v>373</v>
      </c>
      <c r="D439" s="5">
        <v>1</v>
      </c>
      <c r="E439" s="5">
        <v>0</v>
      </c>
      <c r="F439" s="5">
        <v>0</v>
      </c>
      <c r="G439" s="5"/>
      <c r="H439" s="5"/>
      <c r="I439" s="5"/>
      <c r="J439" s="5"/>
      <c r="K439" s="5" t="b">
        <f t="shared" si="28"/>
        <v>0</v>
      </c>
      <c r="L439" s="5"/>
      <c r="O439" s="12" t="s">
        <v>632</v>
      </c>
    </row>
    <row r="440" spans="1:15" x14ac:dyDescent="0.25">
      <c r="A440" s="2" t="s">
        <v>105</v>
      </c>
      <c r="B440" s="2"/>
      <c r="C440" s="5">
        <v>375</v>
      </c>
      <c r="D440" s="5">
        <v>1</v>
      </c>
      <c r="E440" s="5">
        <v>0</v>
      </c>
      <c r="F440" s="5"/>
      <c r="G440" s="5"/>
      <c r="H440" s="5">
        <v>178.33</v>
      </c>
      <c r="I440" s="5">
        <v>1</v>
      </c>
      <c r="J440" s="5">
        <v>396</v>
      </c>
      <c r="K440" s="5">
        <f t="shared" si="28"/>
        <v>0.55722610448560839</v>
      </c>
      <c r="L440" s="5"/>
      <c r="M440" s="25">
        <v>0</v>
      </c>
      <c r="N440" s="25">
        <v>0</v>
      </c>
      <c r="O440" s="5"/>
    </row>
    <row r="441" spans="1:15" x14ac:dyDescent="0.25">
      <c r="A441" s="2" t="s">
        <v>318</v>
      </c>
      <c r="B441" s="2"/>
      <c r="C441" s="5">
        <v>375</v>
      </c>
      <c r="D441" s="5">
        <v>0</v>
      </c>
      <c r="E441" s="5">
        <v>0</v>
      </c>
      <c r="F441" s="5"/>
      <c r="G441" s="5"/>
      <c r="H441" s="5"/>
      <c r="I441" s="5"/>
      <c r="J441" s="5"/>
      <c r="K441" s="5" t="b">
        <f t="shared" si="28"/>
        <v>0</v>
      </c>
      <c r="L441" s="5"/>
      <c r="O441" s="5"/>
    </row>
    <row r="442" spans="1:15" x14ac:dyDescent="0.25">
      <c r="A442" s="2" t="s">
        <v>380</v>
      </c>
      <c r="B442" s="2"/>
      <c r="C442" s="5">
        <v>375</v>
      </c>
      <c r="D442" s="5">
        <v>1</v>
      </c>
      <c r="E442" s="5">
        <v>0</v>
      </c>
      <c r="F442" s="5"/>
      <c r="G442" s="5"/>
      <c r="H442" s="5"/>
      <c r="I442" s="5"/>
      <c r="J442" s="5"/>
      <c r="K442" s="5">
        <v>0.44</v>
      </c>
      <c r="L442" s="5"/>
      <c r="M442" s="25">
        <v>0</v>
      </c>
      <c r="N442" s="25">
        <v>0</v>
      </c>
      <c r="O442" s="5"/>
    </row>
    <row r="443" spans="1:15" x14ac:dyDescent="0.25">
      <c r="A443" s="2" t="s">
        <v>421</v>
      </c>
      <c r="B443" s="2"/>
      <c r="C443" s="5">
        <v>375</v>
      </c>
      <c r="D443" s="5">
        <v>1</v>
      </c>
      <c r="E443" s="5">
        <v>0</v>
      </c>
      <c r="F443" s="5"/>
      <c r="G443" s="5"/>
      <c r="H443" s="5"/>
      <c r="I443" s="5"/>
      <c r="J443" s="5"/>
      <c r="K443" s="5">
        <v>0.39</v>
      </c>
      <c r="L443" s="5"/>
      <c r="M443" s="25">
        <v>0</v>
      </c>
      <c r="N443" s="25">
        <v>0</v>
      </c>
      <c r="O443" s="5"/>
    </row>
    <row r="444" spans="1:15" x14ac:dyDescent="0.25">
      <c r="A444" s="2" t="s">
        <v>454</v>
      </c>
      <c r="B444" s="2"/>
      <c r="C444" s="5">
        <v>375</v>
      </c>
      <c r="D444" s="5">
        <v>1</v>
      </c>
      <c r="E444" s="5">
        <v>0</v>
      </c>
      <c r="F444" s="5">
        <v>0</v>
      </c>
      <c r="G444" s="5"/>
      <c r="H444" s="5"/>
      <c r="I444" s="5"/>
      <c r="J444" s="5"/>
      <c r="K444" s="5" t="b">
        <f t="shared" ref="K444:K446" si="29">IF(NOT(ISBLANK(G444)),SQRT((G444^2*1/I444)/(G444^2*1/I444+1)),IF(NOT(ISBLANK(H444)),SQRT((H444*I444/J444)/(H444*I444/J444+1)*SQRT(1/I444))))</f>
        <v>0</v>
      </c>
      <c r="L444" s="5"/>
      <c r="M444" s="25" t="s">
        <v>676</v>
      </c>
      <c r="N444" s="25" t="s">
        <v>676</v>
      </c>
      <c r="O444" s="5" t="s">
        <v>602</v>
      </c>
    </row>
    <row r="445" spans="1:15" x14ac:dyDescent="0.25">
      <c r="A445" s="2" t="s">
        <v>106</v>
      </c>
      <c r="B445" s="2"/>
      <c r="C445" s="5">
        <v>376</v>
      </c>
      <c r="D445" s="5">
        <v>1</v>
      </c>
      <c r="E445" s="5">
        <v>0</v>
      </c>
      <c r="F445" s="5"/>
      <c r="G445" s="5">
        <v>2.4</v>
      </c>
      <c r="H445" s="5"/>
      <c r="I445" s="5">
        <v>198</v>
      </c>
      <c r="J445" s="5"/>
      <c r="K445" s="5">
        <f t="shared" si="29"/>
        <v>0.16813254068367942</v>
      </c>
      <c r="L445" s="5"/>
      <c r="M445" s="25">
        <v>0</v>
      </c>
      <c r="N445" s="25">
        <v>0</v>
      </c>
      <c r="O445" s="5"/>
    </row>
    <row r="446" spans="1:15" x14ac:dyDescent="0.25">
      <c r="A446" s="2" t="s">
        <v>107</v>
      </c>
      <c r="B446" s="2"/>
      <c r="C446" s="5">
        <v>379</v>
      </c>
      <c r="D446" s="5">
        <v>1</v>
      </c>
      <c r="E446" s="5">
        <v>0</v>
      </c>
      <c r="F446" s="5"/>
      <c r="G446" s="5">
        <v>-7.41</v>
      </c>
      <c r="H446" s="5"/>
      <c r="I446" s="5">
        <v>183</v>
      </c>
      <c r="J446" s="5"/>
      <c r="K446" s="5">
        <f t="shared" si="29"/>
        <v>0.48041171986606568</v>
      </c>
      <c r="L446" s="5"/>
      <c r="M446" s="25">
        <v>0</v>
      </c>
      <c r="N446" s="25">
        <v>0</v>
      </c>
      <c r="O446" s="5"/>
    </row>
    <row r="447" spans="1:15" x14ac:dyDescent="0.25">
      <c r="A447" s="2" t="s">
        <v>108</v>
      </c>
      <c r="B447" s="2"/>
      <c r="C447" s="5">
        <v>383</v>
      </c>
      <c r="D447" s="5">
        <v>3</v>
      </c>
      <c r="E447" s="5">
        <v>0</v>
      </c>
      <c r="F447" s="5"/>
      <c r="G447" s="5"/>
      <c r="H447" s="5">
        <v>0.41</v>
      </c>
      <c r="I447" s="5">
        <v>1</v>
      </c>
      <c r="J447" s="5">
        <v>77</v>
      </c>
      <c r="K447" s="5">
        <f>IF(NOT(ISBLANK(G447)),SQRT((G447^2*1/I447)/(G447^2*1/I447+1)),IF(NOT(ISBLANK(H447)),SQRT((H447*I447/J447)/(H447*I447/J447+1)*SQRT(1/I447))))</f>
        <v>7.2776873551011825E-2</v>
      </c>
      <c r="L447" s="5"/>
      <c r="M447" s="25">
        <v>0</v>
      </c>
      <c r="N447" s="25">
        <v>0</v>
      </c>
      <c r="O447" s="5" t="s">
        <v>635</v>
      </c>
    </row>
    <row r="448" spans="1:15" x14ac:dyDescent="0.25">
      <c r="A448" s="2" t="s">
        <v>234</v>
      </c>
      <c r="B448" s="2"/>
      <c r="C448" s="5">
        <v>383</v>
      </c>
      <c r="D448" s="5">
        <v>1</v>
      </c>
      <c r="E448" s="5">
        <v>0</v>
      </c>
      <c r="F448" s="5"/>
      <c r="G448" s="5"/>
      <c r="H448" s="5">
        <v>0.22</v>
      </c>
      <c r="I448" s="5">
        <v>1</v>
      </c>
      <c r="J448" s="5">
        <v>77</v>
      </c>
      <c r="K448" s="5">
        <f>IF(NOT(ISBLANK(G448)),SQRT((G448^2*1/I448)/(G448^2*1/I448+1)),IF(NOT(ISBLANK(H448)),SQRT((H448*I448/J448)/(H448*I448/J448+1)*SQRT(1/I448))))</f>
        <v>5.3376051268362375E-2</v>
      </c>
      <c r="L448" s="5"/>
      <c r="M448" s="25">
        <v>0</v>
      </c>
      <c r="N448" s="25">
        <v>0</v>
      </c>
      <c r="O448" s="5"/>
    </row>
    <row r="449" spans="1:16" x14ac:dyDescent="0.25">
      <c r="A449" s="2" t="s">
        <v>319</v>
      </c>
      <c r="B449" s="2"/>
      <c r="C449" s="5">
        <v>383</v>
      </c>
      <c r="D449" s="5">
        <v>3</v>
      </c>
      <c r="E449" s="5">
        <v>0</v>
      </c>
      <c r="F449" s="5"/>
      <c r="G449" s="5"/>
      <c r="H449" s="5">
        <v>8.68</v>
      </c>
      <c r="I449" s="5">
        <v>1</v>
      </c>
      <c r="J449" s="5">
        <v>77</v>
      </c>
      <c r="K449" s="5">
        <f>IF(NOT(ISBLANK(G449)),SQRT((G449^2*1/I449)/(G449^2*1/I449+1)),IF(NOT(ISBLANK(H449)),SQRT((H449*I449/J449)/(H449*I449/J449+1)*SQRT(1/I449))))</f>
        <v>0.31828790354407699</v>
      </c>
      <c r="L449" s="5"/>
      <c r="M449" s="25">
        <v>0</v>
      </c>
      <c r="N449" s="25">
        <v>0</v>
      </c>
      <c r="O449" s="5" t="s">
        <v>635</v>
      </c>
    </row>
    <row r="450" spans="1:16" x14ac:dyDescent="0.25">
      <c r="A450" s="2" t="s">
        <v>381</v>
      </c>
      <c r="B450" s="2"/>
      <c r="C450" s="5">
        <v>383</v>
      </c>
      <c r="D450" s="5">
        <v>3</v>
      </c>
      <c r="E450" s="5">
        <v>0</v>
      </c>
      <c r="F450" s="5"/>
      <c r="G450" s="5"/>
      <c r="H450" s="5">
        <v>3.04</v>
      </c>
      <c r="I450" s="5">
        <v>1</v>
      </c>
      <c r="J450" s="5">
        <v>77</v>
      </c>
      <c r="K450" s="5">
        <f>IF(NOT(ISBLANK(G450)),SQRT((G450^2*1/I450)/(G450^2*1/I450+1)),IF(NOT(ISBLANK(H450)),SQRT((H450*I450/J450)/(H450*I450/J450+1)*SQRT(1/I450))))</f>
        <v>0.19488717119208329</v>
      </c>
      <c r="L450" s="5"/>
      <c r="M450" s="25">
        <v>0</v>
      </c>
      <c r="N450" s="25">
        <v>0</v>
      </c>
      <c r="O450" s="5" t="s">
        <v>635</v>
      </c>
    </row>
    <row r="451" spans="1:16" x14ac:dyDescent="0.25">
      <c r="A451" s="2" t="s">
        <v>109</v>
      </c>
      <c r="B451" s="2"/>
      <c r="C451" s="5">
        <v>384</v>
      </c>
      <c r="D451" s="5">
        <v>1</v>
      </c>
      <c r="E451" s="5">
        <v>0</v>
      </c>
      <c r="F451" s="5"/>
      <c r="G451" s="5"/>
      <c r="H451" s="5"/>
      <c r="I451" s="5"/>
      <c r="J451" s="5"/>
      <c r="K451" s="5">
        <v>0.36099999999999999</v>
      </c>
      <c r="L451" s="5"/>
      <c r="O451" s="5"/>
    </row>
    <row r="452" spans="1:16" x14ac:dyDescent="0.25">
      <c r="A452" s="2" t="s">
        <v>320</v>
      </c>
      <c r="B452" s="2"/>
      <c r="C452" s="5">
        <v>384</v>
      </c>
      <c r="D452" s="5">
        <v>1</v>
      </c>
      <c r="E452" s="5">
        <v>0</v>
      </c>
      <c r="F452" s="5"/>
      <c r="G452" s="5"/>
      <c r="H452" s="5"/>
      <c r="I452" s="5"/>
      <c r="J452" s="5"/>
      <c r="K452" s="5">
        <v>0.32800000000000001</v>
      </c>
      <c r="L452" s="5"/>
      <c r="O452" s="5"/>
    </row>
    <row r="453" spans="1:16" x14ac:dyDescent="0.25">
      <c r="A453" s="2" t="s">
        <v>110</v>
      </c>
      <c r="B453" s="2"/>
      <c r="C453" s="5">
        <v>385</v>
      </c>
      <c r="D453" s="5">
        <v>2</v>
      </c>
      <c r="E453" s="5">
        <v>0</v>
      </c>
      <c r="F453" s="5">
        <v>0</v>
      </c>
      <c r="G453" s="5"/>
      <c r="H453" s="5"/>
      <c r="I453" s="5"/>
      <c r="J453" s="5"/>
      <c r="K453" s="5" t="b">
        <f t="shared" ref="K453:K469" si="30">IF(NOT(ISBLANK(G453)),SQRT((G453^2*1/I453)/(G453^2*1/I453+1)),IF(NOT(ISBLANK(H453)),SQRT((H453*I453/J453)/(H453*I453/J453+1)*SQRT(1/I453))))</f>
        <v>0</v>
      </c>
      <c r="L453" s="5"/>
      <c r="O453" s="5"/>
    </row>
    <row r="454" spans="1:16" x14ac:dyDescent="0.25">
      <c r="A454" s="2" t="s">
        <v>235</v>
      </c>
      <c r="B454" s="2"/>
      <c r="C454" s="5">
        <v>385</v>
      </c>
      <c r="D454" s="5">
        <v>1</v>
      </c>
      <c r="E454" s="5">
        <v>0</v>
      </c>
      <c r="F454" s="5">
        <v>0</v>
      </c>
      <c r="G454" s="5"/>
      <c r="H454" s="5"/>
      <c r="I454" s="5"/>
      <c r="J454" s="5"/>
      <c r="K454" s="5" t="b">
        <f t="shared" si="30"/>
        <v>0</v>
      </c>
      <c r="L454" s="5"/>
      <c r="O454" s="5"/>
    </row>
    <row r="455" spans="1:16" x14ac:dyDescent="0.25">
      <c r="A455" s="2" t="s">
        <v>321</v>
      </c>
      <c r="B455" s="2"/>
      <c r="C455" s="5">
        <v>385</v>
      </c>
      <c r="D455" s="5">
        <v>2</v>
      </c>
      <c r="E455" s="5">
        <v>0</v>
      </c>
      <c r="F455" s="5">
        <v>0</v>
      </c>
      <c r="G455" s="5"/>
      <c r="H455" s="5"/>
      <c r="I455" s="5"/>
      <c r="J455" s="5"/>
      <c r="K455" s="5" t="b">
        <f t="shared" si="30"/>
        <v>0</v>
      </c>
      <c r="L455" s="5"/>
      <c r="O455" s="5"/>
    </row>
    <row r="456" spans="1:16" x14ac:dyDescent="0.25">
      <c r="A456" s="2" t="s">
        <v>111</v>
      </c>
      <c r="B456" s="2"/>
      <c r="C456" s="5">
        <v>388</v>
      </c>
      <c r="D456" s="5">
        <v>1</v>
      </c>
      <c r="E456" s="5">
        <v>0</v>
      </c>
      <c r="F456" s="5"/>
      <c r="G456" s="5"/>
      <c r="H456" s="5">
        <v>7.16</v>
      </c>
      <c r="I456" s="5">
        <v>3</v>
      </c>
      <c r="J456" s="5">
        <v>561</v>
      </c>
      <c r="K456" s="5">
        <f t="shared" si="30"/>
        <v>0.14591378252010634</v>
      </c>
      <c r="L456" s="5"/>
      <c r="M456" s="25">
        <v>0</v>
      </c>
      <c r="N456" s="25">
        <v>0</v>
      </c>
      <c r="O456" s="5"/>
    </row>
    <row r="457" spans="1:16" x14ac:dyDescent="0.25">
      <c r="A457" s="2" t="s">
        <v>236</v>
      </c>
      <c r="B457" s="2"/>
      <c r="C457" s="5">
        <v>388</v>
      </c>
      <c r="D457" s="5">
        <v>2</v>
      </c>
      <c r="E457" s="5">
        <v>0</v>
      </c>
      <c r="F457" s="5"/>
      <c r="G457" s="5">
        <v>-3.31</v>
      </c>
      <c r="H457" s="5"/>
      <c r="I457" s="5">
        <v>425</v>
      </c>
      <c r="J457" s="5"/>
      <c r="K457" s="5">
        <f t="shared" si="30"/>
        <v>0.15852823135610428</v>
      </c>
      <c r="L457" s="5"/>
      <c r="O457" s="5"/>
      <c r="P457" s="5" t="s">
        <v>696</v>
      </c>
    </row>
    <row r="458" spans="1:16" x14ac:dyDescent="0.25">
      <c r="A458" s="2" t="s">
        <v>112</v>
      </c>
      <c r="B458" s="2"/>
      <c r="C458" s="5">
        <v>390</v>
      </c>
      <c r="D458" s="5">
        <v>1</v>
      </c>
      <c r="E458" s="5">
        <v>0</v>
      </c>
      <c r="F458" s="5"/>
      <c r="G458" s="5">
        <v>1.28</v>
      </c>
      <c r="H458" s="5"/>
      <c r="I458" s="5">
        <v>77</v>
      </c>
      <c r="J458" s="5"/>
      <c r="K458" s="5">
        <f t="shared" si="30"/>
        <v>0.14434197233204032</v>
      </c>
      <c r="L458" s="5"/>
      <c r="M458" s="25">
        <v>0</v>
      </c>
      <c r="N458" s="25">
        <v>0</v>
      </c>
      <c r="O458" s="5"/>
    </row>
    <row r="459" spans="1:16" x14ac:dyDescent="0.25">
      <c r="A459" s="2" t="s">
        <v>113</v>
      </c>
      <c r="B459" s="2"/>
      <c r="C459" s="5">
        <v>396</v>
      </c>
      <c r="D459" s="5">
        <v>1</v>
      </c>
      <c r="E459" s="5">
        <v>0</v>
      </c>
      <c r="F459" s="5">
        <v>0</v>
      </c>
      <c r="G459" s="5"/>
      <c r="H459" s="5"/>
      <c r="I459" s="5"/>
      <c r="J459" s="5"/>
      <c r="K459" s="5" t="b">
        <f t="shared" si="30"/>
        <v>0</v>
      </c>
      <c r="L459" s="5"/>
      <c r="M459" s="25">
        <v>0</v>
      </c>
      <c r="N459" s="25">
        <v>0</v>
      </c>
      <c r="O459" s="5"/>
    </row>
    <row r="460" spans="1:16" x14ac:dyDescent="0.25">
      <c r="A460" s="2" t="s">
        <v>237</v>
      </c>
      <c r="B460" s="2"/>
      <c r="C460" s="5">
        <v>396</v>
      </c>
      <c r="D460" s="5">
        <v>1</v>
      </c>
      <c r="E460" s="5">
        <v>0</v>
      </c>
      <c r="F460" s="5">
        <v>0</v>
      </c>
      <c r="G460" s="5"/>
      <c r="H460" s="5"/>
      <c r="I460" s="5"/>
      <c r="J460" s="5"/>
      <c r="K460" s="5" t="b">
        <f t="shared" si="30"/>
        <v>0</v>
      </c>
      <c r="L460" s="5"/>
      <c r="M460" s="25">
        <v>0</v>
      </c>
      <c r="N460" s="25">
        <v>0</v>
      </c>
      <c r="O460" s="5" t="s">
        <v>636</v>
      </c>
    </row>
    <row r="461" spans="1:16" x14ac:dyDescent="0.25">
      <c r="A461" s="2" t="s">
        <v>322</v>
      </c>
      <c r="B461" s="2"/>
      <c r="C461" s="5">
        <v>396</v>
      </c>
      <c r="D461" s="5">
        <v>1</v>
      </c>
      <c r="E461" s="5">
        <v>0</v>
      </c>
      <c r="F461" s="5"/>
      <c r="G461" s="5">
        <v>0.79</v>
      </c>
      <c r="H461" s="5"/>
      <c r="I461" s="5">
        <v>246</v>
      </c>
      <c r="J461" s="5"/>
      <c r="K461" s="5">
        <f t="shared" si="30"/>
        <v>5.0304789332233091E-2</v>
      </c>
      <c r="L461" s="5"/>
      <c r="M461" s="25">
        <v>0</v>
      </c>
      <c r="N461" s="25">
        <v>0</v>
      </c>
      <c r="O461" s="5"/>
    </row>
    <row r="462" spans="1:16" x14ac:dyDescent="0.25">
      <c r="A462" s="2" t="s">
        <v>422</v>
      </c>
      <c r="B462" s="2"/>
      <c r="C462" s="5">
        <v>396</v>
      </c>
      <c r="D462" s="5">
        <v>1</v>
      </c>
      <c r="E462" s="5">
        <v>1</v>
      </c>
      <c r="F462" s="5"/>
      <c r="G462" s="5">
        <v>0.79</v>
      </c>
      <c r="H462" s="5"/>
      <c r="I462" s="5">
        <v>246</v>
      </c>
      <c r="J462" s="5"/>
      <c r="K462" s="5">
        <f t="shared" si="30"/>
        <v>5.0304789332233091E-2</v>
      </c>
      <c r="L462" s="5"/>
      <c r="M462" s="25">
        <v>0</v>
      </c>
      <c r="N462" s="25">
        <v>0</v>
      </c>
      <c r="O462" s="5"/>
    </row>
    <row r="463" spans="1:16" x14ac:dyDescent="0.25">
      <c r="A463" s="2" t="s">
        <v>455</v>
      </c>
      <c r="B463" s="2"/>
      <c r="C463" s="5">
        <v>396</v>
      </c>
      <c r="D463" s="5">
        <v>1</v>
      </c>
      <c r="E463" s="5">
        <v>0</v>
      </c>
      <c r="F463" s="5"/>
      <c r="G463" s="5">
        <v>3.99</v>
      </c>
      <c r="H463" s="5"/>
      <c r="I463" s="5">
        <v>184</v>
      </c>
      <c r="J463" s="5"/>
      <c r="K463" s="5">
        <f t="shared" si="30"/>
        <v>0.28219197917213573</v>
      </c>
      <c r="L463" s="5"/>
      <c r="M463" s="25">
        <v>0</v>
      </c>
      <c r="N463" s="25">
        <v>0</v>
      </c>
      <c r="O463" s="5"/>
    </row>
    <row r="464" spans="1:16" x14ac:dyDescent="0.25">
      <c r="A464" s="2" t="s">
        <v>484</v>
      </c>
      <c r="B464" s="2"/>
      <c r="C464" s="5">
        <v>396</v>
      </c>
      <c r="D464" s="5">
        <v>1</v>
      </c>
      <c r="E464" s="5">
        <v>0</v>
      </c>
      <c r="F464" s="5">
        <v>0</v>
      </c>
      <c r="G464" s="5"/>
      <c r="H464" s="5"/>
      <c r="I464" s="5"/>
      <c r="J464" s="5"/>
      <c r="K464" s="5" t="b">
        <f t="shared" si="30"/>
        <v>0</v>
      </c>
      <c r="L464" s="5"/>
      <c r="M464" s="25">
        <v>0</v>
      </c>
      <c r="N464" s="25">
        <v>0</v>
      </c>
      <c r="O464" s="5"/>
    </row>
    <row r="465" spans="1:15" x14ac:dyDescent="0.25">
      <c r="A465" s="2" t="s">
        <v>506</v>
      </c>
      <c r="B465" s="2"/>
      <c r="C465" s="5">
        <v>396</v>
      </c>
      <c r="D465" s="5">
        <v>1</v>
      </c>
      <c r="E465" s="5">
        <v>0</v>
      </c>
      <c r="F465" s="5">
        <v>0</v>
      </c>
      <c r="G465" s="5"/>
      <c r="H465" s="5"/>
      <c r="I465" s="5"/>
      <c r="J465" s="5"/>
      <c r="K465" s="5" t="b">
        <f t="shared" si="30"/>
        <v>0</v>
      </c>
      <c r="L465" s="5"/>
      <c r="M465" s="25">
        <v>0</v>
      </c>
      <c r="N465" s="25">
        <v>0</v>
      </c>
      <c r="O465" s="5"/>
    </row>
    <row r="466" spans="1:15" x14ac:dyDescent="0.25">
      <c r="A466" s="2" t="s">
        <v>524</v>
      </c>
      <c r="B466" s="2"/>
      <c r="C466" s="5">
        <v>396</v>
      </c>
      <c r="D466" s="5">
        <v>1</v>
      </c>
      <c r="E466" s="5">
        <v>0</v>
      </c>
      <c r="F466" s="5">
        <v>0</v>
      </c>
      <c r="G466" s="5"/>
      <c r="H466" s="5"/>
      <c r="I466" s="5"/>
      <c r="J466" s="5"/>
      <c r="K466" s="5" t="b">
        <f t="shared" si="30"/>
        <v>0</v>
      </c>
      <c r="L466" s="5"/>
      <c r="M466" s="25">
        <v>0</v>
      </c>
      <c r="N466" s="25">
        <v>0</v>
      </c>
      <c r="O466" s="5" t="s">
        <v>697</v>
      </c>
    </row>
    <row r="467" spans="1:15" x14ac:dyDescent="0.25">
      <c r="A467" s="2" t="s">
        <v>114</v>
      </c>
      <c r="B467" s="2"/>
      <c r="C467" s="5">
        <v>398</v>
      </c>
      <c r="D467" s="5">
        <v>1</v>
      </c>
      <c r="E467" s="5">
        <v>0</v>
      </c>
      <c r="F467" s="5"/>
      <c r="G467" s="5"/>
      <c r="H467" s="5">
        <v>1.99</v>
      </c>
      <c r="I467" s="5">
        <v>1</v>
      </c>
      <c r="J467" s="5">
        <v>167</v>
      </c>
      <c r="K467" s="5">
        <f t="shared" si="30"/>
        <v>0.10851656428647156</v>
      </c>
      <c r="L467" s="5"/>
      <c r="M467" s="25">
        <v>0</v>
      </c>
      <c r="N467" s="25">
        <v>0</v>
      </c>
      <c r="O467" s="5"/>
    </row>
    <row r="468" spans="1:15" x14ac:dyDescent="0.25">
      <c r="A468" s="2" t="s">
        <v>238</v>
      </c>
      <c r="B468" s="2"/>
      <c r="C468" s="5">
        <v>398</v>
      </c>
      <c r="D468" s="5">
        <v>1</v>
      </c>
      <c r="E468" s="5">
        <v>0</v>
      </c>
      <c r="F468" s="5">
        <v>0</v>
      </c>
      <c r="G468" s="5"/>
      <c r="H468" s="5"/>
      <c r="I468" s="5"/>
      <c r="J468" s="5"/>
      <c r="K468" s="5" t="b">
        <f t="shared" si="30"/>
        <v>0</v>
      </c>
      <c r="L468" s="5"/>
      <c r="O468" s="5" t="s">
        <v>637</v>
      </c>
    </row>
    <row r="469" spans="1:15" x14ac:dyDescent="0.25">
      <c r="A469" s="2" t="s">
        <v>323</v>
      </c>
      <c r="B469" s="2"/>
      <c r="C469" s="5">
        <v>398</v>
      </c>
      <c r="D469" s="5">
        <v>1</v>
      </c>
      <c r="E469" s="5">
        <v>0</v>
      </c>
      <c r="F469" s="5">
        <v>0</v>
      </c>
      <c r="G469" s="5"/>
      <c r="H469" s="5"/>
      <c r="I469" s="5"/>
      <c r="J469" s="5"/>
      <c r="K469" s="5" t="b">
        <f t="shared" si="30"/>
        <v>0</v>
      </c>
      <c r="L469" s="5"/>
      <c r="O469" s="5" t="s">
        <v>638</v>
      </c>
    </row>
    <row r="470" spans="1:15" x14ac:dyDescent="0.25">
      <c r="A470" s="16" t="s">
        <v>698</v>
      </c>
      <c r="B470" s="2"/>
      <c r="C470" s="5">
        <v>398</v>
      </c>
      <c r="D470" s="5">
        <v>2</v>
      </c>
      <c r="E470" s="5">
        <v>0</v>
      </c>
      <c r="F470" s="5">
        <v>0</v>
      </c>
      <c r="G470" s="5"/>
      <c r="H470" s="5"/>
      <c r="I470" s="5"/>
      <c r="J470" s="5"/>
      <c r="K470" s="5" t="b">
        <f t="shared" ref="K470:K495" si="31">IF(NOT(ISBLANK(G470)),SQRT((G470^2*1/I470)/(G470^2*1/I470+1)),IF(NOT(ISBLANK(H470)),SQRT((H470*I470/J470)/(H470*I470/J470+1)*SQRT(1/I470))))</f>
        <v>0</v>
      </c>
      <c r="L470" s="5"/>
      <c r="O470" s="5"/>
    </row>
    <row r="471" spans="1:15" x14ac:dyDescent="0.25">
      <c r="A471" s="2" t="s">
        <v>115</v>
      </c>
      <c r="B471" s="2"/>
      <c r="C471" s="5">
        <v>399</v>
      </c>
      <c r="D471" s="5">
        <v>1</v>
      </c>
      <c r="E471" s="5">
        <v>0</v>
      </c>
      <c r="F471" s="5"/>
      <c r="G471" s="5">
        <v>4.4800000000000004</v>
      </c>
      <c r="H471" s="5"/>
      <c r="I471" s="5">
        <v>291</v>
      </c>
      <c r="J471" s="5"/>
      <c r="K471" s="5">
        <f t="shared" si="31"/>
        <v>0.25400874583529942</v>
      </c>
      <c r="L471" s="5"/>
      <c r="M471" s="25">
        <v>0</v>
      </c>
      <c r="N471" s="25">
        <v>0</v>
      </c>
      <c r="O471" s="5" t="s">
        <v>639</v>
      </c>
    </row>
    <row r="472" spans="1:15" x14ac:dyDescent="0.25">
      <c r="A472" s="2" t="s">
        <v>324</v>
      </c>
      <c r="B472" s="2"/>
      <c r="C472" s="5">
        <v>399</v>
      </c>
      <c r="D472" s="5">
        <v>1</v>
      </c>
      <c r="E472" s="5">
        <v>1</v>
      </c>
      <c r="F472" s="5"/>
      <c r="G472" s="5">
        <v>4.4800000000000004</v>
      </c>
      <c r="H472" s="5"/>
      <c r="I472" s="5">
        <v>291</v>
      </c>
      <c r="J472" s="5"/>
      <c r="K472" s="5">
        <f t="shared" si="31"/>
        <v>0.25400874583529942</v>
      </c>
      <c r="L472" s="5"/>
      <c r="M472" s="25">
        <v>0</v>
      </c>
      <c r="N472" s="25">
        <v>0</v>
      </c>
      <c r="O472" s="5"/>
    </row>
    <row r="473" spans="1:15" x14ac:dyDescent="0.25">
      <c r="A473" s="2" t="s">
        <v>485</v>
      </c>
      <c r="B473" s="2"/>
      <c r="C473" s="5">
        <v>399</v>
      </c>
      <c r="D473" s="5">
        <v>1</v>
      </c>
      <c r="E473" s="5">
        <v>0</v>
      </c>
      <c r="F473" s="5"/>
      <c r="G473" s="5">
        <v>3</v>
      </c>
      <c r="H473" s="5"/>
      <c r="I473" s="5">
        <v>308</v>
      </c>
      <c r="J473" s="5"/>
      <c r="K473" s="5">
        <f t="shared" si="31"/>
        <v>0.16849678689051914</v>
      </c>
      <c r="L473" s="5"/>
      <c r="M473" s="25">
        <v>0</v>
      </c>
      <c r="N473" s="25">
        <v>0</v>
      </c>
      <c r="O473" s="5"/>
    </row>
    <row r="474" spans="1:15" x14ac:dyDescent="0.25">
      <c r="A474" s="2" t="s">
        <v>116</v>
      </c>
      <c r="B474" s="2"/>
      <c r="C474" s="5">
        <v>403</v>
      </c>
      <c r="D474" s="5">
        <v>1</v>
      </c>
      <c r="E474" s="5">
        <v>0</v>
      </c>
      <c r="F474" s="5"/>
      <c r="G474" s="5">
        <v>4.26</v>
      </c>
      <c r="H474" s="5"/>
      <c r="I474" s="5">
        <v>62</v>
      </c>
      <c r="J474" s="5"/>
      <c r="K474" s="5">
        <f t="shared" si="31"/>
        <v>0.47584371566617495</v>
      </c>
      <c r="L474" s="5"/>
      <c r="M474" s="25">
        <v>0</v>
      </c>
      <c r="N474" s="25">
        <v>0</v>
      </c>
      <c r="O474" s="5"/>
    </row>
    <row r="475" spans="1:15" x14ac:dyDescent="0.25">
      <c r="A475" s="2" t="s">
        <v>239</v>
      </c>
      <c r="B475" s="2"/>
      <c r="C475" s="5">
        <v>403</v>
      </c>
      <c r="D475" s="5">
        <v>7</v>
      </c>
      <c r="E475" s="5">
        <v>0</v>
      </c>
      <c r="F475" s="5"/>
      <c r="G475" s="5"/>
      <c r="H475" s="5">
        <v>95.57</v>
      </c>
      <c r="I475" s="5">
        <v>1</v>
      </c>
      <c r="J475" s="5">
        <v>62</v>
      </c>
      <c r="K475" s="5">
        <f t="shared" si="31"/>
        <v>0.77879656171163081</v>
      </c>
      <c r="L475" s="5"/>
      <c r="M475" s="25">
        <v>0</v>
      </c>
      <c r="N475" s="25">
        <v>0</v>
      </c>
      <c r="O475" s="5" t="s">
        <v>699</v>
      </c>
    </row>
    <row r="476" spans="1:15" x14ac:dyDescent="0.25">
      <c r="A476" s="2" t="s">
        <v>117</v>
      </c>
      <c r="B476" s="2"/>
      <c r="C476" s="5">
        <v>404</v>
      </c>
      <c r="D476" s="5">
        <v>1</v>
      </c>
      <c r="E476" s="5">
        <v>0</v>
      </c>
      <c r="F476" s="5"/>
      <c r="G476" s="5">
        <v>-2.11</v>
      </c>
      <c r="H476" s="5"/>
      <c r="I476" s="5">
        <v>427</v>
      </c>
      <c r="J476" s="5"/>
      <c r="K476" s="5">
        <f t="shared" si="31"/>
        <v>0.10158186024871077</v>
      </c>
      <c r="L476" s="5"/>
      <c r="M476" s="25">
        <v>0</v>
      </c>
      <c r="N476" s="25">
        <v>0</v>
      </c>
      <c r="O476" s="5"/>
    </row>
    <row r="477" spans="1:15" x14ac:dyDescent="0.25">
      <c r="A477" s="2" t="s">
        <v>240</v>
      </c>
      <c r="B477" s="2"/>
      <c r="C477" s="5">
        <v>404</v>
      </c>
      <c r="D477" s="5">
        <v>1</v>
      </c>
      <c r="E477" s="5">
        <v>0</v>
      </c>
      <c r="F477" s="5">
        <v>0</v>
      </c>
      <c r="G477" s="5"/>
      <c r="H477" s="5"/>
      <c r="I477" s="5"/>
      <c r="J477" s="5"/>
      <c r="K477" s="5" t="b">
        <f t="shared" si="31"/>
        <v>0</v>
      </c>
      <c r="L477" s="5"/>
      <c r="O477" s="5"/>
    </row>
    <row r="478" spans="1:15" x14ac:dyDescent="0.25">
      <c r="A478" s="2" t="s">
        <v>118</v>
      </c>
      <c r="B478" s="2"/>
      <c r="C478" s="5">
        <v>406</v>
      </c>
      <c r="D478" s="5">
        <v>1</v>
      </c>
      <c r="E478" s="5">
        <v>0</v>
      </c>
      <c r="F478" s="5">
        <v>0</v>
      </c>
      <c r="G478" s="5"/>
      <c r="H478" s="5"/>
      <c r="I478" s="5"/>
      <c r="J478" s="5"/>
      <c r="K478" s="5" t="b">
        <f t="shared" si="31"/>
        <v>0</v>
      </c>
      <c r="L478" s="5"/>
      <c r="O478" s="5"/>
    </row>
    <row r="479" spans="1:15" x14ac:dyDescent="0.25">
      <c r="A479" s="2" t="s">
        <v>241</v>
      </c>
      <c r="B479" s="2"/>
      <c r="C479" s="5">
        <v>406</v>
      </c>
      <c r="D479" s="5">
        <v>1</v>
      </c>
      <c r="E479" s="5">
        <v>0</v>
      </c>
      <c r="F479" s="5">
        <v>0</v>
      </c>
      <c r="G479" s="5"/>
      <c r="H479" s="5"/>
      <c r="I479" s="5"/>
      <c r="J479" s="5"/>
      <c r="K479" s="5" t="b">
        <f t="shared" si="31"/>
        <v>0</v>
      </c>
      <c r="L479" s="5"/>
      <c r="O479" s="5"/>
    </row>
    <row r="480" spans="1:15" x14ac:dyDescent="0.25">
      <c r="A480" s="2" t="s">
        <v>326</v>
      </c>
      <c r="B480" s="2"/>
      <c r="C480" s="5">
        <v>406</v>
      </c>
      <c r="D480" s="5">
        <v>1</v>
      </c>
      <c r="E480" s="5">
        <v>0</v>
      </c>
      <c r="F480" s="5">
        <v>0</v>
      </c>
      <c r="G480" s="5"/>
      <c r="H480" s="5"/>
      <c r="I480" s="5"/>
      <c r="J480" s="5"/>
      <c r="K480" s="5" t="b">
        <f t="shared" si="31"/>
        <v>0</v>
      </c>
      <c r="L480" s="5"/>
      <c r="O480" s="5"/>
    </row>
    <row r="481" spans="1:15" x14ac:dyDescent="0.25">
      <c r="A481" s="2" t="s">
        <v>325</v>
      </c>
      <c r="B481" s="2"/>
      <c r="C481" s="5">
        <v>406</v>
      </c>
      <c r="D481" s="5">
        <v>1</v>
      </c>
      <c r="E481" s="5">
        <v>0</v>
      </c>
      <c r="F481" s="5">
        <v>0</v>
      </c>
      <c r="G481" s="5"/>
      <c r="H481" s="5"/>
      <c r="I481" s="5"/>
      <c r="J481" s="5"/>
      <c r="K481" s="5" t="b">
        <f t="shared" si="31"/>
        <v>0</v>
      </c>
      <c r="L481" s="5"/>
      <c r="O481" s="5"/>
    </row>
    <row r="482" spans="1:15" x14ac:dyDescent="0.25">
      <c r="A482" s="2" t="s">
        <v>119</v>
      </c>
      <c r="B482" s="2"/>
      <c r="C482" s="5">
        <v>408</v>
      </c>
      <c r="D482" s="5">
        <v>1</v>
      </c>
      <c r="E482" s="5">
        <v>0</v>
      </c>
      <c r="F482" s="5">
        <v>0</v>
      </c>
      <c r="G482" s="5"/>
      <c r="H482" s="5"/>
      <c r="I482" s="5"/>
      <c r="J482" s="5"/>
      <c r="K482" s="5" t="b">
        <f t="shared" si="31"/>
        <v>0</v>
      </c>
      <c r="L482" s="5"/>
      <c r="O482" s="5"/>
    </row>
    <row r="483" spans="1:15" x14ac:dyDescent="0.25">
      <c r="A483" s="2" t="s">
        <v>242</v>
      </c>
      <c r="B483" s="2"/>
      <c r="C483" s="5">
        <v>408</v>
      </c>
      <c r="D483" s="5">
        <v>1</v>
      </c>
      <c r="E483" s="5">
        <v>0</v>
      </c>
      <c r="F483" s="5"/>
      <c r="G483" s="5"/>
      <c r="H483" s="5">
        <v>12.29</v>
      </c>
      <c r="I483" s="5">
        <v>1</v>
      </c>
      <c r="J483" s="5">
        <v>785</v>
      </c>
      <c r="K483" s="5">
        <f t="shared" si="31"/>
        <v>0.12415602021263487</v>
      </c>
      <c r="L483" s="5"/>
      <c r="M483" s="25">
        <v>0</v>
      </c>
      <c r="N483" s="25">
        <v>0</v>
      </c>
      <c r="O483" s="5"/>
    </row>
    <row r="484" spans="1:15" x14ac:dyDescent="0.25">
      <c r="A484" s="2" t="s">
        <v>327</v>
      </c>
      <c r="B484" s="2"/>
      <c r="C484" s="5">
        <v>408</v>
      </c>
      <c r="D484" s="5">
        <v>1</v>
      </c>
      <c r="E484" s="5">
        <v>0</v>
      </c>
      <c r="F484" s="5">
        <v>0</v>
      </c>
      <c r="G484" s="5"/>
      <c r="H484" s="5"/>
      <c r="I484" s="5"/>
      <c r="J484" s="5"/>
      <c r="K484" s="5" t="b">
        <f t="shared" si="31"/>
        <v>0</v>
      </c>
      <c r="L484" s="5"/>
      <c r="O484" s="5"/>
    </row>
    <row r="485" spans="1:15" x14ac:dyDescent="0.25">
      <c r="A485" s="2" t="s">
        <v>120</v>
      </c>
      <c r="B485" s="2"/>
      <c r="C485" s="5">
        <v>410</v>
      </c>
      <c r="D485" s="5">
        <v>0</v>
      </c>
      <c r="E485" s="5">
        <v>0</v>
      </c>
      <c r="F485" s="5"/>
      <c r="G485" s="5"/>
      <c r="H485" s="5"/>
      <c r="I485" s="5"/>
      <c r="J485" s="5"/>
      <c r="K485" s="5" t="b">
        <f t="shared" si="31"/>
        <v>0</v>
      </c>
      <c r="L485" s="5"/>
      <c r="O485" s="5"/>
    </row>
    <row r="486" spans="1:15" x14ac:dyDescent="0.25">
      <c r="A486" s="2" t="s">
        <v>121</v>
      </c>
      <c r="B486" s="2"/>
      <c r="C486" s="5">
        <v>410</v>
      </c>
      <c r="D486" s="5">
        <v>0</v>
      </c>
      <c r="E486" s="5">
        <v>1</v>
      </c>
      <c r="F486" s="5"/>
      <c r="G486" s="5"/>
      <c r="H486" s="5"/>
      <c r="I486" s="5"/>
      <c r="J486" s="5"/>
      <c r="K486" s="5" t="b">
        <f t="shared" si="31"/>
        <v>0</v>
      </c>
      <c r="L486" s="5"/>
      <c r="O486" s="5"/>
    </row>
    <row r="487" spans="1:15" x14ac:dyDescent="0.25">
      <c r="A487" s="2" t="s">
        <v>423</v>
      </c>
      <c r="B487" s="2"/>
      <c r="C487" s="5">
        <v>410</v>
      </c>
      <c r="D487" s="5">
        <v>1</v>
      </c>
      <c r="E487" s="5">
        <v>0</v>
      </c>
      <c r="F487" s="5">
        <v>0</v>
      </c>
      <c r="G487" s="5"/>
      <c r="H487" s="5"/>
      <c r="I487" s="5"/>
      <c r="J487" s="5"/>
      <c r="K487" s="5" t="b">
        <f t="shared" si="31"/>
        <v>0</v>
      </c>
      <c r="L487" s="5"/>
      <c r="M487" s="25">
        <v>0</v>
      </c>
      <c r="N487" s="25">
        <v>0</v>
      </c>
      <c r="O487" s="5"/>
    </row>
    <row r="488" spans="1:15" x14ac:dyDescent="0.25">
      <c r="A488" s="2" t="s">
        <v>456</v>
      </c>
      <c r="B488" s="2"/>
      <c r="C488" s="5">
        <v>410</v>
      </c>
      <c r="D488" s="5">
        <v>1</v>
      </c>
      <c r="E488" s="5">
        <v>1</v>
      </c>
      <c r="F488" s="5">
        <v>0</v>
      </c>
      <c r="G488" s="5"/>
      <c r="H488" s="5"/>
      <c r="I488" s="5"/>
      <c r="J488" s="5"/>
      <c r="K488" s="5" t="b">
        <f t="shared" si="31"/>
        <v>0</v>
      </c>
      <c r="L488" s="5"/>
      <c r="M488" s="25">
        <v>0</v>
      </c>
      <c r="N488" s="25">
        <v>0</v>
      </c>
      <c r="O488" s="5"/>
    </row>
    <row r="489" spans="1:15" x14ac:dyDescent="0.25">
      <c r="A489" s="2" t="s">
        <v>486</v>
      </c>
      <c r="B489" s="2"/>
      <c r="C489" s="5">
        <v>410</v>
      </c>
      <c r="D489" s="5">
        <v>1</v>
      </c>
      <c r="E489" s="5">
        <v>0</v>
      </c>
      <c r="F489" s="5">
        <v>0</v>
      </c>
      <c r="G489" s="5"/>
      <c r="H489" s="5"/>
      <c r="I489" s="5"/>
      <c r="J489" s="5"/>
      <c r="K489" s="5" t="b">
        <f t="shared" si="31"/>
        <v>0</v>
      </c>
      <c r="L489" s="5"/>
      <c r="M489" s="25">
        <v>0</v>
      </c>
      <c r="N489" s="25">
        <v>0</v>
      </c>
      <c r="O489" s="5"/>
    </row>
    <row r="490" spans="1:15" x14ac:dyDescent="0.25">
      <c r="A490" s="2" t="s">
        <v>507</v>
      </c>
      <c r="B490" s="2"/>
      <c r="C490" s="5">
        <v>410</v>
      </c>
      <c r="D490" s="5">
        <v>2</v>
      </c>
      <c r="E490" s="5">
        <v>0</v>
      </c>
      <c r="F490" s="5">
        <v>0</v>
      </c>
      <c r="G490" s="5"/>
      <c r="H490" s="5"/>
      <c r="I490" s="5"/>
      <c r="J490" s="5"/>
      <c r="K490" s="5" t="b">
        <f t="shared" si="31"/>
        <v>0</v>
      </c>
      <c r="L490" s="5"/>
      <c r="M490" s="25">
        <v>0</v>
      </c>
      <c r="N490" s="25">
        <v>0</v>
      </c>
      <c r="O490" s="5"/>
    </row>
    <row r="491" spans="1:15" x14ac:dyDescent="0.25">
      <c r="A491" s="2" t="s">
        <v>122</v>
      </c>
      <c r="B491" s="2"/>
      <c r="C491" s="5">
        <v>411</v>
      </c>
      <c r="D491" s="5">
        <v>0</v>
      </c>
      <c r="E491" s="5">
        <v>0</v>
      </c>
      <c r="F491" s="5">
        <v>0</v>
      </c>
      <c r="G491" s="5"/>
      <c r="H491" s="5"/>
      <c r="I491" s="5"/>
      <c r="J491" s="5"/>
      <c r="K491" s="5" t="b">
        <f t="shared" si="31"/>
        <v>0</v>
      </c>
      <c r="L491" s="5"/>
      <c r="O491" s="5"/>
    </row>
    <row r="492" spans="1:15" x14ac:dyDescent="0.25">
      <c r="A492" s="2" t="s">
        <v>243</v>
      </c>
      <c r="B492" s="2"/>
      <c r="C492" s="5">
        <v>411</v>
      </c>
      <c r="D492" s="5">
        <v>1</v>
      </c>
      <c r="E492" s="5">
        <v>0</v>
      </c>
      <c r="F492" s="5">
        <v>0</v>
      </c>
      <c r="G492" s="5"/>
      <c r="H492" s="5"/>
      <c r="I492" s="5"/>
      <c r="J492" s="5"/>
      <c r="K492" s="5" t="b">
        <f t="shared" si="31"/>
        <v>0</v>
      </c>
      <c r="L492" s="5"/>
      <c r="O492" s="5"/>
    </row>
    <row r="493" spans="1:15" x14ac:dyDescent="0.25">
      <c r="A493" s="2" t="s">
        <v>328</v>
      </c>
      <c r="B493" s="2"/>
      <c r="C493" s="5">
        <v>411</v>
      </c>
      <c r="D493" s="5">
        <v>1</v>
      </c>
      <c r="E493" s="5">
        <v>0</v>
      </c>
      <c r="F493" s="5">
        <v>0</v>
      </c>
      <c r="G493" s="5"/>
      <c r="H493" s="5"/>
      <c r="I493" s="5"/>
      <c r="J493" s="5"/>
      <c r="K493" s="5" t="b">
        <f t="shared" si="31"/>
        <v>0</v>
      </c>
      <c r="L493" s="5"/>
      <c r="O493" s="5"/>
    </row>
    <row r="494" spans="1:15" x14ac:dyDescent="0.25">
      <c r="A494" s="2" t="s">
        <v>382</v>
      </c>
      <c r="B494" s="2"/>
      <c r="C494" s="5">
        <v>411</v>
      </c>
      <c r="D494" s="5">
        <v>1</v>
      </c>
      <c r="E494" s="5">
        <v>0</v>
      </c>
      <c r="F494" s="5">
        <v>0</v>
      </c>
      <c r="G494" s="5"/>
      <c r="H494" s="5"/>
      <c r="I494" s="5"/>
      <c r="J494" s="5"/>
      <c r="K494" s="5" t="b">
        <f t="shared" si="31"/>
        <v>0</v>
      </c>
      <c r="L494" s="5"/>
      <c r="O494" s="5"/>
    </row>
    <row r="495" spans="1:15" x14ac:dyDescent="0.25">
      <c r="A495" s="2" t="s">
        <v>123</v>
      </c>
      <c r="B495" s="2"/>
      <c r="C495" s="5">
        <v>412</v>
      </c>
      <c r="D495" s="5">
        <v>1</v>
      </c>
      <c r="E495" s="5">
        <v>0</v>
      </c>
      <c r="F495" s="5"/>
      <c r="G495" s="5">
        <v>2.21</v>
      </c>
      <c r="H495" s="5"/>
      <c r="I495" s="5">
        <v>456</v>
      </c>
      <c r="J495" s="5"/>
      <c r="K495" s="5">
        <f t="shared" si="31"/>
        <v>0.10294290290594377</v>
      </c>
      <c r="L495" s="5"/>
      <c r="M495" s="25" t="s">
        <v>676</v>
      </c>
      <c r="N495" s="25" t="s">
        <v>676</v>
      </c>
      <c r="O495" s="5" t="s">
        <v>640</v>
      </c>
    </row>
    <row r="496" spans="1:15" x14ac:dyDescent="0.25">
      <c r="A496" s="2" t="s">
        <v>124</v>
      </c>
      <c r="B496" s="2"/>
      <c r="C496" s="5">
        <v>415</v>
      </c>
      <c r="D496" s="5">
        <v>1</v>
      </c>
      <c r="E496" s="5">
        <v>0</v>
      </c>
      <c r="F496" s="5"/>
      <c r="G496" s="5"/>
      <c r="H496" s="5">
        <v>203.42</v>
      </c>
      <c r="I496" s="5">
        <v>5</v>
      </c>
      <c r="J496" s="5">
        <v>595</v>
      </c>
      <c r="K496" s="5">
        <f t="shared" ref="K496:K497" si="32">IF(NOT(ISBLANK(G496)),SQRT((G496^2*1/I496)/(G496^2*1/I496+1)),IF(NOT(ISBLANK(H496)),SQRT((H496*I496/J496)/(H496*I496/J496+1)*SQRT(1/I496))))</f>
        <v>0.53118198443768672</v>
      </c>
      <c r="L496" s="5"/>
      <c r="M496" s="25" t="s">
        <v>676</v>
      </c>
      <c r="N496" s="25" t="s">
        <v>676</v>
      </c>
      <c r="O496" s="5" t="s">
        <v>602</v>
      </c>
    </row>
    <row r="497" spans="1:15" x14ac:dyDescent="0.25">
      <c r="A497" s="2" t="s">
        <v>244</v>
      </c>
      <c r="B497" s="2"/>
      <c r="C497" s="5">
        <v>415</v>
      </c>
      <c r="D497" s="5">
        <v>1</v>
      </c>
      <c r="E497" s="5">
        <v>0</v>
      </c>
      <c r="F497" s="5"/>
      <c r="G497" s="5"/>
      <c r="H497" s="5">
        <v>18.47</v>
      </c>
      <c r="I497" s="5">
        <v>2</v>
      </c>
      <c r="J497" s="5">
        <v>238</v>
      </c>
      <c r="K497" s="5">
        <f t="shared" si="32"/>
        <v>0.30822792490004924</v>
      </c>
      <c r="L497" s="5"/>
      <c r="M497" s="25" t="s">
        <v>676</v>
      </c>
      <c r="N497" s="25" t="s">
        <v>676</v>
      </c>
      <c r="O497" s="5" t="s">
        <v>602</v>
      </c>
    </row>
    <row r="498" spans="1:15" x14ac:dyDescent="0.25">
      <c r="A498" s="2" t="s">
        <v>329</v>
      </c>
      <c r="B498" s="2"/>
      <c r="C498" s="5">
        <v>415</v>
      </c>
      <c r="D498" s="5">
        <v>1</v>
      </c>
      <c r="E498" s="5">
        <v>0</v>
      </c>
      <c r="F498" s="5"/>
      <c r="G498" s="5"/>
      <c r="H498" s="5"/>
      <c r="I498" s="5"/>
      <c r="J498" s="5"/>
      <c r="K498" s="5">
        <v>0.43</v>
      </c>
      <c r="L498" s="5"/>
      <c r="O498" s="5" t="s">
        <v>641</v>
      </c>
    </row>
    <row r="499" spans="1:15" x14ac:dyDescent="0.25">
      <c r="A499" s="2" t="s">
        <v>383</v>
      </c>
      <c r="B499" s="2"/>
      <c r="C499" s="5">
        <v>415</v>
      </c>
      <c r="D499" s="5">
        <v>1</v>
      </c>
      <c r="E499" s="5">
        <v>0</v>
      </c>
      <c r="F499" s="5"/>
      <c r="G499" s="5"/>
      <c r="H499" s="5"/>
      <c r="I499" s="5"/>
      <c r="J499" s="5"/>
      <c r="K499" s="5">
        <v>0.39</v>
      </c>
      <c r="L499" s="5"/>
      <c r="O499" s="5"/>
    </row>
    <row r="500" spans="1:15" x14ac:dyDescent="0.25">
      <c r="A500" s="2" t="s">
        <v>424</v>
      </c>
      <c r="B500" s="2"/>
      <c r="C500" s="5">
        <v>415</v>
      </c>
      <c r="D500" s="5">
        <v>1</v>
      </c>
      <c r="E500" s="5">
        <v>0</v>
      </c>
      <c r="F500" s="5"/>
      <c r="G500" s="5"/>
      <c r="H500" s="5"/>
      <c r="I500" s="5"/>
      <c r="J500" s="5"/>
      <c r="K500" s="5">
        <v>0.35</v>
      </c>
      <c r="L500" s="5"/>
      <c r="O500" s="5"/>
    </row>
    <row r="501" spans="1:15" x14ac:dyDescent="0.25">
      <c r="A501" s="2" t="s">
        <v>329</v>
      </c>
      <c r="B501" s="2"/>
      <c r="C501" s="5">
        <v>415</v>
      </c>
      <c r="D501" s="5">
        <v>1</v>
      </c>
      <c r="E501" s="5">
        <v>0</v>
      </c>
      <c r="F501" s="5"/>
      <c r="G501" s="5"/>
      <c r="H501" s="5"/>
      <c r="I501" s="5"/>
      <c r="J501" s="5"/>
      <c r="K501" s="5">
        <v>0.31</v>
      </c>
      <c r="L501" s="5"/>
      <c r="O501" s="5"/>
    </row>
    <row r="502" spans="1:15" x14ac:dyDescent="0.25">
      <c r="A502" s="2" t="s">
        <v>487</v>
      </c>
      <c r="B502" s="2"/>
      <c r="C502" s="5">
        <v>415</v>
      </c>
      <c r="D502" s="5">
        <v>1</v>
      </c>
      <c r="E502" s="5">
        <v>0</v>
      </c>
      <c r="F502" s="5"/>
      <c r="G502" s="5"/>
      <c r="H502" s="5"/>
      <c r="I502" s="5"/>
      <c r="J502" s="5"/>
      <c r="K502" s="5">
        <v>0.2</v>
      </c>
      <c r="L502" s="5"/>
      <c r="O502" s="5"/>
    </row>
    <row r="503" spans="1:15" x14ac:dyDescent="0.25">
      <c r="A503" s="2" t="s">
        <v>508</v>
      </c>
      <c r="B503" s="2"/>
      <c r="C503" s="5">
        <v>415</v>
      </c>
      <c r="D503" s="5">
        <v>1</v>
      </c>
      <c r="E503" s="5">
        <v>0</v>
      </c>
      <c r="F503" s="5"/>
      <c r="G503" s="5"/>
      <c r="H503" s="5"/>
      <c r="I503" s="5"/>
      <c r="J503" s="5"/>
      <c r="K503" s="5">
        <v>-0.3</v>
      </c>
      <c r="L503" s="5"/>
      <c r="O503" s="5"/>
    </row>
    <row r="504" spans="1:15" x14ac:dyDescent="0.25">
      <c r="A504" s="2" t="s">
        <v>125</v>
      </c>
      <c r="B504" s="2"/>
      <c r="C504" s="5">
        <v>417</v>
      </c>
      <c r="D504" s="5">
        <v>1</v>
      </c>
      <c r="E504" s="5">
        <v>0</v>
      </c>
      <c r="F504" s="5"/>
      <c r="G504" s="5">
        <v>-2.85</v>
      </c>
      <c r="H504" s="5"/>
      <c r="I504" s="5">
        <v>67</v>
      </c>
      <c r="J504" s="5"/>
      <c r="K504" s="5">
        <f t="shared" ref="K504:K516" si="33">IF(NOT(ISBLANK(G504)),SQRT((G504^2*1/I504)/(G504^2*1/I504+1)),IF(NOT(ISBLANK(H504)),SQRT((H504*I504/J504)/(H504*I504/J504+1)*SQRT(1/I504))))</f>
        <v>0.32882122566707833</v>
      </c>
      <c r="L504" s="5"/>
      <c r="M504" s="25">
        <v>0</v>
      </c>
      <c r="N504" s="25">
        <v>0</v>
      </c>
      <c r="O504" s="5"/>
    </row>
    <row r="505" spans="1:15" x14ac:dyDescent="0.25">
      <c r="A505" s="2" t="s">
        <v>245</v>
      </c>
      <c r="B505" s="2"/>
      <c r="C505" s="5">
        <v>417</v>
      </c>
      <c r="D505" s="5">
        <v>0</v>
      </c>
      <c r="E505" s="5">
        <v>0</v>
      </c>
      <c r="F505" s="5"/>
      <c r="G505" s="5"/>
      <c r="H505" s="5"/>
      <c r="I505" s="5"/>
      <c r="J505" s="5"/>
      <c r="K505" s="5" t="b">
        <f t="shared" si="33"/>
        <v>0</v>
      </c>
      <c r="L505" s="5"/>
      <c r="O505" s="5"/>
    </row>
    <row r="506" spans="1:15" x14ac:dyDescent="0.25">
      <c r="A506" s="2" t="s">
        <v>330</v>
      </c>
      <c r="B506" s="2"/>
      <c r="C506" s="5">
        <v>417</v>
      </c>
      <c r="D506" s="5">
        <v>0</v>
      </c>
      <c r="E506" s="5">
        <v>0</v>
      </c>
      <c r="F506" s="5"/>
      <c r="G506" s="5"/>
      <c r="H506" s="5"/>
      <c r="I506" s="5"/>
      <c r="J506" s="5"/>
      <c r="K506" s="5" t="b">
        <f t="shared" si="33"/>
        <v>0</v>
      </c>
      <c r="L506" s="5"/>
      <c r="O506" s="5"/>
    </row>
    <row r="507" spans="1:15" x14ac:dyDescent="0.25">
      <c r="A507" s="2" t="s">
        <v>384</v>
      </c>
      <c r="B507" s="2"/>
      <c r="C507" s="5">
        <v>417</v>
      </c>
      <c r="D507" s="5">
        <v>0</v>
      </c>
      <c r="E507" s="5">
        <v>0</v>
      </c>
      <c r="F507" s="5"/>
      <c r="G507" s="5"/>
      <c r="H507" s="5"/>
      <c r="I507" s="5"/>
      <c r="J507" s="5"/>
      <c r="K507" s="5" t="b">
        <f t="shared" si="33"/>
        <v>0</v>
      </c>
      <c r="L507" s="5"/>
      <c r="O507" s="5"/>
    </row>
    <row r="508" spans="1:15" x14ac:dyDescent="0.25">
      <c r="A508" s="2" t="s">
        <v>425</v>
      </c>
      <c r="B508" s="2"/>
      <c r="C508" s="5">
        <v>417</v>
      </c>
      <c r="D508" s="5">
        <v>1</v>
      </c>
      <c r="E508" s="5">
        <v>0</v>
      </c>
      <c r="F508" s="5">
        <v>0</v>
      </c>
      <c r="G508" s="5"/>
      <c r="H508" s="5"/>
      <c r="I508" s="5"/>
      <c r="J508" s="5"/>
      <c r="K508" s="5" t="b">
        <f t="shared" si="33"/>
        <v>0</v>
      </c>
      <c r="L508" s="5"/>
      <c r="M508" s="25">
        <v>0</v>
      </c>
      <c r="N508" s="25">
        <v>0</v>
      </c>
      <c r="O508" s="5"/>
    </row>
    <row r="509" spans="1:15" x14ac:dyDescent="0.25">
      <c r="A509" s="2" t="s">
        <v>457</v>
      </c>
      <c r="B509" s="2"/>
      <c r="C509" s="5">
        <v>417</v>
      </c>
      <c r="D509" s="5">
        <v>0</v>
      </c>
      <c r="E509" s="5">
        <v>0</v>
      </c>
      <c r="F509" s="5"/>
      <c r="G509" s="5"/>
      <c r="H509" s="5"/>
      <c r="I509" s="5"/>
      <c r="J509" s="5"/>
      <c r="K509" s="5" t="b">
        <f t="shared" si="33"/>
        <v>0</v>
      </c>
      <c r="L509" s="5"/>
      <c r="O509" s="5"/>
    </row>
    <row r="510" spans="1:15" x14ac:dyDescent="0.25">
      <c r="A510" s="2" t="s">
        <v>426</v>
      </c>
      <c r="B510" s="2"/>
      <c r="C510" s="5">
        <v>418</v>
      </c>
      <c r="D510" s="5">
        <v>1</v>
      </c>
      <c r="E510" s="5">
        <v>0</v>
      </c>
      <c r="F510" s="5">
        <v>0</v>
      </c>
      <c r="G510" s="5"/>
      <c r="H510" s="5"/>
      <c r="I510" s="5"/>
      <c r="J510" s="5"/>
      <c r="K510" s="5" t="b">
        <f t="shared" si="33"/>
        <v>0</v>
      </c>
      <c r="L510" s="5"/>
      <c r="M510" s="25">
        <v>0</v>
      </c>
      <c r="N510" s="25">
        <v>0</v>
      </c>
      <c r="O510" s="5"/>
    </row>
    <row r="511" spans="1:15" x14ac:dyDescent="0.25">
      <c r="A511" s="2" t="s">
        <v>126</v>
      </c>
      <c r="B511" s="2"/>
      <c r="C511" s="5">
        <v>420</v>
      </c>
      <c r="D511" s="5">
        <v>2</v>
      </c>
      <c r="E511" s="5">
        <v>0</v>
      </c>
      <c r="F511" s="5"/>
      <c r="G511" s="5">
        <v>10.7</v>
      </c>
      <c r="H511" s="5"/>
      <c r="I511" s="5">
        <v>374</v>
      </c>
      <c r="J511" s="5"/>
      <c r="K511" s="5">
        <f t="shared" si="33"/>
        <v>0.48412324862916056</v>
      </c>
      <c r="L511" s="5"/>
      <c r="M511" s="25">
        <v>0</v>
      </c>
      <c r="O511" s="5" t="s">
        <v>642</v>
      </c>
    </row>
    <row r="512" spans="1:15" x14ac:dyDescent="0.25">
      <c r="A512" s="2" t="s">
        <v>246</v>
      </c>
      <c r="B512" s="2"/>
      <c r="C512" s="5">
        <v>420</v>
      </c>
      <c r="D512" s="5">
        <v>1</v>
      </c>
      <c r="E512" s="5">
        <v>0</v>
      </c>
      <c r="F512" s="5"/>
      <c r="G512" s="5">
        <v>-1.99</v>
      </c>
      <c r="H512" s="5"/>
      <c r="I512" s="5">
        <v>373</v>
      </c>
      <c r="J512" s="5"/>
      <c r="K512" s="5">
        <f t="shared" si="33"/>
        <v>0.10249563830661967</v>
      </c>
      <c r="L512" s="5"/>
      <c r="M512" s="25">
        <v>0</v>
      </c>
      <c r="N512" s="25">
        <v>0</v>
      </c>
      <c r="O512" s="5"/>
    </row>
    <row r="513" spans="1:15" x14ac:dyDescent="0.25">
      <c r="A513" s="2" t="s">
        <v>127</v>
      </c>
      <c r="B513" s="2"/>
      <c r="C513" s="5">
        <v>421</v>
      </c>
      <c r="D513" s="5">
        <v>1</v>
      </c>
      <c r="E513" s="5">
        <v>0</v>
      </c>
      <c r="F513" s="5"/>
      <c r="G513" s="5">
        <v>3.53</v>
      </c>
      <c r="H513" s="5"/>
      <c r="I513" s="5">
        <v>56</v>
      </c>
      <c r="J513" s="5"/>
      <c r="K513" s="5">
        <f t="shared" si="33"/>
        <v>0.42663197666046404</v>
      </c>
      <c r="L513" s="30">
        <v>6.7000000000000002E-4</v>
      </c>
      <c r="M513" s="25">
        <v>1</v>
      </c>
      <c r="N513" s="25">
        <v>0</v>
      </c>
      <c r="O513" s="5" t="s">
        <v>645</v>
      </c>
    </row>
    <row r="514" spans="1:15" x14ac:dyDescent="0.25">
      <c r="A514" s="2" t="s">
        <v>247</v>
      </c>
      <c r="B514" s="2"/>
      <c r="C514" s="5">
        <v>421</v>
      </c>
      <c r="D514" s="5">
        <v>1</v>
      </c>
      <c r="E514" s="5">
        <v>0</v>
      </c>
      <c r="F514" s="5"/>
      <c r="G514" s="5">
        <v>1.1200000000000001</v>
      </c>
      <c r="H514" s="5"/>
      <c r="I514" s="5">
        <v>86</v>
      </c>
      <c r="J514" s="5"/>
      <c r="K514" s="5">
        <f t="shared" si="33"/>
        <v>0.11990142771181032</v>
      </c>
      <c r="L514" s="5"/>
      <c r="M514" s="25">
        <v>0</v>
      </c>
      <c r="N514" s="25">
        <v>0</v>
      </c>
      <c r="O514" s="5"/>
    </row>
    <row r="515" spans="1:15" x14ac:dyDescent="0.25">
      <c r="A515" s="2" t="s">
        <v>128</v>
      </c>
      <c r="B515" s="2"/>
      <c r="C515" s="5">
        <v>422</v>
      </c>
      <c r="D515" s="5">
        <v>1</v>
      </c>
      <c r="E515" s="5">
        <v>0</v>
      </c>
      <c r="F515" s="5"/>
      <c r="G515" s="5">
        <v>1.1599999999999999</v>
      </c>
      <c r="H515" s="5"/>
      <c r="I515" s="5">
        <v>95</v>
      </c>
      <c r="J515" s="5"/>
      <c r="K515" s="5">
        <f t="shared" si="33"/>
        <v>0.11817947229130311</v>
      </c>
      <c r="L515" s="5">
        <v>0.24895999999999999</v>
      </c>
      <c r="M515" s="25">
        <v>1</v>
      </c>
      <c r="N515" s="25">
        <v>0</v>
      </c>
      <c r="O515" s="5" t="s">
        <v>700</v>
      </c>
    </row>
    <row r="516" spans="1:15" x14ac:dyDescent="0.25">
      <c r="A516" s="2" t="s">
        <v>331</v>
      </c>
      <c r="B516" s="2"/>
      <c r="C516" s="5">
        <v>425</v>
      </c>
      <c r="D516" s="5">
        <v>1</v>
      </c>
      <c r="E516" s="5">
        <v>0</v>
      </c>
      <c r="F516" s="5"/>
      <c r="G516" s="5"/>
      <c r="H516" s="5">
        <v>1.998</v>
      </c>
      <c r="I516" s="5">
        <v>2</v>
      </c>
      <c r="J516" s="5">
        <v>22</v>
      </c>
      <c r="K516" s="5">
        <f t="shared" si="33"/>
        <v>0.3296871169411848</v>
      </c>
      <c r="L516" s="5"/>
      <c r="M516" s="25" t="s">
        <v>676</v>
      </c>
      <c r="N516" s="25" t="s">
        <v>676</v>
      </c>
      <c r="O516" s="5" t="s">
        <v>646</v>
      </c>
    </row>
    <row r="517" spans="1:15" x14ac:dyDescent="0.25">
      <c r="A517" s="2" t="s">
        <v>129</v>
      </c>
      <c r="B517" s="2"/>
      <c r="C517" s="5">
        <v>429</v>
      </c>
      <c r="D517" s="5">
        <v>2</v>
      </c>
      <c r="E517" s="5">
        <v>0</v>
      </c>
      <c r="F517" s="5"/>
      <c r="G517" s="5">
        <v>1.6</v>
      </c>
      <c r="H517" s="5"/>
      <c r="I517" s="5">
        <v>126</v>
      </c>
      <c r="J517" s="5"/>
      <c r="K517" s="5">
        <f t="shared" ref="K517:K537" si="34">IF(NOT(ISBLANK(G517)),SQRT((G517^2*1/I517)/(G517^2*1/I517+1)),IF(NOT(ISBLANK(H517)),SQRT((H517*I517/J517)/(H517*I517/J517+1)*SQRT(1/I517))))</f>
        <v>0.14111300841875163</v>
      </c>
      <c r="L517" s="5"/>
      <c r="M517" s="25">
        <v>0</v>
      </c>
      <c r="N517" s="25">
        <v>0</v>
      </c>
      <c r="O517" s="5" t="s">
        <v>643</v>
      </c>
    </row>
    <row r="518" spans="1:15" x14ac:dyDescent="0.25">
      <c r="A518" s="2" t="s">
        <v>248</v>
      </c>
      <c r="B518" s="2"/>
      <c r="C518" s="5">
        <v>429</v>
      </c>
      <c r="D518" s="5">
        <v>2</v>
      </c>
      <c r="E518" s="5">
        <v>0</v>
      </c>
      <c r="F518" s="5"/>
      <c r="G518" s="5">
        <v>-1.38</v>
      </c>
      <c r="H518" s="5"/>
      <c r="I518" s="5">
        <v>123</v>
      </c>
      <c r="J518" s="5"/>
      <c r="K518" s="5">
        <f t="shared" si="34"/>
        <v>0.12347817944535455</v>
      </c>
      <c r="L518" s="5"/>
      <c r="M518" s="25">
        <v>0</v>
      </c>
      <c r="N518" s="25">
        <v>0</v>
      </c>
      <c r="O518" s="5" t="s">
        <v>644</v>
      </c>
    </row>
    <row r="519" spans="1:15" x14ac:dyDescent="0.25">
      <c r="A519" s="2" t="s">
        <v>332</v>
      </c>
      <c r="B519" s="2"/>
      <c r="C519" s="5">
        <v>429</v>
      </c>
      <c r="D519" s="5">
        <v>2</v>
      </c>
      <c r="E519" s="5">
        <v>0</v>
      </c>
      <c r="F519" s="5"/>
      <c r="G519" s="5">
        <v>0.76</v>
      </c>
      <c r="H519" s="5"/>
      <c r="I519" s="5">
        <v>126</v>
      </c>
      <c r="J519" s="5"/>
      <c r="K519" s="5">
        <f t="shared" si="34"/>
        <v>6.7551525935332757E-2</v>
      </c>
      <c r="L519" s="5">
        <v>0.44869999999999999</v>
      </c>
      <c r="M519" s="25">
        <v>1</v>
      </c>
      <c r="N519" s="25">
        <v>0</v>
      </c>
      <c r="O519" s="5" t="s">
        <v>647</v>
      </c>
    </row>
    <row r="520" spans="1:15" x14ac:dyDescent="0.25">
      <c r="A520" s="2" t="s">
        <v>427</v>
      </c>
      <c r="B520" s="2"/>
      <c r="C520" s="5">
        <v>429</v>
      </c>
      <c r="D520" s="5">
        <v>0</v>
      </c>
      <c r="E520" s="5">
        <v>0</v>
      </c>
      <c r="F520" s="5"/>
      <c r="G520" s="5"/>
      <c r="H520" s="5"/>
      <c r="I520" s="5"/>
      <c r="J520" s="5"/>
      <c r="K520" s="5" t="b">
        <f t="shared" si="34"/>
        <v>0</v>
      </c>
      <c r="L520" s="5"/>
      <c r="O520" s="5"/>
    </row>
    <row r="521" spans="1:15" x14ac:dyDescent="0.25">
      <c r="A521" s="2" t="s">
        <v>458</v>
      </c>
      <c r="B521" s="2"/>
      <c r="C521" s="5">
        <v>429</v>
      </c>
      <c r="D521" s="5">
        <v>0</v>
      </c>
      <c r="E521" s="5">
        <v>0</v>
      </c>
      <c r="F521" s="5"/>
      <c r="G521" s="5"/>
      <c r="H521" s="5"/>
      <c r="I521" s="5"/>
      <c r="J521" s="5"/>
      <c r="K521" s="5" t="b">
        <f t="shared" si="34"/>
        <v>0</v>
      </c>
      <c r="L521" s="5"/>
      <c r="O521" s="5"/>
    </row>
    <row r="522" spans="1:15" x14ac:dyDescent="0.25">
      <c r="A522" s="2" t="s">
        <v>488</v>
      </c>
      <c r="B522" s="2"/>
      <c r="C522" s="5">
        <v>429</v>
      </c>
      <c r="D522" s="5">
        <v>0</v>
      </c>
      <c r="E522" s="5">
        <v>0</v>
      </c>
      <c r="F522" s="5"/>
      <c r="G522" s="5"/>
      <c r="H522" s="5"/>
      <c r="I522" s="5"/>
      <c r="J522" s="5"/>
      <c r="K522" s="5" t="b">
        <f t="shared" si="34"/>
        <v>0</v>
      </c>
      <c r="L522" s="5"/>
      <c r="O522" s="5"/>
    </row>
    <row r="523" spans="1:15" x14ac:dyDescent="0.25">
      <c r="A523" s="2" t="s">
        <v>488</v>
      </c>
      <c r="B523" s="2"/>
      <c r="C523" s="5">
        <v>429</v>
      </c>
      <c r="D523" s="5">
        <v>0</v>
      </c>
      <c r="E523" s="5">
        <v>1</v>
      </c>
      <c r="F523" s="5"/>
      <c r="G523" s="5"/>
      <c r="H523" s="5"/>
      <c r="I523" s="5"/>
      <c r="J523" s="5"/>
      <c r="K523" s="5" t="b">
        <f t="shared" si="34"/>
        <v>0</v>
      </c>
      <c r="L523" s="5"/>
      <c r="O523" s="5"/>
    </row>
    <row r="524" spans="1:15" x14ac:dyDescent="0.25">
      <c r="A524" s="2" t="s">
        <v>525</v>
      </c>
      <c r="B524" s="2"/>
      <c r="C524" s="5">
        <v>429</v>
      </c>
      <c r="D524" s="5">
        <v>0</v>
      </c>
      <c r="E524" s="5">
        <v>1</v>
      </c>
      <c r="F524" s="5"/>
      <c r="G524" s="5"/>
      <c r="H524" s="5"/>
      <c r="I524" s="5"/>
      <c r="J524" s="5"/>
      <c r="K524" s="5" t="b">
        <f t="shared" si="34"/>
        <v>0</v>
      </c>
      <c r="L524" s="5"/>
      <c r="O524" s="5"/>
    </row>
    <row r="525" spans="1:15" x14ac:dyDescent="0.25">
      <c r="A525" s="2" t="s">
        <v>130</v>
      </c>
      <c r="B525" s="2"/>
      <c r="C525" s="5">
        <v>431</v>
      </c>
      <c r="D525" s="5">
        <v>1</v>
      </c>
      <c r="E525" s="5">
        <v>0</v>
      </c>
      <c r="F525" s="5"/>
      <c r="G525" s="5"/>
      <c r="H525" s="5">
        <v>9.8699999999999992</v>
      </c>
      <c r="I525" s="5">
        <v>2</v>
      </c>
      <c r="J525" s="5">
        <v>298</v>
      </c>
      <c r="K525" s="5">
        <f t="shared" si="34"/>
        <v>0.20959461948027894</v>
      </c>
      <c r="L525" s="5"/>
      <c r="M525" s="25">
        <v>0</v>
      </c>
      <c r="N525" s="25">
        <v>0</v>
      </c>
      <c r="O525" s="5"/>
    </row>
    <row r="526" spans="1:15" x14ac:dyDescent="0.25">
      <c r="A526" s="2" t="s">
        <v>249</v>
      </c>
      <c r="B526" s="2"/>
      <c r="C526" s="5">
        <v>431</v>
      </c>
      <c r="D526" s="5">
        <v>5</v>
      </c>
      <c r="E526" s="5">
        <v>0</v>
      </c>
      <c r="F526" s="5">
        <v>0</v>
      </c>
      <c r="G526" s="5"/>
      <c r="H526" s="5"/>
      <c r="I526" s="5"/>
      <c r="J526" s="5"/>
      <c r="K526" s="5" t="b">
        <f t="shared" si="34"/>
        <v>0</v>
      </c>
      <c r="L526" s="5"/>
      <c r="O526" s="5"/>
    </row>
    <row r="527" spans="1:15" x14ac:dyDescent="0.25">
      <c r="A527" s="2" t="s">
        <v>333</v>
      </c>
      <c r="B527" s="2"/>
      <c r="C527" s="5">
        <v>431</v>
      </c>
      <c r="D527" s="5">
        <v>5</v>
      </c>
      <c r="E527" s="5">
        <v>0</v>
      </c>
      <c r="F527" s="5">
        <v>0</v>
      </c>
      <c r="G527" s="5"/>
      <c r="H527" s="5"/>
      <c r="I527" s="5"/>
      <c r="J527" s="5"/>
      <c r="K527" s="5" t="b">
        <f t="shared" si="34"/>
        <v>0</v>
      </c>
      <c r="L527" s="5"/>
      <c r="O527" s="5"/>
    </row>
    <row r="528" spans="1:15" x14ac:dyDescent="0.25">
      <c r="A528" s="2" t="s">
        <v>132</v>
      </c>
      <c r="B528" s="2"/>
      <c r="C528" s="5">
        <v>432</v>
      </c>
      <c r="D528" s="5">
        <v>1</v>
      </c>
      <c r="E528" s="5">
        <v>0</v>
      </c>
      <c r="F528" s="5">
        <v>0</v>
      </c>
      <c r="G528" s="5"/>
      <c r="H528" s="5"/>
      <c r="I528" s="5"/>
      <c r="J528" s="5"/>
      <c r="K528" s="5" t="b">
        <f t="shared" si="34"/>
        <v>0</v>
      </c>
      <c r="L528" s="5"/>
      <c r="O528" s="5"/>
    </row>
    <row r="529" spans="1:19" x14ac:dyDescent="0.25">
      <c r="A529" s="2" t="s">
        <v>131</v>
      </c>
      <c r="B529" s="2"/>
      <c r="C529" s="5">
        <v>432</v>
      </c>
      <c r="D529" s="5">
        <v>1</v>
      </c>
      <c r="E529" s="5">
        <v>0</v>
      </c>
      <c r="F529" s="5">
        <v>0</v>
      </c>
      <c r="G529" s="5"/>
      <c r="H529" s="5"/>
      <c r="I529" s="5"/>
      <c r="J529" s="5"/>
      <c r="K529" s="5" t="b">
        <f t="shared" si="34"/>
        <v>0</v>
      </c>
      <c r="L529" s="5"/>
      <c r="O529" s="5"/>
    </row>
    <row r="530" spans="1:19" x14ac:dyDescent="0.25">
      <c r="A530" s="2" t="s">
        <v>385</v>
      </c>
      <c r="B530" s="2"/>
      <c r="C530" s="5">
        <v>432</v>
      </c>
      <c r="D530" s="5">
        <v>1</v>
      </c>
      <c r="E530" s="5">
        <v>1</v>
      </c>
      <c r="F530" s="5">
        <v>0</v>
      </c>
      <c r="G530" s="5"/>
      <c r="H530" s="5"/>
      <c r="I530" s="5"/>
      <c r="J530" s="5"/>
      <c r="K530" s="5" t="b">
        <f t="shared" si="34"/>
        <v>0</v>
      </c>
      <c r="L530" s="5"/>
      <c r="O530" s="5"/>
    </row>
    <row r="531" spans="1:19" x14ac:dyDescent="0.25">
      <c r="A531" s="2" t="s">
        <v>489</v>
      </c>
      <c r="B531" s="2"/>
      <c r="C531" s="5">
        <v>432</v>
      </c>
      <c r="D531" s="5">
        <v>1</v>
      </c>
      <c r="E531" s="5">
        <v>1</v>
      </c>
      <c r="F531" s="5"/>
      <c r="G531" s="5">
        <v>2.09</v>
      </c>
      <c r="H531" s="5"/>
      <c r="I531" s="5">
        <v>405</v>
      </c>
      <c r="J531" s="5"/>
      <c r="K531" s="5">
        <f t="shared" si="34"/>
        <v>0.10329737550991305</v>
      </c>
      <c r="L531" s="5"/>
      <c r="M531" s="25">
        <v>0</v>
      </c>
      <c r="N531" s="25">
        <v>0</v>
      </c>
      <c r="O531" s="5"/>
    </row>
    <row r="532" spans="1:19" x14ac:dyDescent="0.25">
      <c r="A532" s="2" t="s">
        <v>509</v>
      </c>
      <c r="B532" s="2"/>
      <c r="C532" s="5">
        <v>432</v>
      </c>
      <c r="D532" s="5">
        <v>1</v>
      </c>
      <c r="E532" s="5">
        <v>0</v>
      </c>
      <c r="F532" s="5">
        <v>0</v>
      </c>
      <c r="G532" s="5"/>
      <c r="H532" s="5"/>
      <c r="I532" s="5"/>
      <c r="J532" s="5"/>
      <c r="K532" s="5" t="b">
        <f t="shared" si="34"/>
        <v>0</v>
      </c>
      <c r="L532" s="5"/>
      <c r="O532" s="5"/>
    </row>
    <row r="533" spans="1:19" x14ac:dyDescent="0.25">
      <c r="A533" s="2" t="s">
        <v>133</v>
      </c>
      <c r="B533" s="2"/>
      <c r="C533" s="5">
        <v>433</v>
      </c>
      <c r="D533" s="5">
        <v>1</v>
      </c>
      <c r="E533" s="5">
        <v>0</v>
      </c>
      <c r="F533" s="5"/>
      <c r="G533" s="5">
        <v>3.1419999999999999</v>
      </c>
      <c r="H533" s="5"/>
      <c r="I533" s="5">
        <v>44</v>
      </c>
      <c r="J533" s="5"/>
      <c r="K533" s="5">
        <f t="shared" si="34"/>
        <v>0.42807904601577307</v>
      </c>
      <c r="L533" s="5"/>
      <c r="M533" s="25" t="s">
        <v>676</v>
      </c>
      <c r="N533" s="25" t="s">
        <v>676</v>
      </c>
      <c r="O533" s="5" t="s">
        <v>648</v>
      </c>
    </row>
    <row r="534" spans="1:19" x14ac:dyDescent="0.25">
      <c r="A534" s="2" t="s">
        <v>250</v>
      </c>
      <c r="B534" s="2"/>
      <c r="C534" s="5">
        <v>433</v>
      </c>
      <c r="D534" s="5">
        <v>1</v>
      </c>
      <c r="E534" s="5">
        <v>0</v>
      </c>
      <c r="F534" s="5"/>
      <c r="G534" s="5">
        <v>3.1419999999999999</v>
      </c>
      <c r="H534" s="5"/>
      <c r="I534" s="5">
        <v>44</v>
      </c>
      <c r="J534" s="5"/>
      <c r="K534" s="5">
        <f t="shared" si="34"/>
        <v>0.42807904601577307</v>
      </c>
      <c r="L534" s="5"/>
      <c r="M534" s="25" t="s">
        <v>676</v>
      </c>
      <c r="N534" s="25" t="s">
        <v>676</v>
      </c>
      <c r="O534" s="5" t="s">
        <v>596</v>
      </c>
    </row>
    <row r="535" spans="1:19" x14ac:dyDescent="0.25">
      <c r="A535" s="2" t="s">
        <v>134</v>
      </c>
      <c r="B535" s="2" t="s">
        <v>649</v>
      </c>
      <c r="C535" s="5">
        <v>434</v>
      </c>
      <c r="D535" s="5">
        <v>2</v>
      </c>
      <c r="E535" s="5">
        <v>0</v>
      </c>
      <c r="F535" s="5"/>
      <c r="G535" s="5"/>
      <c r="H535" s="5">
        <v>20.87</v>
      </c>
      <c r="I535" s="5">
        <v>1</v>
      </c>
      <c r="J535" s="5">
        <v>196</v>
      </c>
      <c r="K535" s="5">
        <f t="shared" si="34"/>
        <v>0.31021406507971805</v>
      </c>
      <c r="L535" s="5"/>
      <c r="M535" s="25" t="s">
        <v>676</v>
      </c>
      <c r="N535" s="25" t="s">
        <v>676</v>
      </c>
      <c r="O535" s="5" t="s">
        <v>603</v>
      </c>
    </row>
    <row r="536" spans="1:19" x14ac:dyDescent="0.25">
      <c r="A536" s="2" t="s">
        <v>251</v>
      </c>
      <c r="B536" s="2" t="s">
        <v>650</v>
      </c>
      <c r="C536" s="5">
        <v>434</v>
      </c>
      <c r="D536" s="5">
        <v>1</v>
      </c>
      <c r="E536" s="5">
        <v>0</v>
      </c>
      <c r="F536" s="5"/>
      <c r="G536" s="5">
        <v>4.26</v>
      </c>
      <c r="H536" s="5"/>
      <c r="I536" s="5">
        <v>102</v>
      </c>
      <c r="J536" s="5"/>
      <c r="K536" s="5">
        <f t="shared" si="34"/>
        <v>0.38864407317595079</v>
      </c>
      <c r="L536" s="5"/>
      <c r="M536" s="25" t="s">
        <v>676</v>
      </c>
      <c r="N536" s="25" t="s">
        <v>676</v>
      </c>
      <c r="O536" s="5" t="s">
        <v>603</v>
      </c>
    </row>
    <row r="537" spans="1:19" x14ac:dyDescent="0.25">
      <c r="A537" s="2" t="s">
        <v>135</v>
      </c>
      <c r="B537" s="2"/>
      <c r="C537" s="5">
        <v>437</v>
      </c>
      <c r="D537" s="5">
        <v>3</v>
      </c>
      <c r="E537" s="5">
        <v>0</v>
      </c>
      <c r="F537" s="5"/>
      <c r="G537" s="5">
        <v>2.2200000000000002</v>
      </c>
      <c r="H537" s="5"/>
      <c r="I537" s="5">
        <v>515</v>
      </c>
      <c r="J537" s="5"/>
      <c r="K537" s="5">
        <f t="shared" si="34"/>
        <v>9.736014324522993E-2</v>
      </c>
      <c r="L537" s="5"/>
      <c r="M537" s="25">
        <v>0</v>
      </c>
      <c r="N537" s="25">
        <v>0</v>
      </c>
      <c r="O537" s="5" t="s">
        <v>651</v>
      </c>
    </row>
    <row r="538" spans="1:19" x14ac:dyDescent="0.25">
      <c r="A538" s="2" t="s">
        <v>252</v>
      </c>
      <c r="B538" s="2"/>
      <c r="C538" s="5">
        <v>437</v>
      </c>
      <c r="D538" s="5">
        <v>4</v>
      </c>
      <c r="E538" s="5">
        <v>0</v>
      </c>
      <c r="F538" s="5"/>
      <c r="G538" s="5">
        <v>-1.51</v>
      </c>
      <c r="H538" s="5"/>
      <c r="I538" s="5">
        <v>441</v>
      </c>
      <c r="J538" s="5"/>
      <c r="K538" s="5">
        <f t="shared" ref="K538:K545" si="35">IF(NOT(ISBLANK(G538)),SQRT((G538^2*1/I538)/(G538^2*1/I538+1)),IF(NOT(ISBLANK(H538)),SQRT((H538*I538/J538)/(H538*I538/J538+1)*SQRT(1/I538))))</f>
        <v>7.1719595213245668E-2</v>
      </c>
      <c r="L538" s="5"/>
      <c r="M538" s="25">
        <v>0</v>
      </c>
      <c r="N538" s="25">
        <v>0</v>
      </c>
      <c r="O538" s="5" t="s">
        <v>701</v>
      </c>
    </row>
    <row r="539" spans="1:19" x14ac:dyDescent="0.25">
      <c r="A539" s="2" t="s">
        <v>334</v>
      </c>
      <c r="B539" s="2"/>
      <c r="C539" s="5">
        <v>437</v>
      </c>
      <c r="D539" s="5">
        <v>1</v>
      </c>
      <c r="E539" s="5">
        <v>0</v>
      </c>
      <c r="F539" s="5"/>
      <c r="G539" s="5">
        <v>-2.76</v>
      </c>
      <c r="H539" s="5"/>
      <c r="I539" s="5">
        <v>515</v>
      </c>
      <c r="J539" s="5"/>
      <c r="K539" s="5">
        <f t="shared" si="35"/>
        <v>0.12073051868431915</v>
      </c>
      <c r="L539" s="5"/>
      <c r="M539" s="25">
        <v>0</v>
      </c>
      <c r="N539" s="25">
        <v>0</v>
      </c>
      <c r="O539" s="5"/>
    </row>
    <row r="540" spans="1:19" x14ac:dyDescent="0.25">
      <c r="A540" s="2" t="s">
        <v>386</v>
      </c>
      <c r="B540" s="2"/>
      <c r="C540" s="5">
        <v>437</v>
      </c>
      <c r="D540" s="5">
        <v>2</v>
      </c>
      <c r="E540" s="5">
        <v>0</v>
      </c>
      <c r="F540" s="5">
        <v>0</v>
      </c>
      <c r="G540" s="5"/>
      <c r="H540" s="5"/>
      <c r="I540" s="5"/>
      <c r="J540" s="5"/>
      <c r="K540" s="5" t="b">
        <f t="shared" si="35"/>
        <v>0</v>
      </c>
      <c r="L540" s="5"/>
      <c r="O540" s="5"/>
    </row>
    <row r="541" spans="1:19" x14ac:dyDescent="0.25">
      <c r="A541" s="2" t="s">
        <v>490</v>
      </c>
      <c r="B541" s="2"/>
      <c r="C541" s="5">
        <v>437</v>
      </c>
      <c r="D541" s="5">
        <v>2</v>
      </c>
      <c r="E541" s="5">
        <v>0</v>
      </c>
      <c r="F541" s="5"/>
      <c r="G541" s="5">
        <v>4.28</v>
      </c>
      <c r="H541" s="5"/>
      <c r="I541" s="5">
        <v>517</v>
      </c>
      <c r="J541" s="5"/>
      <c r="K541" s="5">
        <f t="shared" si="35"/>
        <v>0.18498549813516568</v>
      </c>
      <c r="L541" s="5"/>
      <c r="M541" s="25" t="s">
        <v>676</v>
      </c>
      <c r="N541" s="25" t="s">
        <v>676</v>
      </c>
      <c r="O541" s="5" t="s">
        <v>652</v>
      </c>
      <c r="S541" s="5" t="s">
        <v>603</v>
      </c>
    </row>
    <row r="542" spans="1:19" x14ac:dyDescent="0.25">
      <c r="A542" s="2" t="s">
        <v>136</v>
      </c>
      <c r="B542" s="2"/>
      <c r="C542" s="5">
        <v>438</v>
      </c>
      <c r="D542" s="5">
        <v>1</v>
      </c>
      <c r="E542" s="5">
        <v>0</v>
      </c>
      <c r="F542" s="5"/>
      <c r="G542" s="5">
        <v>3.9</v>
      </c>
      <c r="H542" s="5"/>
      <c r="I542" s="5">
        <v>179</v>
      </c>
      <c r="J542" s="5"/>
      <c r="K542" s="5">
        <f t="shared" si="35"/>
        <v>0.27985225640094019</v>
      </c>
      <c r="L542" s="5"/>
      <c r="M542" s="25">
        <v>0</v>
      </c>
      <c r="N542" s="25">
        <v>0</v>
      </c>
      <c r="O542" s="5"/>
    </row>
    <row r="543" spans="1:19" x14ac:dyDescent="0.25">
      <c r="A543" s="2" t="s">
        <v>137</v>
      </c>
      <c r="B543" s="2"/>
      <c r="C543" s="5">
        <v>442</v>
      </c>
      <c r="D543" s="5">
        <v>0</v>
      </c>
      <c r="E543" s="5">
        <v>0</v>
      </c>
      <c r="F543" s="5"/>
      <c r="G543" s="5"/>
      <c r="H543" s="5"/>
      <c r="I543" s="5"/>
      <c r="J543" s="5"/>
      <c r="K543" s="5" t="b">
        <f t="shared" si="35"/>
        <v>0</v>
      </c>
      <c r="L543" s="5"/>
      <c r="O543" s="5"/>
    </row>
    <row r="544" spans="1:19" x14ac:dyDescent="0.25">
      <c r="A544" s="2" t="s">
        <v>253</v>
      </c>
      <c r="B544" s="2"/>
      <c r="C544" s="5">
        <v>442</v>
      </c>
      <c r="D544" s="5">
        <v>1</v>
      </c>
      <c r="E544" s="5">
        <v>0</v>
      </c>
      <c r="F544" s="5"/>
      <c r="G544" s="5">
        <v>-2.8</v>
      </c>
      <c r="H544" s="5"/>
      <c r="I544" s="5">
        <v>77</v>
      </c>
      <c r="J544" s="5"/>
      <c r="K544" s="5">
        <f t="shared" si="35"/>
        <v>0.30398888289556314</v>
      </c>
      <c r="L544" s="5"/>
      <c r="M544" s="25">
        <v>0</v>
      </c>
      <c r="N544" s="25">
        <v>0</v>
      </c>
      <c r="O544" s="5"/>
    </row>
    <row r="545" spans="1:16" x14ac:dyDescent="0.25">
      <c r="A545" s="2" t="s">
        <v>335</v>
      </c>
      <c r="B545" s="2"/>
      <c r="C545" s="5">
        <v>442</v>
      </c>
      <c r="D545" s="5">
        <v>1</v>
      </c>
      <c r="E545" s="5">
        <v>0</v>
      </c>
      <c r="F545" s="5"/>
      <c r="G545" s="5">
        <v>8.43</v>
      </c>
      <c r="H545" s="5"/>
      <c r="I545" s="5">
        <v>77</v>
      </c>
      <c r="J545" s="5"/>
      <c r="K545" s="5">
        <f t="shared" si="35"/>
        <v>0.69278984928538767</v>
      </c>
      <c r="L545" s="5"/>
      <c r="M545" s="25">
        <v>0</v>
      </c>
      <c r="N545" s="25">
        <v>0</v>
      </c>
      <c r="O545" s="5"/>
    </row>
    <row r="546" spans="1:16" x14ac:dyDescent="0.25">
      <c r="A546" s="2" t="s">
        <v>387</v>
      </c>
      <c r="B546" s="2"/>
      <c r="C546" s="5">
        <v>442</v>
      </c>
      <c r="D546" s="5">
        <v>2</v>
      </c>
      <c r="E546" s="5">
        <v>0</v>
      </c>
      <c r="F546" s="5"/>
      <c r="G546" s="5"/>
      <c r="H546" s="5"/>
      <c r="I546" s="5"/>
      <c r="J546" s="5"/>
      <c r="K546" s="5">
        <v>0.32</v>
      </c>
      <c r="L546" s="5"/>
      <c r="O546" s="5"/>
    </row>
    <row r="547" spans="1:16" x14ac:dyDescent="0.25">
      <c r="A547" s="2" t="s">
        <v>459</v>
      </c>
      <c r="B547" s="2"/>
      <c r="C547" s="5">
        <v>442</v>
      </c>
      <c r="D547" s="5">
        <v>1</v>
      </c>
      <c r="E547" s="5">
        <v>0</v>
      </c>
      <c r="F547" s="5"/>
      <c r="G547" s="5">
        <v>7.33</v>
      </c>
      <c r="H547" s="5"/>
      <c r="I547" s="5">
        <v>77</v>
      </c>
      <c r="J547" s="5"/>
      <c r="K547" s="5">
        <f t="shared" ref="K547:K566" si="36">IF(NOT(ISBLANK(G547)),SQRT((G547^2*1/I547)/(G547^2*1/I547+1)),IF(NOT(ISBLANK(H547)),SQRT((H547*I547/J547)/(H547*I547/J547+1)*SQRT(1/I547))))</f>
        <v>0.64108877268249043</v>
      </c>
      <c r="L547" s="5"/>
      <c r="M547" s="25">
        <v>0</v>
      </c>
      <c r="N547" s="25">
        <v>0</v>
      </c>
      <c r="O547" s="5"/>
    </row>
    <row r="548" spans="1:16" x14ac:dyDescent="0.25">
      <c r="A548" s="2" t="s">
        <v>526</v>
      </c>
      <c r="B548" s="2"/>
      <c r="C548" s="5">
        <v>442</v>
      </c>
      <c r="D548" s="5">
        <v>1</v>
      </c>
      <c r="E548" s="5">
        <v>0</v>
      </c>
      <c r="F548" s="5"/>
      <c r="G548" s="5">
        <v>12.36</v>
      </c>
      <c r="H548" s="5"/>
      <c r="I548" s="5">
        <v>126</v>
      </c>
      <c r="J548" s="5"/>
      <c r="K548" s="5">
        <f t="shared" si="36"/>
        <v>0.74027957130416155</v>
      </c>
      <c r="L548" s="5"/>
      <c r="M548" s="25">
        <v>0</v>
      </c>
      <c r="N548" s="25">
        <v>0</v>
      </c>
      <c r="O548" s="5"/>
    </row>
    <row r="549" spans="1:16" x14ac:dyDescent="0.25">
      <c r="A549" s="2" t="s">
        <v>138</v>
      </c>
      <c r="B549" s="2"/>
      <c r="C549" s="5">
        <v>445</v>
      </c>
      <c r="D549" s="5">
        <v>2</v>
      </c>
      <c r="E549" s="5">
        <v>0</v>
      </c>
      <c r="F549" s="5"/>
      <c r="G549" s="5"/>
      <c r="H549" s="5">
        <v>72.86</v>
      </c>
      <c r="I549" s="5">
        <v>1</v>
      </c>
      <c r="J549" s="5">
        <v>376</v>
      </c>
      <c r="K549" s="5">
        <f t="shared" si="36"/>
        <v>0.4028924517468071</v>
      </c>
      <c r="L549" s="5"/>
      <c r="M549" s="25">
        <v>0</v>
      </c>
      <c r="N549" s="25">
        <v>0</v>
      </c>
      <c r="O549" s="5" t="s">
        <v>653</v>
      </c>
    </row>
    <row r="550" spans="1:16" x14ac:dyDescent="0.25">
      <c r="A550" s="2" t="s">
        <v>254</v>
      </c>
      <c r="B550" s="2"/>
      <c r="C550" s="5">
        <v>445</v>
      </c>
      <c r="D550" s="5">
        <v>1</v>
      </c>
      <c r="E550" s="5">
        <v>0</v>
      </c>
      <c r="F550" s="5"/>
      <c r="G550" s="5"/>
      <c r="H550" s="5">
        <v>3.91</v>
      </c>
      <c r="I550" s="5">
        <v>1</v>
      </c>
      <c r="J550" s="5">
        <v>363</v>
      </c>
      <c r="K550" s="5">
        <f t="shared" si="36"/>
        <v>0.10323063634439478</v>
      </c>
      <c r="L550" s="5"/>
      <c r="M550" s="25">
        <v>0</v>
      </c>
      <c r="N550" s="25">
        <v>0</v>
      </c>
      <c r="O550" s="5"/>
    </row>
    <row r="551" spans="1:16" x14ac:dyDescent="0.25">
      <c r="A551" s="2" t="s">
        <v>139</v>
      </c>
      <c r="B551" s="2"/>
      <c r="C551" s="5">
        <v>446</v>
      </c>
      <c r="D551" s="5">
        <v>3</v>
      </c>
      <c r="E551" s="5">
        <v>0</v>
      </c>
      <c r="F551" s="5"/>
      <c r="G551" s="5"/>
      <c r="H551" s="5">
        <v>223.51</v>
      </c>
      <c r="I551" s="5">
        <v>1</v>
      </c>
      <c r="J551" s="5">
        <v>111</v>
      </c>
      <c r="K551" s="5">
        <f t="shared" si="36"/>
        <v>0.81741749132034058</v>
      </c>
      <c r="L551" s="5"/>
      <c r="M551" s="25">
        <v>0</v>
      </c>
      <c r="N551" s="25">
        <v>0</v>
      </c>
      <c r="O551" s="5" t="s">
        <v>653</v>
      </c>
    </row>
    <row r="552" spans="1:16" x14ac:dyDescent="0.25">
      <c r="A552" s="2" t="s">
        <v>336</v>
      </c>
      <c r="B552" s="2"/>
      <c r="C552" s="5">
        <v>446</v>
      </c>
      <c r="D552" s="5">
        <v>3</v>
      </c>
      <c r="E552" s="5">
        <v>0</v>
      </c>
      <c r="F552" s="5"/>
      <c r="G552" s="5">
        <v>9.5500000000000007</v>
      </c>
      <c r="H552" s="5"/>
      <c r="I552" s="5">
        <v>111</v>
      </c>
      <c r="J552" s="5"/>
      <c r="K552" s="5">
        <f t="shared" si="36"/>
        <v>0.6715991087997486</v>
      </c>
      <c r="L552" s="5"/>
      <c r="M552" s="25">
        <v>0</v>
      </c>
      <c r="N552" s="25">
        <v>0</v>
      </c>
      <c r="O552" s="5" t="s">
        <v>654</v>
      </c>
    </row>
    <row r="553" spans="1:16" x14ac:dyDescent="0.25">
      <c r="A553" s="2" t="s">
        <v>428</v>
      </c>
      <c r="B553" s="2"/>
      <c r="C553" s="5">
        <v>446</v>
      </c>
      <c r="D553" s="5">
        <v>1</v>
      </c>
      <c r="E553" s="5">
        <v>0</v>
      </c>
      <c r="F553" s="5"/>
      <c r="G553" s="5">
        <v>3.9430000000000001</v>
      </c>
      <c r="H553" s="5"/>
      <c r="I553" s="5">
        <v>9</v>
      </c>
      <c r="J553" s="5"/>
      <c r="K553" s="5">
        <f t="shared" si="36"/>
        <v>0.79583926607270306</v>
      </c>
      <c r="L553" s="5"/>
      <c r="M553" s="25">
        <v>0</v>
      </c>
      <c r="N553" s="25">
        <v>0</v>
      </c>
      <c r="O553" s="5"/>
    </row>
    <row r="554" spans="1:16" x14ac:dyDescent="0.25">
      <c r="A554" s="2" t="s">
        <v>510</v>
      </c>
      <c r="B554" s="2"/>
      <c r="C554" s="5">
        <v>446</v>
      </c>
      <c r="D554" s="5">
        <v>0</v>
      </c>
      <c r="E554" s="5">
        <v>0</v>
      </c>
      <c r="F554" s="5"/>
      <c r="G554" s="5"/>
      <c r="H554" s="5"/>
      <c r="I554" s="5"/>
      <c r="J554" s="5"/>
      <c r="K554" s="5" t="b">
        <f t="shared" si="36"/>
        <v>0</v>
      </c>
      <c r="L554" s="5"/>
      <c r="O554" s="5"/>
    </row>
    <row r="555" spans="1:16" x14ac:dyDescent="0.25">
      <c r="A555" s="2" t="s">
        <v>140</v>
      </c>
      <c r="B555" s="2"/>
      <c r="C555" s="5">
        <v>448</v>
      </c>
      <c r="D555" s="5">
        <v>6</v>
      </c>
      <c r="E555" s="5">
        <v>0</v>
      </c>
      <c r="F555" s="5"/>
      <c r="G555" s="5"/>
      <c r="H555" s="5">
        <v>0.3</v>
      </c>
      <c r="I555" s="5">
        <v>1</v>
      </c>
      <c r="J555" s="5">
        <v>259</v>
      </c>
      <c r="K555" s="5">
        <f t="shared" si="36"/>
        <v>3.4014130137018317E-2</v>
      </c>
      <c r="L555" s="5"/>
      <c r="M555" s="25">
        <v>0</v>
      </c>
      <c r="N555" s="25">
        <v>0</v>
      </c>
      <c r="O555" s="5" t="s">
        <v>656</v>
      </c>
      <c r="P555" t="s">
        <v>689</v>
      </c>
    </row>
    <row r="556" spans="1:16" x14ac:dyDescent="0.25">
      <c r="A556" s="2" t="s">
        <v>255</v>
      </c>
      <c r="B556" s="2"/>
      <c r="C556" s="5">
        <v>448</v>
      </c>
      <c r="D556" s="5">
        <v>2</v>
      </c>
      <c r="E556" s="5">
        <v>0</v>
      </c>
      <c r="F556" s="5"/>
      <c r="G556" s="5"/>
      <c r="H556" s="5">
        <v>0.64</v>
      </c>
      <c r="I556" s="5">
        <v>1</v>
      </c>
      <c r="J556" s="5">
        <v>259</v>
      </c>
      <c r="K556" s="5">
        <f t="shared" si="36"/>
        <v>4.9648277626398174E-2</v>
      </c>
      <c r="L556" s="5"/>
      <c r="M556" s="25">
        <v>0</v>
      </c>
      <c r="N556" s="25">
        <v>0</v>
      </c>
      <c r="O556" s="5"/>
    </row>
    <row r="557" spans="1:16" x14ac:dyDescent="0.25">
      <c r="A557" s="2" t="s">
        <v>337</v>
      </c>
      <c r="B557" s="2"/>
      <c r="C557" s="5">
        <v>448</v>
      </c>
      <c r="D557" s="5">
        <v>2</v>
      </c>
      <c r="E557" s="5">
        <v>0</v>
      </c>
      <c r="F557" s="5"/>
      <c r="G557" s="5"/>
      <c r="H557" s="5">
        <v>2.6</v>
      </c>
      <c r="I557" s="5">
        <v>1</v>
      </c>
      <c r="J557" s="5">
        <v>259</v>
      </c>
      <c r="K557" s="5">
        <f t="shared" si="36"/>
        <v>9.9693720566991065E-2</v>
      </c>
      <c r="L557" s="5"/>
      <c r="M557" s="25">
        <v>0</v>
      </c>
      <c r="N557" s="25">
        <v>0</v>
      </c>
      <c r="O557" s="5" t="s">
        <v>655</v>
      </c>
      <c r="P557" t="s">
        <v>702</v>
      </c>
    </row>
    <row r="558" spans="1:16" x14ac:dyDescent="0.25">
      <c r="A558" s="2" t="s">
        <v>141</v>
      </c>
      <c r="B558" s="2"/>
      <c r="C558" s="5">
        <v>449</v>
      </c>
      <c r="D558" s="5">
        <v>2</v>
      </c>
      <c r="E558" s="5">
        <v>0</v>
      </c>
      <c r="F558" s="5"/>
      <c r="G558" s="5"/>
      <c r="H558" s="5">
        <v>34.92</v>
      </c>
      <c r="I558" s="5">
        <v>1</v>
      </c>
      <c r="J558" s="5">
        <v>99</v>
      </c>
      <c r="K558" s="5">
        <f t="shared" si="36"/>
        <v>0.51063948943657211</v>
      </c>
      <c r="L558" s="5"/>
      <c r="M558" s="25">
        <v>0</v>
      </c>
      <c r="N558" s="25">
        <v>0</v>
      </c>
      <c r="O558" s="5"/>
    </row>
    <row r="559" spans="1:16" x14ac:dyDescent="0.25">
      <c r="A559" s="2" t="s">
        <v>142</v>
      </c>
      <c r="B559" s="2"/>
      <c r="C559" s="5">
        <v>451</v>
      </c>
      <c r="D559" s="5">
        <v>1</v>
      </c>
      <c r="E559" s="5">
        <v>0</v>
      </c>
      <c r="F559" s="5"/>
      <c r="G559" s="5"/>
      <c r="H559" s="5">
        <v>25.27</v>
      </c>
      <c r="I559" s="5">
        <v>1</v>
      </c>
      <c r="J559" s="5">
        <v>606</v>
      </c>
      <c r="K559" s="5">
        <f t="shared" si="36"/>
        <v>0.2000760227462163</v>
      </c>
      <c r="L559" s="5"/>
      <c r="M559" s="25">
        <v>0</v>
      </c>
      <c r="N559" s="25">
        <v>0</v>
      </c>
      <c r="O559" s="5"/>
    </row>
    <row r="560" spans="1:16" x14ac:dyDescent="0.25">
      <c r="A560" s="2" t="s">
        <v>256</v>
      </c>
      <c r="B560" s="2"/>
      <c r="C560" s="5">
        <v>451</v>
      </c>
      <c r="D560" s="5">
        <v>1</v>
      </c>
      <c r="E560" s="5">
        <v>1</v>
      </c>
      <c r="F560" s="5"/>
      <c r="G560" s="5"/>
      <c r="H560" s="5">
        <v>25.27</v>
      </c>
      <c r="I560" s="5">
        <v>1</v>
      </c>
      <c r="J560" s="5">
        <v>606</v>
      </c>
      <c r="K560" s="5">
        <f t="shared" si="36"/>
        <v>0.2000760227462163</v>
      </c>
      <c r="L560" s="5"/>
      <c r="M560" s="25">
        <v>0</v>
      </c>
      <c r="N560" s="25">
        <v>0</v>
      </c>
      <c r="O560" s="5"/>
    </row>
    <row r="561" spans="1:15" x14ac:dyDescent="0.25">
      <c r="A561" s="2" t="s">
        <v>338</v>
      </c>
      <c r="B561" s="2"/>
      <c r="C561" s="5">
        <v>451</v>
      </c>
      <c r="D561" s="5">
        <v>1</v>
      </c>
      <c r="E561" s="5">
        <v>0</v>
      </c>
      <c r="F561" s="5"/>
      <c r="G561" s="5"/>
      <c r="H561" s="5">
        <v>0.25</v>
      </c>
      <c r="I561" s="5">
        <v>1</v>
      </c>
      <c r="J561" s="5">
        <v>606</v>
      </c>
      <c r="K561" s="5">
        <f t="shared" si="36"/>
        <v>2.0306923302672381E-2</v>
      </c>
      <c r="L561" s="5"/>
      <c r="M561" s="25">
        <v>0</v>
      </c>
      <c r="N561" s="25">
        <v>0</v>
      </c>
      <c r="O561" s="5" t="s">
        <v>657</v>
      </c>
    </row>
    <row r="562" spans="1:15" x14ac:dyDescent="0.25">
      <c r="A562" s="2" t="s">
        <v>388</v>
      </c>
      <c r="B562" s="2"/>
      <c r="C562" s="5">
        <v>451</v>
      </c>
      <c r="D562" s="5">
        <v>1</v>
      </c>
      <c r="E562" s="5">
        <v>1</v>
      </c>
      <c r="F562" s="5"/>
      <c r="G562" s="5"/>
      <c r="H562" s="5">
        <v>0.25</v>
      </c>
      <c r="I562" s="5">
        <v>1</v>
      </c>
      <c r="J562" s="5">
        <v>606</v>
      </c>
      <c r="K562" s="5">
        <f t="shared" si="36"/>
        <v>2.0306923302672381E-2</v>
      </c>
      <c r="L562" s="5"/>
      <c r="M562" s="25">
        <v>0</v>
      </c>
      <c r="N562" s="25">
        <v>0</v>
      </c>
      <c r="O562" s="5"/>
    </row>
    <row r="563" spans="1:15" x14ac:dyDescent="0.25">
      <c r="A563" s="2" t="s">
        <v>429</v>
      </c>
      <c r="B563" s="2"/>
      <c r="C563" s="5">
        <v>451</v>
      </c>
      <c r="D563" s="5">
        <v>1</v>
      </c>
      <c r="E563" s="5">
        <v>1</v>
      </c>
      <c r="F563" s="5"/>
      <c r="G563" s="5"/>
      <c r="H563" s="5">
        <v>0.25</v>
      </c>
      <c r="I563" s="5">
        <v>1</v>
      </c>
      <c r="J563" s="5">
        <v>606</v>
      </c>
      <c r="K563" s="5">
        <f t="shared" si="36"/>
        <v>2.0306923302672381E-2</v>
      </c>
      <c r="L563" s="5"/>
      <c r="M563" s="25">
        <v>0</v>
      </c>
      <c r="N563" s="25">
        <v>0</v>
      </c>
      <c r="O563" s="5"/>
    </row>
    <row r="564" spans="1:15" x14ac:dyDescent="0.25">
      <c r="A564" s="2" t="s">
        <v>338</v>
      </c>
      <c r="B564" s="2"/>
      <c r="C564" s="5">
        <v>451</v>
      </c>
      <c r="D564" s="5">
        <v>1</v>
      </c>
      <c r="E564" s="5">
        <v>1</v>
      </c>
      <c r="F564" s="5"/>
      <c r="G564" s="5"/>
      <c r="H564" s="5">
        <v>0.25</v>
      </c>
      <c r="I564" s="5">
        <v>1</v>
      </c>
      <c r="J564" s="5">
        <v>606</v>
      </c>
      <c r="K564" s="5">
        <f t="shared" si="36"/>
        <v>2.0306923302672381E-2</v>
      </c>
      <c r="L564" s="5"/>
      <c r="M564" s="25">
        <v>0</v>
      </c>
      <c r="N564" s="25">
        <v>0</v>
      </c>
      <c r="O564" s="5"/>
    </row>
    <row r="565" spans="1:15" x14ac:dyDescent="0.25">
      <c r="A565" s="2" t="s">
        <v>143</v>
      </c>
      <c r="B565" s="2"/>
      <c r="C565" s="5">
        <v>452</v>
      </c>
      <c r="D565" s="5">
        <v>1</v>
      </c>
      <c r="E565" s="5">
        <v>0</v>
      </c>
      <c r="F565" s="5"/>
      <c r="G565" s="5"/>
      <c r="H565" s="5">
        <v>5.33</v>
      </c>
      <c r="I565" s="5">
        <v>1</v>
      </c>
      <c r="J565" s="5">
        <v>353</v>
      </c>
      <c r="K565" s="5">
        <f t="shared" si="36"/>
        <v>0.12196129292780969</v>
      </c>
      <c r="L565" s="5"/>
      <c r="M565" s="25">
        <v>0</v>
      </c>
      <c r="N565" s="25">
        <v>0</v>
      </c>
      <c r="O565" s="5"/>
    </row>
    <row r="566" spans="1:15" x14ac:dyDescent="0.25">
      <c r="A566" s="2" t="s">
        <v>257</v>
      </c>
      <c r="B566" s="2" t="s">
        <v>658</v>
      </c>
      <c r="C566" s="5">
        <v>452</v>
      </c>
      <c r="D566" s="5">
        <v>1</v>
      </c>
      <c r="E566" s="5">
        <v>0</v>
      </c>
      <c r="F566" s="5"/>
      <c r="G566" s="5"/>
      <c r="H566" s="5">
        <v>85.13</v>
      </c>
      <c r="I566" s="5">
        <v>1</v>
      </c>
      <c r="J566" s="5">
        <v>353</v>
      </c>
      <c r="K566" s="5">
        <f t="shared" si="36"/>
        <v>0.44079820863451585</v>
      </c>
      <c r="L566" s="5"/>
      <c r="M566" s="25">
        <v>0</v>
      </c>
      <c r="N566" s="25">
        <v>0</v>
      </c>
      <c r="O566" s="5"/>
    </row>
    <row r="567" spans="1:15" x14ac:dyDescent="0.25">
      <c r="A567" s="2" t="s">
        <v>144</v>
      </c>
      <c r="B567" s="2"/>
      <c r="C567" s="5">
        <v>453</v>
      </c>
      <c r="D567" s="5">
        <v>1</v>
      </c>
      <c r="E567" s="5">
        <v>0</v>
      </c>
      <c r="F567" s="5"/>
      <c r="G567" s="5"/>
      <c r="H567" s="5"/>
      <c r="I567" s="5"/>
      <c r="J567" s="5"/>
      <c r="K567" s="5">
        <v>0.11</v>
      </c>
      <c r="L567" s="5"/>
    </row>
    <row r="568" spans="1:15" x14ac:dyDescent="0.25">
      <c r="A568" s="2" t="s">
        <v>258</v>
      </c>
      <c r="B568" s="2"/>
      <c r="C568" s="5">
        <v>453</v>
      </c>
      <c r="D568" s="5">
        <v>1</v>
      </c>
      <c r="E568" s="5">
        <v>0</v>
      </c>
      <c r="F568" s="5"/>
      <c r="G568" s="5"/>
      <c r="H568" s="5"/>
      <c r="I568" s="5"/>
      <c r="J568" s="5"/>
      <c r="K568" s="5">
        <v>0.18</v>
      </c>
      <c r="L568" s="5"/>
      <c r="O568" s="5"/>
    </row>
    <row r="569" spans="1:15" x14ac:dyDescent="0.25">
      <c r="A569" s="2" t="s">
        <v>339</v>
      </c>
      <c r="B569" s="2"/>
      <c r="C569" s="5">
        <v>453</v>
      </c>
      <c r="D569" s="5">
        <v>2</v>
      </c>
      <c r="E569" s="5">
        <v>0</v>
      </c>
      <c r="F569" s="5"/>
      <c r="G569" s="5"/>
      <c r="H569" s="5"/>
      <c r="I569" s="5"/>
      <c r="J569" s="5"/>
      <c r="K569" s="5">
        <v>0.3</v>
      </c>
      <c r="L569" s="5"/>
      <c r="O569" s="5" t="s">
        <v>659</v>
      </c>
    </row>
    <row r="570" spans="1:15" x14ac:dyDescent="0.25">
      <c r="A570" s="2" t="s">
        <v>389</v>
      </c>
      <c r="B570" s="2"/>
      <c r="C570" s="5">
        <v>453</v>
      </c>
      <c r="D570" s="5">
        <v>1</v>
      </c>
      <c r="E570" s="5">
        <v>0</v>
      </c>
      <c r="F570" s="5"/>
      <c r="G570" s="5"/>
      <c r="H570" s="5"/>
      <c r="I570" s="5"/>
      <c r="J570" s="5"/>
      <c r="K570" s="5">
        <v>0.41</v>
      </c>
      <c r="L570" s="5"/>
    </row>
    <row r="571" spans="1:15" x14ac:dyDescent="0.25">
      <c r="A571" s="2" t="s">
        <v>430</v>
      </c>
      <c r="B571" s="2"/>
      <c r="C571" s="5">
        <v>453</v>
      </c>
      <c r="D571" s="5">
        <v>1</v>
      </c>
      <c r="E571" s="5">
        <v>0</v>
      </c>
      <c r="F571" s="5">
        <v>0</v>
      </c>
      <c r="G571" s="5"/>
      <c r="H571" s="5"/>
      <c r="I571" s="5"/>
      <c r="J571" s="5"/>
      <c r="K571" s="5" t="b">
        <f>IF(NOT(ISBLANK(G571)),SQRT((G571^2*1/I571)/(G571^2*1/I571+1)),IF(NOT(ISBLANK(H571)),SQRT((H571*I571/J571)/(H571*I571/J571+1)*SQRT(1/I571))))</f>
        <v>0</v>
      </c>
      <c r="L571" s="5"/>
      <c r="O571" s="5"/>
    </row>
    <row r="572" spans="1:15" x14ac:dyDescent="0.25">
      <c r="A572" s="2" t="s">
        <v>460</v>
      </c>
      <c r="B572" s="2"/>
      <c r="C572" s="5">
        <v>453</v>
      </c>
      <c r="D572" s="5">
        <v>1</v>
      </c>
      <c r="E572" s="5">
        <v>0</v>
      </c>
      <c r="F572" s="5"/>
      <c r="G572" s="5"/>
      <c r="H572" s="5"/>
      <c r="I572" s="5"/>
      <c r="J572" s="5"/>
      <c r="K572" s="5">
        <v>0.1</v>
      </c>
      <c r="L572" s="5"/>
      <c r="O572" s="5"/>
    </row>
    <row r="573" spans="1:15" x14ac:dyDescent="0.25">
      <c r="A573" s="2" t="s">
        <v>491</v>
      </c>
      <c r="B573" s="2"/>
      <c r="C573" s="5">
        <v>453</v>
      </c>
      <c r="D573" s="5">
        <v>1</v>
      </c>
      <c r="E573" s="5">
        <v>0</v>
      </c>
      <c r="F573" s="5"/>
      <c r="G573" s="5"/>
      <c r="H573" s="5"/>
      <c r="I573" s="5"/>
      <c r="J573" s="5"/>
      <c r="K573" s="5">
        <v>0.16</v>
      </c>
      <c r="L573" s="5"/>
      <c r="O573" s="5"/>
    </row>
    <row r="574" spans="1:15" x14ac:dyDescent="0.25">
      <c r="A574" s="2" t="s">
        <v>511</v>
      </c>
      <c r="B574" s="2"/>
      <c r="C574" s="5">
        <v>453</v>
      </c>
      <c r="D574" s="5">
        <v>1</v>
      </c>
      <c r="E574" s="5">
        <v>0</v>
      </c>
      <c r="F574" s="5"/>
      <c r="G574" s="5">
        <v>3.56</v>
      </c>
      <c r="H574" s="5"/>
      <c r="I574" s="5">
        <v>175</v>
      </c>
      <c r="J574" s="5"/>
      <c r="K574" s="5">
        <f>IF(NOT(ISBLANK(G574)),SQRT((G574^2*1/I574)/(G574^2*1/I574+1)),IF(NOT(ISBLANK(H574)),SQRT((H574*I574/J574)/(H574*I574/J574+1)*SQRT(1/I574))))</f>
        <v>0.25986536812067262</v>
      </c>
      <c r="L574" s="5"/>
      <c r="O574" s="5"/>
    </row>
    <row r="575" spans="1:15" x14ac:dyDescent="0.25">
      <c r="A575" s="2" t="s">
        <v>527</v>
      </c>
      <c r="B575" s="2"/>
      <c r="C575" s="5">
        <v>453</v>
      </c>
      <c r="D575" s="5">
        <v>1</v>
      </c>
      <c r="E575" s="5">
        <v>0</v>
      </c>
      <c r="F575" s="5"/>
      <c r="G575" s="5">
        <v>-0.93</v>
      </c>
      <c r="H575" s="5"/>
      <c r="I575" s="5">
        <v>175</v>
      </c>
      <c r="J575" s="5"/>
      <c r="K575" s="5">
        <f>IF(NOT(ISBLANK(G575)),SQRT((G575^2*1/I575)/(G575^2*1/I575+1)),IF(NOT(ISBLANK(H575)),SQRT((H575*I575/J575)/(H575*I575/J575+1)*SQRT(1/I575))))</f>
        <v>7.012830850448401E-2</v>
      </c>
      <c r="L575" s="5"/>
      <c r="O575" s="5"/>
    </row>
    <row r="576" spans="1:15" x14ac:dyDescent="0.25">
      <c r="A576" s="2" t="s">
        <v>539</v>
      </c>
      <c r="B576" s="2"/>
      <c r="C576" s="5">
        <v>453</v>
      </c>
      <c r="D576" s="5">
        <v>0</v>
      </c>
      <c r="E576" s="5">
        <v>0</v>
      </c>
      <c r="F576" s="5"/>
      <c r="G576" s="5"/>
      <c r="H576" s="5"/>
      <c r="I576" s="5"/>
      <c r="J576" s="5"/>
      <c r="K576" s="5" t="b">
        <f>IF(NOT(ISBLANK(G576)),SQRT((G576^2*1/I576)/(G576^2*1/I576+1)),IF(NOT(ISBLANK(H576)),SQRT((H576*I576/J576)/(H576*I576/J576+1)*SQRT(1/I576))))</f>
        <v>0</v>
      </c>
      <c r="L576" s="5"/>
      <c r="O576" s="5"/>
    </row>
    <row r="577" spans="1:15" x14ac:dyDescent="0.25">
      <c r="A577" s="2" t="s">
        <v>145</v>
      </c>
      <c r="B577" s="2"/>
      <c r="C577" s="5">
        <v>455</v>
      </c>
      <c r="D577" s="5">
        <v>1</v>
      </c>
      <c r="E577" s="5">
        <v>0</v>
      </c>
      <c r="F577" s="5"/>
      <c r="G577" s="5">
        <v>-1.2</v>
      </c>
      <c r="H577" s="5"/>
      <c r="I577" s="5">
        <v>488</v>
      </c>
      <c r="J577" s="5"/>
      <c r="K577" s="5">
        <f t="shared" ref="K577:K584" si="37">IF(NOT(ISBLANK(G577)),SQRT((G577^2*1/I577)/(G577^2*1/I577+1)),IF(NOT(ISBLANK(H577)),SQRT((H577*I577/J577)/(H577*I577/J577+1)*SQRT(1/I577))))</f>
        <v>5.4241478165510955E-2</v>
      </c>
      <c r="L577" s="5"/>
      <c r="M577" s="25">
        <v>0</v>
      </c>
      <c r="N577" s="25">
        <v>0</v>
      </c>
      <c r="O577" s="5"/>
    </row>
    <row r="578" spans="1:15" x14ac:dyDescent="0.25">
      <c r="A578" s="2" t="s">
        <v>259</v>
      </c>
      <c r="B578" s="2"/>
      <c r="C578" s="5">
        <v>455</v>
      </c>
      <c r="D578" s="5">
        <v>2</v>
      </c>
      <c r="E578" s="5">
        <v>0</v>
      </c>
      <c r="F578" s="5">
        <v>0</v>
      </c>
      <c r="G578" s="5"/>
      <c r="H578" s="5"/>
      <c r="I578" s="5"/>
      <c r="J578" s="5"/>
      <c r="K578" s="5" t="b">
        <f t="shared" si="37"/>
        <v>0</v>
      </c>
      <c r="L578" s="5"/>
      <c r="O578" s="5"/>
    </row>
    <row r="579" spans="1:15" x14ac:dyDescent="0.25">
      <c r="A579" s="2" t="s">
        <v>259</v>
      </c>
      <c r="B579" s="2"/>
      <c r="C579" s="5">
        <v>455</v>
      </c>
      <c r="D579" s="5">
        <v>2</v>
      </c>
      <c r="E579" s="5">
        <v>1</v>
      </c>
      <c r="F579" s="5">
        <v>0</v>
      </c>
      <c r="G579" s="5"/>
      <c r="H579" s="5"/>
      <c r="I579" s="5"/>
      <c r="J579" s="5"/>
      <c r="K579" s="5" t="b">
        <f t="shared" si="37"/>
        <v>0</v>
      </c>
      <c r="L579" s="5"/>
      <c r="O579" s="5"/>
    </row>
    <row r="580" spans="1:15" x14ac:dyDescent="0.25">
      <c r="A580" s="2" t="s">
        <v>146</v>
      </c>
      <c r="B580" s="2"/>
      <c r="C580" s="5">
        <v>457</v>
      </c>
      <c r="D580" s="5">
        <v>1</v>
      </c>
      <c r="E580" s="5">
        <v>0</v>
      </c>
      <c r="F580" s="5"/>
      <c r="G580" s="5"/>
      <c r="H580" s="5">
        <v>5.26</v>
      </c>
      <c r="I580" s="5">
        <v>1</v>
      </c>
      <c r="J580" s="5">
        <v>58</v>
      </c>
      <c r="K580" s="5">
        <f t="shared" si="37"/>
        <v>0.28835552580687185</v>
      </c>
      <c r="L580" s="5"/>
      <c r="M580" s="25" t="s">
        <v>676</v>
      </c>
      <c r="N580" s="25" t="s">
        <v>676</v>
      </c>
      <c r="O580" s="5"/>
    </row>
    <row r="581" spans="1:15" x14ac:dyDescent="0.25">
      <c r="A581" s="2" t="s">
        <v>260</v>
      </c>
      <c r="B581" s="2"/>
      <c r="C581" s="5">
        <v>457</v>
      </c>
      <c r="D581" s="5">
        <v>2</v>
      </c>
      <c r="E581" s="5">
        <v>0</v>
      </c>
      <c r="F581" s="5"/>
      <c r="G581" s="5"/>
      <c r="H581" s="5">
        <v>50.72</v>
      </c>
      <c r="I581" s="5">
        <v>2</v>
      </c>
      <c r="J581" s="5">
        <v>116</v>
      </c>
      <c r="K581" s="5">
        <f t="shared" si="37"/>
        <v>0.57435102659053416</v>
      </c>
      <c r="L581" s="5"/>
      <c r="M581" s="25" t="s">
        <v>676</v>
      </c>
      <c r="N581" s="25" t="s">
        <v>676</v>
      </c>
      <c r="O581" s="5" t="s">
        <v>643</v>
      </c>
    </row>
    <row r="582" spans="1:15" x14ac:dyDescent="0.25">
      <c r="A582" s="2" t="s">
        <v>340</v>
      </c>
      <c r="B582" s="2"/>
      <c r="C582" s="5">
        <v>457</v>
      </c>
      <c r="D582" s="5">
        <v>2</v>
      </c>
      <c r="E582" s="5">
        <v>0</v>
      </c>
      <c r="F582" s="5"/>
      <c r="G582" s="5"/>
      <c r="H582" s="5">
        <v>123.81</v>
      </c>
      <c r="I582" s="5">
        <v>2</v>
      </c>
      <c r="J582" s="5">
        <v>116</v>
      </c>
      <c r="K582" s="5">
        <f t="shared" si="37"/>
        <v>0.6939233149371774</v>
      </c>
      <c r="L582" s="5"/>
      <c r="M582" s="25" t="s">
        <v>676</v>
      </c>
      <c r="N582" s="25" t="s">
        <v>676</v>
      </c>
      <c r="O582" s="5" t="s">
        <v>643</v>
      </c>
    </row>
    <row r="583" spans="1:15" x14ac:dyDescent="0.25">
      <c r="A583" s="2" t="s">
        <v>431</v>
      </c>
      <c r="B583" s="2"/>
      <c r="C583" s="5">
        <v>457</v>
      </c>
      <c r="D583" s="5">
        <v>1</v>
      </c>
      <c r="E583" s="5">
        <v>0</v>
      </c>
      <c r="F583" s="5"/>
      <c r="G583" s="5">
        <v>51.55</v>
      </c>
      <c r="H583" s="5"/>
      <c r="I583" s="5">
        <v>58</v>
      </c>
      <c r="J583" s="5"/>
      <c r="K583" s="5">
        <f t="shared" si="37"/>
        <v>0.98926253710126333</v>
      </c>
      <c r="L583" s="5"/>
      <c r="M583" s="25" t="s">
        <v>676</v>
      </c>
      <c r="N583" s="25" t="s">
        <v>676</v>
      </c>
      <c r="O583" t="s">
        <v>634</v>
      </c>
    </row>
    <row r="584" spans="1:15" x14ac:dyDescent="0.25">
      <c r="A584" s="2" t="s">
        <v>461</v>
      </c>
      <c r="B584" s="2"/>
      <c r="C584" s="5">
        <v>457</v>
      </c>
      <c r="D584" s="5">
        <v>1</v>
      </c>
      <c r="E584" s="5">
        <v>0</v>
      </c>
      <c r="F584" s="5"/>
      <c r="G584" s="5">
        <v>51.16</v>
      </c>
      <c r="H584" s="5"/>
      <c r="I584" s="5">
        <v>58</v>
      </c>
      <c r="J584" s="5"/>
      <c r="K584" s="5">
        <f t="shared" si="37"/>
        <v>0.98910088358681536</v>
      </c>
      <c r="L584" s="5"/>
      <c r="M584" s="25" t="s">
        <v>676</v>
      </c>
      <c r="N584" s="25" t="s">
        <v>676</v>
      </c>
      <c r="O584" s="5"/>
    </row>
    <row r="585" spans="1:15" x14ac:dyDescent="0.25">
      <c r="A585" s="2" t="s">
        <v>492</v>
      </c>
      <c r="B585" s="2" t="s">
        <v>660</v>
      </c>
      <c r="C585" s="5">
        <v>457</v>
      </c>
      <c r="D585" s="5">
        <v>1</v>
      </c>
      <c r="E585" s="5">
        <v>0</v>
      </c>
      <c r="F585" s="5"/>
      <c r="G585" s="5"/>
      <c r="H585" s="5"/>
      <c r="I585" s="5"/>
      <c r="J585" s="5"/>
      <c r="K585" s="5">
        <v>-0.28999999999999998</v>
      </c>
      <c r="L585" s="5"/>
      <c r="O585" s="5"/>
    </row>
    <row r="586" spans="1:15" x14ac:dyDescent="0.25">
      <c r="A586" s="2" t="s">
        <v>147</v>
      </c>
      <c r="B586" s="2"/>
      <c r="C586" s="5">
        <v>458</v>
      </c>
      <c r="D586" s="5">
        <v>1</v>
      </c>
      <c r="E586" s="5">
        <v>0</v>
      </c>
      <c r="F586" s="5"/>
      <c r="G586" s="5"/>
      <c r="H586" s="5">
        <v>6.72</v>
      </c>
      <c r="I586" s="5">
        <v>1</v>
      </c>
      <c r="J586" s="5">
        <v>37</v>
      </c>
      <c r="K586" s="5">
        <f t="shared" ref="K586:K591" si="38">IF(NOT(ISBLANK(G586)),SQRT((G586^2*1/I586)/(G586^2*1/I586+1)),IF(NOT(ISBLANK(H586)),SQRT((H586*I586/J586)/(H586*I586/J586+1)*SQRT(1/I586))))</f>
        <v>0.39205279999917259</v>
      </c>
      <c r="L586" s="5"/>
      <c r="M586" s="25">
        <v>0</v>
      </c>
      <c r="N586" s="25">
        <v>0</v>
      </c>
      <c r="O586" s="5"/>
    </row>
    <row r="587" spans="1:15" x14ac:dyDescent="0.25">
      <c r="A587" s="2" t="s">
        <v>261</v>
      </c>
      <c r="B587" s="2"/>
      <c r="C587" s="5">
        <v>458</v>
      </c>
      <c r="D587" s="5">
        <v>1</v>
      </c>
      <c r="E587" s="5">
        <v>0</v>
      </c>
      <c r="F587" s="5"/>
      <c r="G587" s="5"/>
      <c r="H587" s="5">
        <v>3.37</v>
      </c>
      <c r="I587" s="5">
        <v>1</v>
      </c>
      <c r="J587" s="5">
        <v>37</v>
      </c>
      <c r="K587" s="5">
        <f t="shared" si="38"/>
        <v>0.28892530188932142</v>
      </c>
      <c r="L587" s="5"/>
      <c r="M587" s="25">
        <v>0</v>
      </c>
      <c r="N587" s="25">
        <v>0</v>
      </c>
      <c r="O587" s="5"/>
    </row>
    <row r="588" spans="1:15" x14ac:dyDescent="0.25">
      <c r="A588" s="2" t="s">
        <v>148</v>
      </c>
      <c r="B588" s="2"/>
      <c r="C588" s="5">
        <v>459</v>
      </c>
      <c r="D588" s="5">
        <v>1</v>
      </c>
      <c r="E588" s="5">
        <v>0</v>
      </c>
      <c r="F588" s="5"/>
      <c r="G588" s="5"/>
      <c r="H588" s="5">
        <v>59.45</v>
      </c>
      <c r="I588" s="5">
        <v>1</v>
      </c>
      <c r="J588" s="5">
        <v>242</v>
      </c>
      <c r="K588" s="5">
        <f t="shared" si="38"/>
        <v>0.44408723043660603</v>
      </c>
      <c r="L588" s="5"/>
      <c r="M588" s="25">
        <v>0</v>
      </c>
      <c r="N588" s="25">
        <v>0</v>
      </c>
      <c r="O588" s="5"/>
    </row>
    <row r="589" spans="1:15" x14ac:dyDescent="0.25">
      <c r="A589" s="2" t="s">
        <v>262</v>
      </c>
      <c r="B589" s="2"/>
      <c r="C589" s="5">
        <v>459</v>
      </c>
      <c r="D589" s="5">
        <v>1</v>
      </c>
      <c r="E589" s="5">
        <v>0</v>
      </c>
      <c r="F589" s="5">
        <v>0</v>
      </c>
      <c r="G589" s="5"/>
      <c r="H589" s="5"/>
      <c r="I589" s="5"/>
      <c r="J589" s="5"/>
      <c r="K589" s="5" t="b">
        <f t="shared" si="38"/>
        <v>0</v>
      </c>
      <c r="L589" s="5"/>
      <c r="O589" s="5"/>
    </row>
    <row r="590" spans="1:15" x14ac:dyDescent="0.25">
      <c r="A590" s="2" t="s">
        <v>341</v>
      </c>
      <c r="B590" s="2"/>
      <c r="C590" s="5">
        <v>459</v>
      </c>
      <c r="D590" s="5">
        <v>1</v>
      </c>
      <c r="E590" s="5">
        <v>0</v>
      </c>
      <c r="F590" s="5">
        <v>0</v>
      </c>
      <c r="G590" s="5"/>
      <c r="H590" s="5"/>
      <c r="I590" s="5"/>
      <c r="J590" s="5"/>
      <c r="K590" s="5" t="b">
        <f t="shared" si="38"/>
        <v>0</v>
      </c>
      <c r="L590" s="5"/>
      <c r="O590" s="5"/>
    </row>
    <row r="591" spans="1:15" x14ac:dyDescent="0.25">
      <c r="A591" s="2" t="s">
        <v>390</v>
      </c>
      <c r="B591" s="2"/>
      <c r="C591" s="5">
        <v>459</v>
      </c>
      <c r="D591" s="5">
        <v>1</v>
      </c>
      <c r="E591" s="5">
        <v>0</v>
      </c>
      <c r="F591" s="5">
        <v>0</v>
      </c>
      <c r="G591" s="5"/>
      <c r="H591" s="5"/>
      <c r="I591" s="5"/>
      <c r="J591" s="5"/>
      <c r="K591" s="5" t="b">
        <f t="shared" si="38"/>
        <v>0</v>
      </c>
      <c r="L591" s="5"/>
      <c r="O591" s="5"/>
    </row>
    <row r="592" spans="1:15" x14ac:dyDescent="0.25">
      <c r="A592" s="2" t="s">
        <v>149</v>
      </c>
      <c r="B592" s="2"/>
      <c r="C592" s="5">
        <v>462</v>
      </c>
      <c r="D592" s="5">
        <v>2</v>
      </c>
      <c r="E592" s="5">
        <v>0</v>
      </c>
      <c r="F592" s="5"/>
      <c r="G592" s="5"/>
      <c r="H592" s="5">
        <v>10.58</v>
      </c>
      <c r="I592" s="5">
        <v>1</v>
      </c>
      <c r="J592" s="5">
        <v>104</v>
      </c>
      <c r="K592" s="5">
        <f t="shared" ref="K592:K604" si="39">IF(NOT(ISBLANK(G592)),SQRT((G592^2*1/I592)/(G592^2*1/I592+1)),IF(NOT(ISBLANK(H592)),SQRT((H592*I592/J592)/(H592*I592/J592+1)*SQRT(1/I592))))</f>
        <v>0.30387041914039031</v>
      </c>
      <c r="L592" s="5"/>
      <c r="M592" s="25">
        <v>0</v>
      </c>
      <c r="N592" s="25">
        <v>0</v>
      </c>
      <c r="O592" s="5" t="s">
        <v>661</v>
      </c>
    </row>
    <row r="593" spans="1:19" x14ac:dyDescent="0.25">
      <c r="A593" s="2" t="s">
        <v>263</v>
      </c>
      <c r="B593" s="2"/>
      <c r="C593" s="5">
        <v>462</v>
      </c>
      <c r="D593" s="5">
        <v>3</v>
      </c>
      <c r="E593" s="5">
        <v>0</v>
      </c>
      <c r="F593" s="5"/>
      <c r="G593" s="5"/>
      <c r="H593" s="5">
        <v>4.59</v>
      </c>
      <c r="I593" s="5">
        <v>1</v>
      </c>
      <c r="J593" s="5">
        <v>104</v>
      </c>
      <c r="K593" s="5">
        <f t="shared" si="39"/>
        <v>0.20559446867840517</v>
      </c>
      <c r="L593" s="5"/>
      <c r="M593" s="25" t="s">
        <v>676</v>
      </c>
      <c r="N593" s="25" t="s">
        <v>676</v>
      </c>
      <c r="O593" s="5" t="s">
        <v>662</v>
      </c>
      <c r="S593" t="s">
        <v>602</v>
      </c>
    </row>
    <row r="594" spans="1:19" x14ac:dyDescent="0.25">
      <c r="A594" s="2" t="s">
        <v>150</v>
      </c>
      <c r="B594" s="2"/>
      <c r="C594" s="5">
        <v>463</v>
      </c>
      <c r="D594" s="5">
        <v>1</v>
      </c>
      <c r="E594" s="5">
        <v>0</v>
      </c>
      <c r="F594" s="5">
        <v>0</v>
      </c>
      <c r="G594" s="5"/>
      <c r="H594" s="5"/>
      <c r="I594" s="5"/>
      <c r="J594" s="5"/>
      <c r="K594" s="5" t="b">
        <f t="shared" si="39"/>
        <v>0</v>
      </c>
      <c r="L594" s="5"/>
      <c r="O594" s="5"/>
    </row>
    <row r="595" spans="1:19" x14ac:dyDescent="0.25">
      <c r="A595" s="2" t="s">
        <v>264</v>
      </c>
      <c r="B595" s="2"/>
      <c r="C595" s="5">
        <v>463</v>
      </c>
      <c r="D595" s="5">
        <v>1</v>
      </c>
      <c r="E595" s="5">
        <v>1</v>
      </c>
      <c r="F595" s="5">
        <v>0</v>
      </c>
      <c r="G595" s="5"/>
      <c r="H595" s="5"/>
      <c r="I595" s="5"/>
      <c r="J595" s="5"/>
      <c r="K595" s="5" t="b">
        <f t="shared" si="39"/>
        <v>0</v>
      </c>
      <c r="L595" s="5"/>
      <c r="O595" s="5"/>
    </row>
    <row r="596" spans="1:19" x14ac:dyDescent="0.25">
      <c r="A596" s="2" t="s">
        <v>342</v>
      </c>
      <c r="B596" s="2"/>
      <c r="C596" s="5">
        <v>463</v>
      </c>
      <c r="D596" s="5">
        <v>1</v>
      </c>
      <c r="E596" s="5">
        <v>0</v>
      </c>
      <c r="F596" s="5">
        <v>0</v>
      </c>
      <c r="G596" s="5"/>
      <c r="H596" s="5"/>
      <c r="I596" s="5"/>
      <c r="J596" s="5"/>
      <c r="K596" s="5" t="b">
        <f t="shared" si="39"/>
        <v>0</v>
      </c>
      <c r="L596" s="5"/>
      <c r="O596" s="5"/>
    </row>
    <row r="597" spans="1:19" x14ac:dyDescent="0.25">
      <c r="A597" s="2" t="s">
        <v>391</v>
      </c>
      <c r="B597" s="2"/>
      <c r="C597" s="5">
        <v>463</v>
      </c>
      <c r="D597" s="5">
        <v>0</v>
      </c>
      <c r="E597" s="5">
        <v>0</v>
      </c>
      <c r="F597" s="5"/>
      <c r="G597" s="5"/>
      <c r="H597" s="5"/>
      <c r="I597" s="5"/>
      <c r="J597" s="5"/>
      <c r="K597" s="5" t="b">
        <f t="shared" si="39"/>
        <v>0</v>
      </c>
      <c r="L597" s="5"/>
      <c r="O597" s="5"/>
    </row>
    <row r="598" spans="1:19" x14ac:dyDescent="0.25">
      <c r="A598" s="2" t="s">
        <v>493</v>
      </c>
      <c r="B598" s="2"/>
      <c r="C598" s="5">
        <v>463</v>
      </c>
      <c r="D598" s="5">
        <v>0</v>
      </c>
      <c r="E598" s="5">
        <v>0</v>
      </c>
      <c r="F598" s="5"/>
      <c r="G598" s="5"/>
      <c r="H598" s="5"/>
      <c r="I598" s="5"/>
      <c r="J598" s="5"/>
      <c r="K598" s="5" t="b">
        <f t="shared" si="39"/>
        <v>0</v>
      </c>
      <c r="L598" s="5"/>
      <c r="O598" s="5"/>
    </row>
    <row r="599" spans="1:19" x14ac:dyDescent="0.25">
      <c r="A599" s="2" t="s">
        <v>265</v>
      </c>
      <c r="B599" s="2"/>
      <c r="C599" s="5">
        <v>464</v>
      </c>
      <c r="D599" s="5">
        <v>0</v>
      </c>
      <c r="E599" s="5">
        <v>0</v>
      </c>
      <c r="F599" s="5"/>
      <c r="G599" s="5"/>
      <c r="H599" s="5"/>
      <c r="I599" s="5"/>
      <c r="J599" s="5"/>
      <c r="K599" s="5" t="b">
        <f t="shared" si="39"/>
        <v>0</v>
      </c>
      <c r="L599" s="5"/>
      <c r="O599" s="5" t="s">
        <v>663</v>
      </c>
    </row>
    <row r="600" spans="1:19" x14ac:dyDescent="0.25">
      <c r="A600" s="2" t="s">
        <v>151</v>
      </c>
      <c r="B600" s="2"/>
      <c r="C600" s="5">
        <v>465</v>
      </c>
      <c r="D600" s="5">
        <v>1</v>
      </c>
      <c r="E600" s="5">
        <v>0</v>
      </c>
      <c r="F600" s="5"/>
      <c r="G600" s="5"/>
      <c r="H600" s="5">
        <v>25.55</v>
      </c>
      <c r="I600" s="5">
        <v>1</v>
      </c>
      <c r="J600" s="5">
        <v>119</v>
      </c>
      <c r="K600" s="5">
        <f t="shared" si="39"/>
        <v>0.42042293936212449</v>
      </c>
      <c r="L600" s="5"/>
      <c r="M600" s="25">
        <v>0</v>
      </c>
      <c r="N600" s="25">
        <v>0</v>
      </c>
      <c r="O600" s="5" t="s">
        <v>633</v>
      </c>
    </row>
    <row r="601" spans="1:19" x14ac:dyDescent="0.25">
      <c r="A601" s="2" t="s">
        <v>266</v>
      </c>
      <c r="B601" s="2"/>
      <c r="C601" s="5">
        <v>465</v>
      </c>
      <c r="D601" s="5">
        <v>1</v>
      </c>
      <c r="E601" s="5">
        <v>1</v>
      </c>
      <c r="F601" s="5"/>
      <c r="G601" s="5"/>
      <c r="H601" s="5">
        <v>25.55</v>
      </c>
      <c r="I601" s="5">
        <v>1</v>
      </c>
      <c r="J601" s="5">
        <v>119</v>
      </c>
      <c r="K601" s="5">
        <f t="shared" si="39"/>
        <v>0.42042293936212449</v>
      </c>
      <c r="L601" s="5"/>
      <c r="M601" s="25">
        <v>0</v>
      </c>
      <c r="N601" s="25">
        <v>0</v>
      </c>
      <c r="O601" s="5"/>
    </row>
    <row r="602" spans="1:19" x14ac:dyDescent="0.25">
      <c r="A602" s="2" t="s">
        <v>392</v>
      </c>
      <c r="B602" s="2"/>
      <c r="C602" s="5">
        <v>465</v>
      </c>
      <c r="D602" s="5">
        <v>2</v>
      </c>
      <c r="E602" s="5">
        <v>0</v>
      </c>
      <c r="F602" s="5"/>
      <c r="G602" s="5"/>
      <c r="H602" s="5">
        <v>1.88</v>
      </c>
      <c r="I602" s="5">
        <v>1</v>
      </c>
      <c r="J602" s="5">
        <v>119</v>
      </c>
      <c r="K602" s="5">
        <f t="shared" si="39"/>
        <v>0.12471012053079768</v>
      </c>
      <c r="L602" s="5"/>
      <c r="M602" s="25">
        <v>0</v>
      </c>
      <c r="N602" s="25">
        <v>0</v>
      </c>
      <c r="O602" s="5" t="s">
        <v>633</v>
      </c>
    </row>
    <row r="603" spans="1:19" x14ac:dyDescent="0.25">
      <c r="A603" s="2" t="s">
        <v>540</v>
      </c>
      <c r="B603" s="2"/>
      <c r="C603" s="5">
        <v>465</v>
      </c>
      <c r="D603" s="5">
        <v>1</v>
      </c>
      <c r="E603" s="5">
        <v>1</v>
      </c>
      <c r="F603" s="5"/>
      <c r="G603" s="5"/>
      <c r="H603" s="5">
        <v>1.88</v>
      </c>
      <c r="I603" s="5">
        <v>1</v>
      </c>
      <c r="J603" s="5">
        <v>119</v>
      </c>
      <c r="K603" s="5">
        <f t="shared" si="39"/>
        <v>0.12471012053079768</v>
      </c>
      <c r="L603" s="5"/>
      <c r="M603" s="25">
        <v>0</v>
      </c>
      <c r="N603" s="25">
        <v>0</v>
      </c>
      <c r="O603" s="5"/>
    </row>
    <row r="604" spans="1:19" x14ac:dyDescent="0.25">
      <c r="A604" s="2" t="s">
        <v>566</v>
      </c>
      <c r="B604" s="2"/>
      <c r="C604" s="5">
        <v>465</v>
      </c>
      <c r="D604" s="5">
        <v>1</v>
      </c>
      <c r="E604" s="5">
        <v>0</v>
      </c>
      <c r="F604" s="5"/>
      <c r="G604" s="5"/>
      <c r="H604" s="5">
        <v>3.12</v>
      </c>
      <c r="I604" s="5">
        <v>1</v>
      </c>
      <c r="J604" s="5">
        <v>119</v>
      </c>
      <c r="K604" s="5">
        <f t="shared" si="39"/>
        <v>0.1598394215495573</v>
      </c>
      <c r="L604" s="5"/>
      <c r="M604" s="25">
        <v>0</v>
      </c>
      <c r="N604" s="25">
        <v>0</v>
      </c>
      <c r="O604" s="5"/>
    </row>
    <row r="605" spans="1:19" x14ac:dyDescent="0.25">
      <c r="A605" s="2" t="s">
        <v>152</v>
      </c>
      <c r="B605" s="2"/>
      <c r="C605" s="5">
        <v>470</v>
      </c>
      <c r="D605" s="5">
        <v>1</v>
      </c>
      <c r="E605" s="5">
        <v>0</v>
      </c>
      <c r="F605" s="5"/>
      <c r="G605" s="5">
        <v>-1.01</v>
      </c>
      <c r="H605" s="5"/>
      <c r="I605" s="5">
        <v>356</v>
      </c>
      <c r="J605" s="5"/>
      <c r="K605" s="5">
        <f t="shared" ref="K605:K628" si="40">IF(NOT(ISBLANK(G605)),SQRT((G605^2*1/I605)/(G605^2*1/I605+1)),IF(NOT(ISBLANK(H605)),SQRT((H605*I605/J605)/(H605*I605/J605+1)*SQRT(1/I605))))</f>
        <v>5.3453363768133137E-2</v>
      </c>
      <c r="L605" s="5"/>
      <c r="M605" s="25">
        <v>0</v>
      </c>
      <c r="N605" s="25">
        <v>0</v>
      </c>
      <c r="O605" s="5"/>
    </row>
    <row r="606" spans="1:19" x14ac:dyDescent="0.25">
      <c r="A606" s="2" t="s">
        <v>153</v>
      </c>
      <c r="B606" s="2"/>
      <c r="C606" s="5">
        <v>470</v>
      </c>
      <c r="D606" s="5">
        <v>1</v>
      </c>
      <c r="E606" s="5">
        <v>1</v>
      </c>
      <c r="F606" s="5"/>
      <c r="G606" s="5">
        <v>-1.01</v>
      </c>
      <c r="H606" s="5"/>
      <c r="I606" s="5">
        <v>356</v>
      </c>
      <c r="J606" s="5"/>
      <c r="K606" s="5">
        <f t="shared" si="40"/>
        <v>5.3453363768133137E-2</v>
      </c>
      <c r="L606" s="5"/>
      <c r="M606" s="25">
        <v>0</v>
      </c>
      <c r="N606" s="25">
        <v>0</v>
      </c>
      <c r="O606" s="5" t="s">
        <v>664</v>
      </c>
    </row>
    <row r="607" spans="1:19" x14ac:dyDescent="0.25">
      <c r="A607" s="2" t="s">
        <v>154</v>
      </c>
      <c r="B607" s="2"/>
      <c r="C607" s="5">
        <v>471</v>
      </c>
      <c r="D607" s="5">
        <v>1</v>
      </c>
      <c r="E607" s="5">
        <v>0</v>
      </c>
      <c r="F607" s="5"/>
      <c r="G607" s="5">
        <v>-0.14000000000000001</v>
      </c>
      <c r="H607" s="5"/>
      <c r="I607" s="5">
        <v>60</v>
      </c>
      <c r="J607" s="5"/>
      <c r="K607" s="5">
        <f t="shared" si="40"/>
        <v>1.8070970931389797E-2</v>
      </c>
      <c r="L607" s="5"/>
      <c r="M607" s="25">
        <v>0</v>
      </c>
      <c r="N607" s="25">
        <v>0</v>
      </c>
      <c r="O607" s="5"/>
    </row>
    <row r="608" spans="1:19" x14ac:dyDescent="0.25">
      <c r="A608" s="2" t="s">
        <v>154</v>
      </c>
      <c r="B608" s="2"/>
      <c r="C608" s="5">
        <v>471</v>
      </c>
      <c r="D608" s="5">
        <v>1</v>
      </c>
      <c r="E608" s="5">
        <v>1</v>
      </c>
      <c r="F608" s="5"/>
      <c r="G608" s="5">
        <v>-0.14000000000000001</v>
      </c>
      <c r="H608" s="5"/>
      <c r="I608" s="5">
        <v>60</v>
      </c>
      <c r="J608" s="5"/>
      <c r="K608" s="5">
        <f t="shared" si="40"/>
        <v>1.8070970931389797E-2</v>
      </c>
      <c r="L608" s="5"/>
      <c r="M608" s="25">
        <v>0</v>
      </c>
      <c r="N608" s="25">
        <v>0</v>
      </c>
      <c r="O608" s="5" t="s">
        <v>664</v>
      </c>
    </row>
    <row r="609" spans="1:15" x14ac:dyDescent="0.25">
      <c r="A609" s="2" t="s">
        <v>343</v>
      </c>
      <c r="B609" s="2"/>
      <c r="C609" s="5">
        <v>471</v>
      </c>
      <c r="D609" s="5">
        <v>1</v>
      </c>
      <c r="E609" s="5">
        <v>0</v>
      </c>
      <c r="F609" s="5"/>
      <c r="G609" s="5">
        <v>7.18</v>
      </c>
      <c r="H609" s="5"/>
      <c r="I609" s="5">
        <v>30</v>
      </c>
      <c r="J609" s="5"/>
      <c r="K609" s="5">
        <f t="shared" si="40"/>
        <v>0.79507128939297889</v>
      </c>
      <c r="L609" s="5"/>
      <c r="M609" s="25">
        <v>0</v>
      </c>
      <c r="N609" s="25">
        <v>0</v>
      </c>
      <c r="O609" s="5"/>
    </row>
    <row r="610" spans="1:15" x14ac:dyDescent="0.25">
      <c r="A610" s="2" t="s">
        <v>393</v>
      </c>
      <c r="B610" s="2"/>
      <c r="C610" s="5">
        <v>471</v>
      </c>
      <c r="D610" s="5">
        <v>1</v>
      </c>
      <c r="E610" s="5">
        <v>0</v>
      </c>
      <c r="F610" s="5"/>
      <c r="G610" s="5">
        <v>-5.57</v>
      </c>
      <c r="H610" s="5"/>
      <c r="I610" s="5">
        <v>30</v>
      </c>
      <c r="J610" s="5"/>
      <c r="K610" s="5">
        <f t="shared" si="40"/>
        <v>0.71301990987930797</v>
      </c>
      <c r="L610" s="5">
        <v>0</v>
      </c>
      <c r="M610" s="25">
        <v>1</v>
      </c>
      <c r="N610" s="25">
        <v>1</v>
      </c>
      <c r="O610" s="5"/>
    </row>
    <row r="611" spans="1:15" x14ac:dyDescent="0.25">
      <c r="A611" s="2" t="s">
        <v>432</v>
      </c>
      <c r="B611" s="2"/>
      <c r="C611" s="5">
        <v>471</v>
      </c>
      <c r="D611" s="5">
        <v>1</v>
      </c>
      <c r="E611" s="5">
        <v>0</v>
      </c>
      <c r="F611" s="5"/>
      <c r="G611" s="5">
        <v>0.99</v>
      </c>
      <c r="H611" s="5"/>
      <c r="I611" s="5">
        <v>30</v>
      </c>
      <c r="J611" s="5"/>
      <c r="K611" s="5">
        <f t="shared" si="40"/>
        <v>0.17786634753130393</v>
      </c>
      <c r="L611" s="5"/>
      <c r="M611" s="25" t="s">
        <v>676</v>
      </c>
      <c r="N611" s="25" t="s">
        <v>676</v>
      </c>
      <c r="O611" s="5" t="s">
        <v>646</v>
      </c>
    </row>
    <row r="612" spans="1:15" x14ac:dyDescent="0.25">
      <c r="A612" s="2" t="s">
        <v>462</v>
      </c>
      <c r="B612" s="2"/>
      <c r="C612" s="5">
        <v>471</v>
      </c>
      <c r="D612" s="5">
        <v>1</v>
      </c>
      <c r="E612" s="5">
        <v>1</v>
      </c>
      <c r="F612" s="5"/>
      <c r="G612" s="5">
        <v>0.99</v>
      </c>
      <c r="H612" s="5"/>
      <c r="I612" s="5">
        <v>30</v>
      </c>
      <c r="J612" s="5"/>
      <c r="K612" s="5">
        <f t="shared" si="40"/>
        <v>0.17786634753130393</v>
      </c>
      <c r="L612" s="5"/>
      <c r="M612" s="25" t="s">
        <v>676</v>
      </c>
      <c r="N612" s="25" t="s">
        <v>676</v>
      </c>
      <c r="O612" s="5" t="s">
        <v>664</v>
      </c>
    </row>
    <row r="613" spans="1:15" x14ac:dyDescent="0.25">
      <c r="A613" s="2" t="s">
        <v>495</v>
      </c>
      <c r="B613" s="2"/>
      <c r="C613" s="5">
        <v>471</v>
      </c>
      <c r="D613" s="5">
        <v>1</v>
      </c>
      <c r="E613" s="5">
        <v>0</v>
      </c>
      <c r="F613" s="5"/>
      <c r="G613" s="5"/>
      <c r="H613" s="5">
        <v>25.67</v>
      </c>
      <c r="I613" s="5">
        <v>2</v>
      </c>
      <c r="J613" s="5">
        <v>120</v>
      </c>
      <c r="K613" s="5">
        <f t="shared" si="40"/>
        <v>0.46030008169060049</v>
      </c>
      <c r="L613" s="5"/>
      <c r="M613" s="25">
        <v>0</v>
      </c>
      <c r="N613" s="25">
        <v>0</v>
      </c>
      <c r="O613" s="5"/>
    </row>
    <row r="614" spans="1:15" x14ac:dyDescent="0.25">
      <c r="A614" s="2" t="s">
        <v>512</v>
      </c>
      <c r="B614" s="2"/>
      <c r="C614" s="5">
        <v>471</v>
      </c>
      <c r="D614" s="5">
        <v>1</v>
      </c>
      <c r="E614" s="5">
        <v>1</v>
      </c>
      <c r="F614" s="5"/>
      <c r="G614" s="5"/>
      <c r="H614" s="5">
        <v>25.67</v>
      </c>
      <c r="I614" s="5">
        <v>2</v>
      </c>
      <c r="J614" s="5">
        <v>120</v>
      </c>
      <c r="K614" s="5">
        <f t="shared" si="40"/>
        <v>0.46030008169060049</v>
      </c>
      <c r="L614" s="5"/>
      <c r="M614" s="25">
        <v>0</v>
      </c>
      <c r="N614" s="25">
        <v>0</v>
      </c>
      <c r="O614" s="5" t="s">
        <v>664</v>
      </c>
    </row>
    <row r="615" spans="1:15" x14ac:dyDescent="0.25">
      <c r="A615" s="2" t="s">
        <v>528</v>
      </c>
      <c r="B615" s="2"/>
      <c r="C615" s="5">
        <v>471</v>
      </c>
      <c r="D615" s="5">
        <v>1</v>
      </c>
      <c r="E615" s="5">
        <v>1</v>
      </c>
      <c r="F615" s="5"/>
      <c r="G615" s="5"/>
      <c r="H615" s="5">
        <v>25.67</v>
      </c>
      <c r="I615" s="5">
        <v>2</v>
      </c>
      <c r="J615" s="5">
        <v>120</v>
      </c>
      <c r="K615" s="5">
        <f t="shared" si="40"/>
        <v>0.46030008169060049</v>
      </c>
      <c r="L615" s="5"/>
      <c r="M615" s="25">
        <v>0</v>
      </c>
      <c r="N615" s="25">
        <v>0</v>
      </c>
      <c r="O615" s="5"/>
    </row>
    <row r="616" spans="1:15" x14ac:dyDescent="0.25">
      <c r="A616" s="2" t="s">
        <v>494</v>
      </c>
      <c r="B616" s="2"/>
      <c r="C616" s="5">
        <v>471</v>
      </c>
      <c r="D616" s="5">
        <v>1</v>
      </c>
      <c r="E616" s="5">
        <v>1</v>
      </c>
      <c r="F616" s="5"/>
      <c r="G616" s="5"/>
      <c r="H616" s="5">
        <v>25.67</v>
      </c>
      <c r="I616" s="5">
        <v>2</v>
      </c>
      <c r="J616" s="5">
        <v>120</v>
      </c>
      <c r="K616" s="5">
        <f t="shared" si="40"/>
        <v>0.46030008169060049</v>
      </c>
      <c r="L616" s="5"/>
      <c r="M616" s="25">
        <v>0</v>
      </c>
      <c r="N616" s="25">
        <v>0</v>
      </c>
      <c r="O616" s="5"/>
    </row>
    <row r="617" spans="1:15" x14ac:dyDescent="0.25">
      <c r="A617" s="2" t="s">
        <v>155</v>
      </c>
      <c r="B617" s="2"/>
      <c r="C617" s="5">
        <v>475</v>
      </c>
      <c r="D617" s="5">
        <v>1</v>
      </c>
      <c r="E617" s="5">
        <v>0</v>
      </c>
      <c r="F617" s="5">
        <v>0</v>
      </c>
      <c r="G617" s="5"/>
      <c r="H617" s="5"/>
      <c r="I617" s="5"/>
      <c r="J617" s="5"/>
      <c r="K617" s="5" t="b">
        <f t="shared" si="40"/>
        <v>0</v>
      </c>
      <c r="L617" s="5"/>
      <c r="O617" s="5" t="s">
        <v>665</v>
      </c>
    </row>
    <row r="618" spans="1:15" x14ac:dyDescent="0.25">
      <c r="A618" s="2" t="s">
        <v>267</v>
      </c>
      <c r="B618" s="2"/>
      <c r="C618" s="5">
        <v>475</v>
      </c>
      <c r="D618" s="5">
        <v>1</v>
      </c>
      <c r="E618" s="5">
        <v>0</v>
      </c>
      <c r="F618" s="5">
        <v>0</v>
      </c>
      <c r="G618" s="5"/>
      <c r="H618" s="5"/>
      <c r="I618" s="5"/>
      <c r="J618" s="5"/>
      <c r="K618" s="5" t="b">
        <f t="shared" si="40"/>
        <v>0</v>
      </c>
      <c r="L618" s="5"/>
      <c r="O618" s="5" t="s">
        <v>666</v>
      </c>
    </row>
    <row r="619" spans="1:15" x14ac:dyDescent="0.25">
      <c r="A619" s="2" t="s">
        <v>344</v>
      </c>
      <c r="B619" s="2"/>
      <c r="C619" s="5">
        <v>475</v>
      </c>
      <c r="D619" s="5">
        <v>1</v>
      </c>
      <c r="E619" s="5">
        <v>0</v>
      </c>
      <c r="F619" s="5">
        <v>0</v>
      </c>
      <c r="G619" s="5"/>
      <c r="H619" s="5"/>
      <c r="I619" s="5"/>
      <c r="J619" s="5"/>
      <c r="K619" s="5" t="b">
        <f t="shared" si="40"/>
        <v>0</v>
      </c>
      <c r="L619" s="5"/>
      <c r="O619" s="5"/>
    </row>
    <row r="620" spans="1:15" x14ac:dyDescent="0.25">
      <c r="A620" s="2" t="s">
        <v>433</v>
      </c>
      <c r="B620" s="2"/>
      <c r="C620" s="5">
        <v>475</v>
      </c>
      <c r="D620" s="5">
        <v>1</v>
      </c>
      <c r="E620" s="5">
        <v>0</v>
      </c>
      <c r="F620" s="5">
        <v>0</v>
      </c>
      <c r="G620" s="5"/>
      <c r="H620" s="5"/>
      <c r="I620" s="5"/>
      <c r="J620" s="5"/>
      <c r="K620" s="5" t="b">
        <f t="shared" si="40"/>
        <v>0</v>
      </c>
      <c r="L620" s="5"/>
      <c r="O620" s="5"/>
    </row>
    <row r="621" spans="1:15" x14ac:dyDescent="0.25">
      <c r="A621" s="2" t="s">
        <v>463</v>
      </c>
      <c r="B621" s="2"/>
      <c r="C621" s="5">
        <v>475</v>
      </c>
      <c r="D621" s="5">
        <v>2</v>
      </c>
      <c r="E621" s="5">
        <v>0</v>
      </c>
      <c r="F621" s="5">
        <v>0</v>
      </c>
      <c r="G621" s="5"/>
      <c r="H621" s="5"/>
      <c r="I621" s="5"/>
      <c r="J621" s="5"/>
      <c r="K621" s="5" t="b">
        <f t="shared" si="40"/>
        <v>0</v>
      </c>
      <c r="L621" s="5"/>
      <c r="M621" s="25" t="s">
        <v>676</v>
      </c>
      <c r="N621" s="25" t="s">
        <v>676</v>
      </c>
      <c r="O621" s="5"/>
    </row>
    <row r="622" spans="1:15" x14ac:dyDescent="0.25">
      <c r="A622" s="2" t="s">
        <v>496</v>
      </c>
      <c r="B622" s="2"/>
      <c r="C622" s="5">
        <v>475</v>
      </c>
      <c r="D622" s="5">
        <v>1</v>
      </c>
      <c r="E622" s="5">
        <v>0</v>
      </c>
      <c r="F622" s="5"/>
      <c r="G622" s="5"/>
      <c r="H622" s="5"/>
      <c r="I622" s="5"/>
      <c r="J622" s="5"/>
      <c r="K622" s="5" t="b">
        <f t="shared" si="40"/>
        <v>0</v>
      </c>
      <c r="L622" s="5"/>
      <c r="M622" s="25" t="s">
        <v>676</v>
      </c>
      <c r="N622" s="25" t="s">
        <v>676</v>
      </c>
      <c r="O622" s="5"/>
    </row>
    <row r="623" spans="1:15" x14ac:dyDescent="0.25">
      <c r="A623" s="2" t="s">
        <v>541</v>
      </c>
      <c r="B623" s="2"/>
      <c r="C623" s="5">
        <v>475</v>
      </c>
      <c r="D623" s="5">
        <v>1</v>
      </c>
      <c r="E623" s="5">
        <v>0</v>
      </c>
      <c r="F623" s="5">
        <v>0</v>
      </c>
      <c r="G623" s="5"/>
      <c r="H623" s="5"/>
      <c r="I623" s="5"/>
      <c r="J623" s="5"/>
      <c r="K623" s="5" t="b">
        <f t="shared" si="40"/>
        <v>0</v>
      </c>
      <c r="L623" s="5"/>
      <c r="M623" s="25" t="s">
        <v>676</v>
      </c>
      <c r="N623" s="25" t="s">
        <v>676</v>
      </c>
      <c r="O623" s="5"/>
    </row>
    <row r="624" spans="1:15" x14ac:dyDescent="0.25">
      <c r="A624" s="2" t="s">
        <v>552</v>
      </c>
      <c r="B624" s="2"/>
      <c r="C624" s="5">
        <v>475</v>
      </c>
      <c r="D624" s="5">
        <v>1</v>
      </c>
      <c r="E624" s="5">
        <v>1</v>
      </c>
      <c r="F624" s="5">
        <v>0</v>
      </c>
      <c r="G624" s="5"/>
      <c r="H624" s="5"/>
      <c r="I624" s="5"/>
      <c r="J624" s="5"/>
      <c r="K624" s="5" t="b">
        <f t="shared" si="40"/>
        <v>0</v>
      </c>
      <c r="L624" s="5"/>
      <c r="O624" s="5"/>
    </row>
    <row r="625" spans="1:15" x14ac:dyDescent="0.25">
      <c r="A625" s="2" t="s">
        <v>562</v>
      </c>
      <c r="B625" s="2"/>
      <c r="C625" s="5">
        <v>475</v>
      </c>
      <c r="D625" s="5">
        <v>1</v>
      </c>
      <c r="E625" s="5">
        <v>0</v>
      </c>
      <c r="F625" s="5">
        <v>0</v>
      </c>
      <c r="G625" s="5"/>
      <c r="H625" s="5"/>
      <c r="I625" s="5"/>
      <c r="J625" s="5"/>
      <c r="K625" s="5" t="b">
        <f t="shared" si="40"/>
        <v>0</v>
      </c>
      <c r="L625" s="5"/>
      <c r="M625" s="25" t="s">
        <v>676</v>
      </c>
      <c r="N625" s="25" t="s">
        <v>676</v>
      </c>
      <c r="O625" s="5"/>
    </row>
    <row r="626" spans="1:15" x14ac:dyDescent="0.25">
      <c r="A626" s="2" t="s">
        <v>570</v>
      </c>
      <c r="B626" s="2"/>
      <c r="C626" s="5">
        <v>475</v>
      </c>
      <c r="D626" s="5">
        <v>1</v>
      </c>
      <c r="E626" s="5">
        <v>1</v>
      </c>
      <c r="F626" s="5">
        <v>0</v>
      </c>
      <c r="G626" s="5"/>
      <c r="H626" s="5"/>
      <c r="I626" s="5"/>
      <c r="J626" s="5"/>
      <c r="K626" s="5" t="b">
        <f t="shared" si="40"/>
        <v>0</v>
      </c>
      <c r="L626" s="5"/>
      <c r="O626" s="5"/>
    </row>
    <row r="627" spans="1:15" x14ac:dyDescent="0.25">
      <c r="A627" s="2" t="s">
        <v>345</v>
      </c>
      <c r="B627" s="2"/>
      <c r="C627" s="5">
        <v>476</v>
      </c>
      <c r="D627" s="5">
        <v>1</v>
      </c>
      <c r="E627" s="5">
        <v>0</v>
      </c>
      <c r="F627" s="5"/>
      <c r="G627" s="5">
        <v>2.02</v>
      </c>
      <c r="H627" s="5"/>
      <c r="I627" s="5">
        <v>1110</v>
      </c>
      <c r="J627" s="5"/>
      <c r="K627" s="5">
        <f t="shared" si="40"/>
        <v>6.0519189422195557E-2</v>
      </c>
      <c r="L627" s="5"/>
      <c r="M627" s="25" t="s">
        <v>676</v>
      </c>
      <c r="N627" s="25" t="s">
        <v>676</v>
      </c>
      <c r="O627" s="5" t="s">
        <v>667</v>
      </c>
    </row>
    <row r="628" spans="1:15" x14ac:dyDescent="0.25">
      <c r="A628" s="2" t="s">
        <v>394</v>
      </c>
      <c r="B628" s="2"/>
      <c r="C628" s="5">
        <v>476</v>
      </c>
      <c r="D628" s="5">
        <v>1</v>
      </c>
      <c r="E628" s="5">
        <v>0</v>
      </c>
      <c r="F628" s="5"/>
      <c r="G628" s="5">
        <v>1.45</v>
      </c>
      <c r="H628" s="5"/>
      <c r="I628" s="5">
        <v>1107</v>
      </c>
      <c r="J628" s="5"/>
      <c r="K628" s="5">
        <f t="shared" si="40"/>
        <v>4.3539371951532936E-2</v>
      </c>
      <c r="L628" s="5"/>
      <c r="M628" s="25" t="s">
        <v>676</v>
      </c>
      <c r="N628" s="25" t="s">
        <v>676</v>
      </c>
      <c r="O628" s="5" t="s">
        <v>667</v>
      </c>
    </row>
    <row r="629" spans="1:15" x14ac:dyDescent="0.25">
      <c r="A629" s="2" t="s">
        <v>156</v>
      </c>
      <c r="B629" s="2"/>
      <c r="C629" s="5">
        <v>478</v>
      </c>
      <c r="D629" s="5">
        <v>2</v>
      </c>
      <c r="E629" s="5">
        <v>0</v>
      </c>
      <c r="F629" s="5">
        <v>0</v>
      </c>
      <c r="G629" s="5"/>
      <c r="H629" s="5"/>
      <c r="I629" s="5"/>
      <c r="J629" s="5"/>
      <c r="K629" s="5" t="b">
        <f t="shared" ref="K629:K641" si="41">IF(NOT(ISBLANK(G629)),SQRT((G629^2*1/I629)/(G629^2*1/I629+1)),IF(NOT(ISBLANK(H629)),SQRT((H629*I629/J629)/(H629*I629/J629+1)*SQRT(1/I629))))</f>
        <v>0</v>
      </c>
      <c r="L629" s="5"/>
      <c r="O629" s="5"/>
    </row>
    <row r="630" spans="1:15" x14ac:dyDescent="0.25">
      <c r="A630" s="2" t="s">
        <v>434</v>
      </c>
      <c r="B630" s="2"/>
      <c r="C630" s="5">
        <v>478</v>
      </c>
      <c r="D630" s="5">
        <v>1</v>
      </c>
      <c r="E630" s="5">
        <v>0</v>
      </c>
      <c r="F630" s="5">
        <v>0</v>
      </c>
      <c r="G630" s="5"/>
      <c r="H630" s="5"/>
      <c r="I630" s="5"/>
      <c r="J630" s="5"/>
      <c r="K630" s="5" t="b">
        <f t="shared" si="41"/>
        <v>0</v>
      </c>
      <c r="L630" s="5"/>
      <c r="O630" s="5"/>
    </row>
    <row r="631" spans="1:15" x14ac:dyDescent="0.25">
      <c r="A631" s="2" t="s">
        <v>464</v>
      </c>
      <c r="B631" s="2"/>
      <c r="C631" s="5">
        <v>478</v>
      </c>
      <c r="D631" s="5">
        <v>1</v>
      </c>
      <c r="E631" s="5">
        <v>0</v>
      </c>
      <c r="F631" s="5">
        <v>0</v>
      </c>
      <c r="G631" s="5"/>
      <c r="H631" s="5"/>
      <c r="I631" s="5"/>
      <c r="J631" s="5"/>
      <c r="K631" s="5" t="b">
        <f t="shared" si="41"/>
        <v>0</v>
      </c>
      <c r="L631" s="5"/>
      <c r="O631" s="5"/>
    </row>
    <row r="632" spans="1:15" x14ac:dyDescent="0.25">
      <c r="A632" s="2" t="s">
        <v>513</v>
      </c>
      <c r="B632" s="2"/>
      <c r="C632" s="5">
        <v>478</v>
      </c>
      <c r="D632" s="5">
        <v>1</v>
      </c>
      <c r="E632" s="5">
        <v>0</v>
      </c>
      <c r="F632" s="5">
        <v>0</v>
      </c>
      <c r="G632" s="5"/>
      <c r="H632" s="5"/>
      <c r="I632" s="5"/>
      <c r="J632" s="5"/>
      <c r="K632" s="5" t="b">
        <f t="shared" si="41"/>
        <v>0</v>
      </c>
      <c r="L632" s="5"/>
      <c r="O632" s="5"/>
    </row>
    <row r="633" spans="1:15" x14ac:dyDescent="0.25">
      <c r="A633" s="2" t="s">
        <v>157</v>
      </c>
      <c r="B633" s="2"/>
      <c r="C633" s="5">
        <v>479</v>
      </c>
      <c r="D633" s="5">
        <v>1</v>
      </c>
      <c r="E633" s="5">
        <v>0</v>
      </c>
      <c r="F633" s="5"/>
      <c r="G633" s="5">
        <v>6.65</v>
      </c>
      <c r="H633" s="5"/>
      <c r="I633" s="5">
        <v>162</v>
      </c>
      <c r="J633" s="5"/>
      <c r="K633" s="5">
        <f t="shared" si="41"/>
        <v>0.46307743770046589</v>
      </c>
      <c r="L633" s="5"/>
      <c r="M633" s="25" t="s">
        <v>676</v>
      </c>
      <c r="N633" s="25" t="s">
        <v>676</v>
      </c>
      <c r="O633" s="5" t="s">
        <v>667</v>
      </c>
    </row>
    <row r="634" spans="1:15" x14ac:dyDescent="0.25">
      <c r="A634" s="2" t="s">
        <v>268</v>
      </c>
      <c r="B634" s="2"/>
      <c r="C634" s="5">
        <v>479</v>
      </c>
      <c r="D634" s="5">
        <v>1</v>
      </c>
      <c r="E634" s="5">
        <v>0</v>
      </c>
      <c r="F634" s="5"/>
      <c r="G634" s="5"/>
      <c r="H634" s="5">
        <v>25.96</v>
      </c>
      <c r="I634" s="5">
        <v>1</v>
      </c>
      <c r="J634" s="5">
        <v>161</v>
      </c>
      <c r="K634" s="5">
        <f t="shared" si="41"/>
        <v>0.37263015261458587</v>
      </c>
      <c r="L634" s="5"/>
      <c r="M634" s="25">
        <v>0</v>
      </c>
      <c r="N634" s="25">
        <v>0</v>
      </c>
      <c r="O634" s="5"/>
    </row>
    <row r="635" spans="1:15" x14ac:dyDescent="0.25">
      <c r="A635" s="2" t="s">
        <v>347</v>
      </c>
      <c r="B635" s="2"/>
      <c r="C635" s="5">
        <v>479</v>
      </c>
      <c r="D635" s="5">
        <v>1</v>
      </c>
      <c r="E635" s="5">
        <v>0</v>
      </c>
      <c r="F635" s="5"/>
      <c r="G635" s="5">
        <v>6.3</v>
      </c>
      <c r="H635" s="5"/>
      <c r="I635" s="5">
        <v>81</v>
      </c>
      <c r="J635" s="5"/>
      <c r="K635" s="5">
        <f t="shared" si="41"/>
        <v>0.57346234436332832</v>
      </c>
      <c r="L635" s="5"/>
      <c r="M635" s="25">
        <v>0</v>
      </c>
      <c r="N635" s="25">
        <v>0</v>
      </c>
      <c r="O635" s="5"/>
    </row>
    <row r="636" spans="1:15" x14ac:dyDescent="0.25">
      <c r="A636" s="2" t="s">
        <v>346</v>
      </c>
      <c r="B636" s="2"/>
      <c r="C636" s="5">
        <v>479</v>
      </c>
      <c r="D636" s="5">
        <v>1</v>
      </c>
      <c r="E636" s="5">
        <v>0</v>
      </c>
      <c r="F636" s="5"/>
      <c r="G636" s="5">
        <v>4.54</v>
      </c>
      <c r="H636" s="5"/>
      <c r="I636" s="5">
        <v>80</v>
      </c>
      <c r="J636" s="5"/>
      <c r="K636" s="5">
        <f t="shared" si="41"/>
        <v>0.45261800399463215</v>
      </c>
      <c r="L636" s="5"/>
      <c r="M636" s="25">
        <v>0</v>
      </c>
      <c r="N636" s="25">
        <v>0</v>
      </c>
      <c r="O636" s="5"/>
    </row>
    <row r="637" spans="1:15" x14ac:dyDescent="0.25">
      <c r="A637" s="2" t="s">
        <v>158</v>
      </c>
      <c r="B637" s="2"/>
      <c r="C637" s="5">
        <v>480</v>
      </c>
      <c r="D637" s="5">
        <v>1</v>
      </c>
      <c r="E637" s="5">
        <v>0</v>
      </c>
      <c r="F637" s="5"/>
      <c r="G637" s="5">
        <v>3.29</v>
      </c>
      <c r="H637" s="5"/>
      <c r="I637" s="5">
        <v>22</v>
      </c>
      <c r="J637" s="5"/>
      <c r="K637" s="5">
        <f t="shared" si="41"/>
        <v>0.57424799090199241</v>
      </c>
      <c r="L637" s="5"/>
      <c r="M637" s="25">
        <v>0</v>
      </c>
      <c r="N637" s="25">
        <v>0</v>
      </c>
      <c r="O637" s="5"/>
    </row>
    <row r="638" spans="1:15" x14ac:dyDescent="0.25">
      <c r="A638" s="2" t="s">
        <v>269</v>
      </c>
      <c r="B638" s="2"/>
      <c r="C638" s="5">
        <v>480</v>
      </c>
      <c r="D638" s="5">
        <v>1</v>
      </c>
      <c r="E638" s="5">
        <v>1</v>
      </c>
      <c r="F638" s="5"/>
      <c r="G638" s="5">
        <v>3.29</v>
      </c>
      <c r="H638" s="5"/>
      <c r="I638" s="5">
        <v>22</v>
      </c>
      <c r="J638" s="5"/>
      <c r="K638" s="5">
        <f t="shared" si="41"/>
        <v>0.57424799090199241</v>
      </c>
      <c r="L638" s="5"/>
      <c r="O638" s="5"/>
    </row>
    <row r="639" spans="1:15" x14ac:dyDescent="0.25">
      <c r="A639" s="2" t="s">
        <v>348</v>
      </c>
      <c r="B639" s="2"/>
      <c r="C639" s="5">
        <v>480</v>
      </c>
      <c r="D639" s="5">
        <v>1</v>
      </c>
      <c r="E639" s="5">
        <v>0</v>
      </c>
      <c r="F639" s="5"/>
      <c r="G639" s="5">
        <v>8.5</v>
      </c>
      <c r="H639" s="5"/>
      <c r="I639" s="5">
        <v>22</v>
      </c>
      <c r="J639" s="5"/>
      <c r="K639" s="5">
        <f t="shared" si="41"/>
        <v>0.87554454446182806</v>
      </c>
      <c r="L639" s="5"/>
      <c r="M639" s="25">
        <v>0</v>
      </c>
      <c r="N639" s="25">
        <v>0</v>
      </c>
      <c r="O639" s="5"/>
    </row>
    <row r="640" spans="1:15" x14ac:dyDescent="0.25">
      <c r="A640" s="2" t="s">
        <v>159</v>
      </c>
      <c r="B640" s="2"/>
      <c r="C640" s="5">
        <v>481</v>
      </c>
      <c r="D640" s="5">
        <v>1</v>
      </c>
      <c r="E640" s="5">
        <v>0</v>
      </c>
      <c r="F640" s="5"/>
      <c r="G640" s="5"/>
      <c r="H640" s="5">
        <v>21.72</v>
      </c>
      <c r="I640" s="5">
        <v>2</v>
      </c>
      <c r="J640" s="5">
        <v>168</v>
      </c>
      <c r="K640" s="5">
        <f t="shared" si="41"/>
        <v>0.38114816593831891</v>
      </c>
      <c r="L640" s="5"/>
      <c r="M640" s="25">
        <v>0</v>
      </c>
      <c r="N640" s="25">
        <v>0</v>
      </c>
      <c r="O640" s="5"/>
    </row>
    <row r="641" spans="1:15" x14ac:dyDescent="0.25">
      <c r="A641" s="2" t="s">
        <v>270</v>
      </c>
      <c r="B641" s="2"/>
      <c r="C641" s="5">
        <v>481</v>
      </c>
      <c r="D641" s="5">
        <v>1</v>
      </c>
      <c r="E641" s="5">
        <v>0</v>
      </c>
      <c r="F641" s="5">
        <v>0</v>
      </c>
      <c r="G641" s="5"/>
      <c r="H641" s="5"/>
      <c r="I641" s="5"/>
      <c r="J641" s="5"/>
      <c r="K641" s="5" t="b">
        <f t="shared" si="41"/>
        <v>0</v>
      </c>
      <c r="L641" s="5"/>
      <c r="O641" s="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Tilburg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 van den Akker</dc:creator>
  <cp:lastModifiedBy>O.R. van den Akker</cp:lastModifiedBy>
  <dcterms:created xsi:type="dcterms:W3CDTF">2022-05-04T12:42:20Z</dcterms:created>
  <dcterms:modified xsi:type="dcterms:W3CDTF">2022-11-25T20:01:08Z</dcterms:modified>
</cp:coreProperties>
</file>