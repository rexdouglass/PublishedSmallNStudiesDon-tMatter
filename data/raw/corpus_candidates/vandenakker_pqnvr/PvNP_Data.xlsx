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dnakker\Google Drive\PhD\E2\Preregistration\OSF\Preregs vs. Papers\NA Mystery\"/>
    </mc:Choice>
  </mc:AlternateContent>
  <xr:revisionPtr revIDLastSave="0" documentId="13_ncr:1_{F0613D07-2E81-44BB-8CE3-CFFE47288F32}" xr6:coauthVersionLast="47" xr6:coauthVersionMax="47" xr10:uidLastSave="{00000000-0000-0000-0000-000000000000}"/>
  <bookViews>
    <workbookView xWindow="-120" yWindow="-16320" windowWidth="29040" windowHeight="15840" xr2:uid="{3E5DCCBB-A52F-475F-A7E6-96F3EA5BB8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19" i="1" l="1"/>
  <c r="K20" i="1"/>
  <c r="K21" i="1"/>
  <c r="K22" i="1"/>
  <c r="K23" i="1"/>
  <c r="K24" i="1"/>
  <c r="K25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5" i="1"/>
  <c r="K76" i="1"/>
  <c r="K78" i="1"/>
  <c r="K79" i="1"/>
  <c r="K80" i="1"/>
  <c r="K81" i="1"/>
  <c r="K82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9" i="1"/>
  <c r="K110" i="1"/>
  <c r="K111" i="1"/>
  <c r="K112" i="1"/>
  <c r="K113" i="1"/>
  <c r="K114" i="1"/>
  <c r="K115" i="1"/>
  <c r="K116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5" i="1"/>
  <c r="K146" i="1"/>
  <c r="K147" i="1"/>
  <c r="K148" i="1"/>
  <c r="K149" i="1"/>
  <c r="K150" i="1"/>
  <c r="K151" i="1"/>
  <c r="K152" i="1"/>
  <c r="K153" i="1"/>
  <c r="K155" i="1"/>
  <c r="K156" i="1"/>
  <c r="K157" i="1"/>
  <c r="K158" i="1"/>
  <c r="K159" i="1"/>
  <c r="K160" i="1"/>
  <c r="K161" i="1"/>
  <c r="K162" i="1"/>
  <c r="K163" i="1"/>
  <c r="K164" i="1"/>
  <c r="K165" i="1"/>
  <c r="K167" i="1"/>
  <c r="K168" i="1"/>
  <c r="K169" i="1"/>
  <c r="K170" i="1"/>
  <c r="K171" i="1"/>
  <c r="K172" i="1"/>
  <c r="K173" i="1"/>
  <c r="K174" i="1"/>
  <c r="K175" i="1"/>
  <c r="K176" i="1"/>
  <c r="K178" i="1"/>
  <c r="K179" i="1"/>
  <c r="K180" i="1"/>
  <c r="K181" i="1"/>
  <c r="K182" i="1"/>
  <c r="K183" i="1"/>
  <c r="K184" i="1"/>
  <c r="K185" i="1"/>
  <c r="K186" i="1"/>
  <c r="K187" i="1"/>
  <c r="K188" i="1"/>
  <c r="K190" i="1"/>
  <c r="K191" i="1"/>
  <c r="K192" i="1"/>
  <c r="K193" i="1"/>
  <c r="K194" i="1"/>
  <c r="K7" i="1"/>
  <c r="K8" i="1"/>
  <c r="K9" i="1"/>
  <c r="K10" i="1"/>
  <c r="K11" i="1"/>
  <c r="K12" i="1"/>
  <c r="K13" i="1"/>
  <c r="K14" i="1"/>
  <c r="K15" i="1"/>
  <c r="K16" i="1"/>
  <c r="K17" i="1"/>
  <c r="K4" i="1"/>
  <c r="K5" i="1"/>
  <c r="K3" i="1"/>
  <c r="K2" i="1"/>
  <c r="Y186" i="1" l="1"/>
  <c r="Y183" i="1"/>
  <c r="Y173" i="1"/>
  <c r="Y91" i="1"/>
  <c r="Y59" i="1"/>
  <c r="Y107" i="1" l="1"/>
  <c r="Y50" i="1"/>
  <c r="Y192" i="1" l="1"/>
  <c r="Y178" i="1"/>
  <c r="Y188" i="1"/>
  <c r="Y111" i="1"/>
  <c r="Y110" i="1"/>
  <c r="Y102" i="1"/>
  <c r="Y88" i="1"/>
  <c r="Y70" i="1"/>
  <c r="Y77" i="1"/>
  <c r="Y33" i="1"/>
  <c r="Y14" i="1"/>
  <c r="Y10" i="1"/>
  <c r="Y194" i="1" l="1"/>
  <c r="Y189" i="1"/>
  <c r="Y187" i="1"/>
  <c r="Y185" i="1"/>
  <c r="Y182" i="1"/>
  <c r="Y180" i="1"/>
  <c r="Y179" i="1"/>
  <c r="Y177" i="1"/>
  <c r="Y176" i="1"/>
  <c r="Y175" i="1"/>
  <c r="Y174" i="1"/>
  <c r="Y172" i="1"/>
  <c r="Y171" i="1"/>
  <c r="Y168" i="1"/>
  <c r="Y167" i="1"/>
  <c r="Y166" i="1"/>
  <c r="Y165" i="1"/>
  <c r="Y164" i="1"/>
  <c r="Y163" i="1"/>
  <c r="Y162" i="1"/>
  <c r="Y160" i="1"/>
  <c r="Y158" i="1"/>
  <c r="Y157" i="1"/>
  <c r="Y156" i="1"/>
  <c r="Y155" i="1"/>
  <c r="Y153" i="1"/>
  <c r="Y151" i="1"/>
  <c r="Y150" i="1"/>
  <c r="Y149" i="1"/>
  <c r="Y148" i="1"/>
  <c r="Y146" i="1"/>
  <c r="Y143" i="1"/>
  <c r="Y142" i="1"/>
  <c r="Y141" i="1"/>
  <c r="Y140" i="1"/>
  <c r="Y139" i="1"/>
  <c r="Y138" i="1"/>
  <c r="Y135" i="1"/>
  <c r="Y133" i="1"/>
  <c r="Y132" i="1"/>
  <c r="Y131" i="1"/>
  <c r="Y129" i="1"/>
  <c r="Y128" i="1"/>
  <c r="Y126" i="1"/>
  <c r="Y125" i="1"/>
  <c r="Y124" i="1"/>
  <c r="Y123" i="1"/>
  <c r="Y121" i="1"/>
  <c r="Y120" i="1"/>
  <c r="Y119" i="1"/>
  <c r="Y118" i="1"/>
  <c r="Y117" i="1"/>
  <c r="Y116" i="1"/>
  <c r="Y114" i="1"/>
  <c r="Y113" i="1"/>
  <c r="Y109" i="1"/>
  <c r="Y106" i="1"/>
  <c r="Y105" i="1"/>
  <c r="Y103" i="1"/>
  <c r="Y100" i="1"/>
  <c r="Y99" i="1"/>
  <c r="Y98" i="1"/>
  <c r="Y97" i="1"/>
  <c r="Y96" i="1"/>
  <c r="Y94" i="1"/>
  <c r="Y93" i="1"/>
  <c r="Y92" i="1"/>
  <c r="Y90" i="1"/>
  <c r="Y89" i="1"/>
  <c r="Y87" i="1"/>
  <c r="Y86" i="1"/>
  <c r="Y85" i="1"/>
  <c r="Y82" i="1"/>
  <c r="Y81" i="1"/>
  <c r="Y80" i="1"/>
  <c r="Y78" i="1"/>
  <c r="Y76" i="1"/>
  <c r="Y75" i="1"/>
  <c r="Y74" i="1"/>
  <c r="Y73" i="1"/>
  <c r="Y69" i="1"/>
  <c r="Y67" i="1"/>
  <c r="Y65" i="1"/>
  <c r="Y63" i="1"/>
  <c r="Y61" i="1"/>
  <c r="Y60" i="1"/>
  <c r="Y58" i="1"/>
  <c r="Y57" i="1"/>
  <c r="Y56" i="1"/>
  <c r="Y55" i="1"/>
  <c r="Y54" i="1"/>
  <c r="Y53" i="1"/>
  <c r="Y52" i="1"/>
  <c r="Y51" i="1"/>
  <c r="Y49" i="1"/>
  <c r="Y47" i="1"/>
  <c r="Y46" i="1"/>
  <c r="Y45" i="1"/>
  <c r="Y44" i="1"/>
  <c r="Y43" i="1"/>
  <c r="Y42" i="1"/>
  <c r="Y41" i="1"/>
  <c r="Y37" i="1"/>
  <c r="Y26" i="1"/>
  <c r="Y25" i="1"/>
  <c r="Y24" i="1"/>
  <c r="Y23" i="1"/>
  <c r="Y21" i="1"/>
  <c r="Y20" i="1"/>
  <c r="Y19" i="1"/>
  <c r="Y17" i="1"/>
  <c r="Y16" i="1"/>
  <c r="Y15" i="1"/>
  <c r="Y13" i="1"/>
  <c r="Y12" i="1"/>
  <c r="Y11" i="1"/>
  <c r="Y9" i="1"/>
  <c r="Y8" i="1"/>
  <c r="Y7" i="1"/>
  <c r="Y4" i="1"/>
  <c r="Y3" i="1"/>
</calcChain>
</file>

<file path=xl/sharedStrings.xml><?xml version="1.0" encoding="utf-8"?>
<sst xmlns="http://schemas.openxmlformats.org/spreadsheetml/2006/main" count="1417" uniqueCount="932">
  <si>
    <t>ID</t>
  </si>
  <si>
    <t>“Catching” Social Bias: Exposure to Biased Nonverbal Signals Creates Social Biases in Preschool Children</t>
  </si>
  <si>
    <t>Perceptual Individuation Training (but not Mere Exposure)
Reduces Implicit Racial Bias in Preschool Children</t>
  </si>
  <si>
    <t>Developmental Psychology</t>
  </si>
  <si>
    <t>https://doi.org/10.1037/dev0000290</t>
  </si>
  <si>
    <t>NA</t>
  </si>
  <si>
    <t>“Our Country Needs a Strong Leader Right Now”: Economic Inequality Enhances the Wish for a Strong Leader</t>
  </si>
  <si>
    <t>Economic inequality enhances inferences that the normative climate is individualistic and competitive</t>
  </si>
  <si>
    <t>European Journal of Social Psychology</t>
  </si>
  <si>
    <t>https://doi.org/10.1002/ejsp.2557</t>
  </si>
  <si>
    <t>A control-based account of stereotyping</t>
  </si>
  <si>
    <t>‘Jesus, take the wheel’: the appeal of spiritual products in satiating concerns about randomness</t>
  </si>
  <si>
    <t xml:space="preserve">Journal of Marketing Management </t>
  </si>
  <si>
    <t>https://doi.org/10.1080/0267257X.2018.1556225</t>
  </si>
  <si>
    <t>A gender bias habit-breaking intervention led to increased hiring of female faculty in STEMM departments</t>
  </si>
  <si>
    <t>A hard-to-read font reduces the framing effect in a large sample</t>
  </si>
  <si>
    <t>Would disfluency by any other name still be disfluent? Examining the disfluency effect with cursive handwriting</t>
  </si>
  <si>
    <t>Memory &amp; Cognition</t>
  </si>
  <si>
    <t>https://doi.org/10.3758/s13421-018-0824-6</t>
  </si>
  <si>
    <t>A Large-Scale Test of the Goldilocks Hypothesis: Quantifying the Relations Between Digital-Screen Use and the Mental Well-Being of Adolescents</t>
  </si>
  <si>
    <t>Associations Between Positive Mental Wellbeing and Depressive Symptoms in Australian Adolescents</t>
  </si>
  <si>
    <t>Educational and Developmental Psychologist</t>
  </si>
  <si>
    <t>https://doi.org/10.1017/edp.2017.6</t>
  </si>
  <si>
    <t>A memory-based judgment account of expectancy-liking dissociations in evaluative conditioning</t>
  </si>
  <si>
    <t>Response production during extinction training is not sufficient for extinction of evaluative conditioning</t>
  </si>
  <si>
    <t>Cognition and Emotion</t>
  </si>
  <si>
    <t>https://doi.org/10.1080/02699931.2018.1545633</t>
  </si>
  <si>
    <t>A Preregistered Study of Competing Predictions Suggests That Men Do Overestimate Women’s Sexual Intent</t>
  </si>
  <si>
    <t>Self-deception facilitates interpersonal persuasion</t>
  </si>
  <si>
    <t>Journal of Economic Psychology</t>
  </si>
  <si>
    <t>https://doi.org/10.1016/j.joep.2017.02.012</t>
  </si>
  <si>
    <t>Accuracy and confidence in perceptions of targets’ attachment to former partners: Do judges vary as a function of individual differences in attachment orientation?</t>
  </si>
  <si>
    <t>Action Fluency Facilitates Perceptual Discrimination</t>
  </si>
  <si>
    <t>Selective Modulation of Early Visual Cortical Activity by Movement Intention</t>
  </si>
  <si>
    <t>Cerebral Cortex</t>
  </si>
  <si>
    <t>https://doi.org/10.1093/cercor/bhy345</t>
  </si>
  <si>
    <t>Automated verbal credibility assessment of intentions: The model statement technique and predictive modeling</t>
  </si>
  <si>
    <t>Are you for real? Exploring language use and unexpected process questions within the detection of identity deception</t>
  </si>
  <si>
    <t>Applied Cognitive Psychology</t>
  </si>
  <si>
    <t>https://doi.org/10.1002/acp.3446</t>
  </si>
  <si>
    <t>Better calibration when predicting from experience (rather than description)</t>
  </si>
  <si>
    <t>Feedback Influences Discriminability and Attractiveness Components of Probability Weighting in Descriptive Choice Under Risk</t>
  </si>
  <si>
    <t>Frontiers in Psychology</t>
  </si>
  <si>
    <t>https://doi.org/10.3389/fpsyg.2019.00962</t>
  </si>
  <si>
    <t>Blurring the Dichotomy of Good and Evil: The Idiosyncratic Helping Strategies Associated with Unmitigated-Agentic and Unmitigated-Communal Personalities</t>
  </si>
  <si>
    <t>Current Psychology</t>
  </si>
  <si>
    <t>Cascade and no-repetition rules are comparable controls for the auditory frequency mismatch negativity in oddball tasks</t>
  </si>
  <si>
    <t>A lateral inhibition mechanism explains the dissociation between mismatch negativity and behavioral pitch discrimination</t>
  </si>
  <si>
    <t>Brain Research</t>
  </si>
  <si>
    <t>https://doi.org/10.1016/j.brainres.2019.146308</t>
  </si>
  <si>
    <t>Cell phone-induced ostracism threatens fundamental needs</t>
  </si>
  <si>
    <t>The visual influence of ostracism</t>
  </si>
  <si>
    <t>https://doi.org/10.1002/ejsp.2305</t>
  </si>
  <si>
    <t>CEOs imbue organizations with feelings, increasing punishment satisfaction and apology effectiveness</t>
  </si>
  <si>
    <t>Trust Maintenance as a Function of Construal Level and Attributions: the Case of Apologies</t>
  </si>
  <si>
    <t>https://doi.org/10.1002/ejsp.2291</t>
  </si>
  <si>
    <t>Children’s developing theory of mind and pedagogical evidence selection</t>
  </si>
  <si>
    <t>From Exploration to Instruction: Children Learn From Exploration and Tailor Their Demonstrations to Observers’ Goals and Competence</t>
  </si>
  <si>
    <t>Child Development</t>
  </si>
  <si>
    <t>https://doi.org/10.1111/cdev.13059</t>
  </si>
  <si>
    <t>Cognition and the self: Attempt of an independent close replication of the effects of self-construal priming on spatial memory recall</t>
  </si>
  <si>
    <t>Culture and problem-solving: Congruency between the cultural mindset of individualism versus collectivism and problem type</t>
  </si>
  <si>
    <t>Journal of Experimental Psychology: General</t>
  </si>
  <si>
    <t>https://doi.org/10.1037/xge0000444</t>
  </si>
  <si>
    <t>Cognitive Flexibility and Pro-environmental Behaviour: A Multimethod Approach</t>
  </si>
  <si>
    <t>Common mechanisms of executive attention underlie executive function and effortful control in children</t>
  </si>
  <si>
    <t>Developmental Science</t>
  </si>
  <si>
    <t>https://doi.org/10.1111/desc.12918</t>
  </si>
  <si>
    <t>Collective Narcissism: Americans Exaggerate the Role of Their Home State in Appraising U.S. History</t>
  </si>
  <si>
    <t>We Made History: Citizens of 35 Countries Overestimate Their Nation's Role in World History</t>
  </si>
  <si>
    <t>Journal of Applied Research in Memory and Cognition</t>
  </si>
  <si>
    <t>https://doi.org/10.1016/j.jarmac.2018.05.006</t>
  </si>
  <si>
    <t>Comprehenders model the nature of noise in the environment</t>
  </si>
  <si>
    <t>Neuropsychologia</t>
  </si>
  <si>
    <t>Concern for Others Leads to Vicarious Optimism</t>
  </si>
  <si>
    <t>Updating Beliefs under Perceived Threat</t>
  </si>
  <si>
    <t>Journal of Neuroscience</t>
  </si>
  <si>
    <t>https://doi.org/10.1523/JNEUROSCI.0716-18.2018</t>
  </si>
  <si>
    <t>Configural processing and social judgments: Face inversion particularly disrupts inferences of human-relevant traits</t>
  </si>
  <si>
    <t>Inter-rater agreement in trait judgements from faces</t>
  </si>
  <si>
    <t>PLOS One</t>
  </si>
  <si>
    <t>https://doi.org/10.1371/journal.pone.0202655</t>
  </si>
  <si>
    <t>Consequence-Based Approach-Avoidance Training: A New and Improved Method for Changing Behavior</t>
  </si>
  <si>
    <t>Working mechanisms of a general positivity approach-avoidance training: Effects on action tendencies as well as on subjective and physiological stress responses</t>
  </si>
  <si>
    <t>Journal of Behavior Therapy and Experimental Psychiatry</t>
  </si>
  <si>
    <t>https://doi.org/10.1016/j.jbtep.2018.01.005</t>
  </si>
  <si>
    <t>Construing action abstractly and experiencing autonomy: Implications for physical activity and diet</t>
  </si>
  <si>
    <t>Abstract Construal Level and its Link to Self-Control and to Cross-Situational Consistency in Self-Concept: Predicting Health-Risk Behavioral Intentions</t>
  </si>
  <si>
    <t>Spanish Journal of Psychology</t>
  </si>
  <si>
    <t>https://doi.org/10.1017/sjp.2018.43</t>
  </si>
  <si>
    <t>Creativity: Intuitive processing outperforms deliberative processing in creative idea selection</t>
  </si>
  <si>
    <t>Facilitating Creative Idea Selection: The Combined Effects of Self-Affirmation, Promotion Focus and Positive Affect</t>
  </si>
  <si>
    <t>Creativity Research Journal</t>
  </si>
  <si>
    <t>https://doi.org/10.1080/10400419.2017.1303308</t>
  </si>
  <si>
    <t>Cultural fluency means all is okay, cultural disfluency implies otherwise</t>
  </si>
  <si>
    <t>Effects of the number of advertised brands in a choice set: A metacognitive process</t>
  </si>
  <si>
    <t>Psychology &amp; Marketing</t>
  </si>
  <si>
    <t>https://doi.org/10.1002/mar.21193</t>
  </si>
  <si>
    <t>Dear Abby: Should I Give Advice or Receive It?</t>
  </si>
  <si>
    <t>Tell Me What I Wanted to Hear: Confirmation Effect in Lay Evaluations of Financial Expert Authority</t>
  </si>
  <si>
    <t>Applied Psychology</t>
  </si>
  <si>
    <t>https://doi.org/10.1111/apps.12145</t>
  </si>
  <si>
    <t>Dimming the “Halo” Around Monogamy: Re-assessing Stigma Surrounding Consensually Non-monogamous Romantic Relationships as a Function of Personal Relationship Orientation</t>
  </si>
  <si>
    <t>Which Partners Are More Human? Monogamy Matters More than Sexual Orientation for Dehumanization in Three European Countries</t>
  </si>
  <si>
    <t>Sexuality Research and Social Policy</t>
  </si>
  <si>
    <t>https://doi.org/10.1007/s13178-017-0290-0</t>
  </si>
  <si>
    <t>Disabled or Cyborg? How Bionics Affect Stereotypes Toward People With Physical Disabilities</t>
  </si>
  <si>
    <t>Admired Rich or Resented Rich? How Two Cultures Vary in Envy</t>
  </si>
  <si>
    <t>Journal of Cross-Cultural Psychology</t>
  </si>
  <si>
    <t>https://doi.org/10.1177/0022022118774943</t>
  </si>
  <si>
    <t>Distinctiveness as a marker of identity formation</t>
  </si>
  <si>
    <t>Creativity as Identity Skill? Late Adolescents' Management of Identity, Complexity and Risk-Taking</t>
  </si>
  <si>
    <t>Journal of Creative Behavior</t>
  </si>
  <si>
    <t>https://doi.org/10.1002/jocb.221</t>
  </si>
  <si>
    <t>Distributed Learning in the Classroom: Effects of Rereading Schedules Depend on Time of Test</t>
  </si>
  <si>
    <t>Do people care if men don't care about caring? The asymmetry in support for changing gender roles</t>
  </si>
  <si>
    <t>Fostering social change among advantaged and disadvantaged group members: Integrating intergroup contact and social identity perspectives on collective action</t>
  </si>
  <si>
    <t>Group Processes &amp; Intergroup Relations</t>
  </si>
  <si>
    <t>https://doi.org/10.1177/1368430219889134</t>
  </si>
  <si>
    <t>Do People Inherently Dislike Uncertain Advice?</t>
  </si>
  <si>
    <t>Overfeed the Bold, Starve the Cowardly: A Legend or Reality?</t>
  </si>
  <si>
    <t>Journal of Gambling Studies</t>
  </si>
  <si>
    <t>https://doi.org/10.1007/s10899-017-9739-6</t>
  </si>
  <si>
    <t>Does Abstract Mindset Decrease or Increase Deception?</t>
  </si>
  <si>
    <t>Construal Level and Cross-Sensory Influences: High-Level Construal Increases
the Effect of Color on Drink Perception</t>
  </si>
  <si>
    <t>https://doi.org/10.1037/xge0000548</t>
  </si>
  <si>
    <t>Does helping promote well-being in at-risk youth and ex-offender samples?</t>
  </si>
  <si>
    <t>Not all gifts are good: The potential practical costs of motivated gifts</t>
  </si>
  <si>
    <t>Journal of Applied Social Psychology</t>
  </si>
  <si>
    <t>https://doi.org/10.1111/jasp.12566</t>
  </si>
  <si>
    <t>Does Power Reduce Temporal Discounting? Commentary on Joshi and Fast (2013)</t>
  </si>
  <si>
    <t>Heavy Is the Head that Wears the Crown: An Actor-centric Approach to Daily Psychological Power, Abusive Leader Behavior, and Perceived Incivility</t>
  </si>
  <si>
    <t>Academy of Management Journal</t>
  </si>
  <si>
    <t>https://doi.org/10.5465/amj.2015.1061</t>
  </si>
  <si>
    <t>Doing good vs. avoiding bad in prosocial choice: A refined test and extension of the morality preference hypothesis</t>
  </si>
  <si>
    <t>Do the Right Thing: Experimental evidence that preferences for moral
behavior, rather than equity or efficiency per se, drive human
prosociality</t>
  </si>
  <si>
    <t>Judgment and Decision Making</t>
  </si>
  <si>
    <t>http://dx.doi.org/10.2139/ssrn.2965067</t>
  </si>
  <si>
    <t>Domain-specific perfectionism: An examination of perfectionism beyond the trait-level and its link to well-being</t>
  </si>
  <si>
    <t>Perfectionism and the pursuit of personal goals: A self-determination theory analysis</t>
  </si>
  <si>
    <t>Motivation and Emotion</t>
  </si>
  <si>
    <t>https://doi.org/10.1007/s11031-017-9654-2</t>
  </si>
  <si>
    <t>Easier Seen Than Done: Merely Watching Others Perform Can Foster an Illusion of Skill Acquisition</t>
  </si>
  <si>
    <t>The Role of Financial Slack, Employee Creative Self-Efficacy and Learning Orientation in Innovation and Organizational Performance</t>
  </si>
  <si>
    <t>Administrative Sciences</t>
  </si>
  <si>
    <t>https://doi.org/10.3390/admsci8040082</t>
  </si>
  <si>
    <t>Effects of "Visual Schema Displacement Therapy" (VSDT), an abbreviated EMDR protocol and a control condition on emotionality and vividness of aversive memories: Two critical analogue studies</t>
  </si>
  <si>
    <t>Effects of incidental positive emotion and cognitive reappraisal on affective responses to negative stimuli</t>
  </si>
  <si>
    <t>Cognitive Reappraisal in Children: Neuropsychological Evidence of Up-Regulating Positive Emotion From an ERP Study</t>
  </si>
  <si>
    <t>https://doi.org/10.3389/fpsyg.2019.00147</t>
  </si>
  <si>
    <t>Effects of male testosterone and its interaction with cortisol on self- and observer-rated personality states in a competitive mating context</t>
  </si>
  <si>
    <t>Honest Signals of Status: Facial and Bodily Dominance Are Related to Success in Physical but Not Nonphysical Competition</t>
  </si>
  <si>
    <t>Evolutionary Psychology</t>
  </si>
  <si>
    <t>https://doi.org/10.1177/1474704919863164</t>
  </si>
  <si>
    <t>ERN modulation under sustained threat: A pre-registered report</t>
  </si>
  <si>
    <t>Post-error Brain Activity Correlates With Incidental Memory for Negative Words</t>
  </si>
  <si>
    <t>Frontiers in Human Neuroscience</t>
  </si>
  <si>
    <t>https://doi.org/10.3389/fnhum.2018.00178</t>
  </si>
  <si>
    <t>Examining memory for ritualized gesture in complex causal sequences</t>
  </si>
  <si>
    <t>An experimental examination of object-directed ritualized action in children across two cultures</t>
  </si>
  <si>
    <t>https://doi.org/10.1371/journal.pone.0206884</t>
  </si>
  <si>
    <t>Experiential or Material Purchases? Social Class Determines Purchase Happiness</t>
  </si>
  <si>
    <t>What triggers envy on Social Network Sites? A comparison between shared experiential and material purchases</t>
  </si>
  <si>
    <t>Computers in Human Behavior</t>
  </si>
  <si>
    <t>https://doi.org/10.1016/j.chb.2018.03.049</t>
  </si>
  <si>
    <t>Extremeness Aversion Is a Cause of Anchoring</t>
  </si>
  <si>
    <t>The robustness of anchoring effects on preferential judgments</t>
  </si>
  <si>
    <t>https://psycnet.apa.org/record/2019-51304-007</t>
  </si>
  <si>
    <t>Fertile women evaluate male bodies as more attractive, regardless of masculinity</t>
  </si>
  <si>
    <t>Women's preferences for men's beards show no relation to their ovarian cycle phase and sex hormone levels</t>
  </si>
  <si>
    <t>Hormones and Behavior</t>
  </si>
  <si>
    <t>https://doi.org/10.1016/j.yhbeh.2017.11.006</t>
  </si>
  <si>
    <t>Filler-Siphoning Theory Does Not Predict the Effect of Lineup Fairness on the Ability to Discriminate Innocent From Guilty Suspects: Reply to Smith Wells Smalarz and Lampinen (2018)</t>
  </si>
  <si>
    <t>Forgetting Is a Feature, Not a Bug: Intentionally Forgetting Some Things Helps Us Remember Others by Freeing Up Working Memory Resources</t>
  </si>
  <si>
    <t>Item-Based Directed Forgetting for Categorized Lists:
Forgetting of Words That Were Not Presented</t>
  </si>
  <si>
    <t>Canadian Journal of Experimental Psychology</t>
  </si>
  <si>
    <t>http://dx.doi.org/10.1037/cep0000177</t>
  </si>
  <si>
    <t>Forgetting Patterns Differentiate Between Two Forms of Memory Representation</t>
  </si>
  <si>
    <t>Forget all that nonsense: The role of meaning during the forgetting of recollective and familiarity-based memories</t>
  </si>
  <si>
    <t>https://doi.org/10.1016/j.neuropsychologia.2016.06.026</t>
  </si>
  <si>
    <t>From Motive Dispositions to States to Outcomes: An Intensive Experience Sampling Study on Communal Motivational Dynamics in Couples</t>
  </si>
  <si>
    <t>Mediated Disposition–Environment Transactions: The Dae Model</t>
  </si>
  <si>
    <t>European Journal of Personality</t>
  </si>
  <si>
    <t>https://doi.org/10.1002/per.2118</t>
  </si>
  <si>
    <t>Goal conflict when making decisions for others</t>
  </si>
  <si>
    <t>Personal failure makes society seem fonder: An inquiry into the roots of social interdependence</t>
  </si>
  <si>
    <t>https://doi.org/10.1371/journal.pone.0201361</t>
  </si>
  <si>
    <t>Good Choice, Bad Judgment: How Choice Under Uncertainty Generates Overoptimism</t>
  </si>
  <si>
    <t>Warmth and competence predict overoptimistic beliefs for out-group but not in-group members</t>
  </si>
  <si>
    <t>https://doi.org/10.1371/journal.pone.0207670</t>
  </si>
  <si>
    <t>Group cohesion benefits individuals who express prejudice, but harms their group</t>
  </si>
  <si>
    <t>What makes displaced revenge taste sweet: Retributing displaced responsibility or sending a message to the original perpetrator?</t>
  </si>
  <si>
    <t>https://doi.org/10.1002/ejsp.2345</t>
  </si>
  <si>
    <t>Group Influences on Engaging Self-Control: Children Delay Gratification and Value It More When Their In-Group Delays and Their Out-Group Doesn’t</t>
  </si>
  <si>
    <t>Cohort Effects in Children's Delay of Gratification</t>
  </si>
  <si>
    <t>https://doi.org/10.1037/dev0000533</t>
  </si>
  <si>
    <t>Group-Based Relative Deprivation Explains Endorsement of Extremism Among Western-Born Muslims</t>
  </si>
  <si>
    <t>Evidence for indirect loss of significance effects on violent extremism: The potential mediating role of anomia</t>
  </si>
  <si>
    <t>Aggressive Behavior</t>
  </si>
  <si>
    <t>https://doi.org/10.1002/ab.21863</t>
  </si>
  <si>
    <t>Grouping Promotes Equality: The Effect of Recipient Grouping on Allocation of Limited Medical Resources</t>
  </si>
  <si>
    <t>Hard to disrupt: Categorization and enumeration by gender and race from mixed displays</t>
  </si>
  <si>
    <t>Perceptual Contributions to Racial Bias in Pain Recognition</t>
  </si>
  <si>
    <t>https://doi.org/10.1037/xge0000600</t>
  </si>
  <si>
    <t>Hide or Seek? Physiological Responses Reflect Both the Decision and the Attempt to Conceal Information</t>
  </si>
  <si>
    <t>Frequent Countermeasure Usage by Narcissistic Examinees in the Concealed Information Test</t>
  </si>
  <si>
    <t>https://doi.org/10.3389/fpsyg.2019.01068</t>
  </si>
  <si>
    <t>How interdependent are stay/leave decisions? On staying in the relationship for the sake of the romantic partner</t>
  </si>
  <si>
    <t>Interpersonal regulation of relationship partners’ security: A causal chain analysis</t>
  </si>
  <si>
    <t>https://doi.org/10.1007/s11031-018-9700-8</t>
  </si>
  <si>
    <t>How Replicable Are Links Between Personality Traits and Consequential Life Outcomes? The Life Outcomes of Personality Replication Project</t>
  </si>
  <si>
    <t>The Meta-Science of Adult Statistical Word Segmentation: Part 1</t>
  </si>
  <si>
    <t>Collabra: Psychology</t>
  </si>
  <si>
    <t>https://doi.org/10.1525/collabra.181</t>
  </si>
  <si>
    <t>How to Improve Adolescent Stress Responses: Insights From Integrating Implicit Theories of Personality and Biopsychosocial Models</t>
  </si>
  <si>
    <t>Using Wise Interventions to Motivate Deliberate Practice</t>
  </si>
  <si>
    <t>Journal of Personality and Social Psychology</t>
  </si>
  <si>
    <t>https://doi.org/10.1037/pspp0000074</t>
  </si>
  <si>
    <t>Hypnotic Suggestions Can Induce Rapid Change in Implicit Attitudes</t>
  </si>
  <si>
    <t>Attitude Change via Repeated Evaluative Pairings Versus Evaluative
Statements: Shared and Unique Features</t>
  </si>
  <si>
    <t>https://doi.org/10.1037/pspa0000151</t>
  </si>
  <si>
    <t>I May Not Agree With You, but I Trust You: Caring About Social Issues Signals Integrity</t>
  </si>
  <si>
    <t>I Do Not Want to Trust You, but I Do: on the Relationship Between Trust Intent, Trusting Behavior, and Time Pressure</t>
  </si>
  <si>
    <t>Journal of Business and Psychology</t>
  </si>
  <si>
    <t>https://doi.org/10.1007/s10869-018-9597-y</t>
  </si>
  <si>
    <t>If It’s Difficult to Pronounce It Might Not Be Risky: The Effect of Fluency on Judgment of Risk Does Not Generalize to New Stimuli</t>
  </si>
  <si>
    <t>Make It Short and Easy: Username Complexity Determines Trustworthiness Above and Beyond Objective Reputation</t>
  </si>
  <si>
    <t>https://doi.org/10.3389/fpsyg.2017.02200</t>
  </si>
  <si>
    <t>Impediments to Effective Altruism: The Role of Subjective Preferences in Charitable Giving</t>
  </si>
  <si>
    <t>Signaling Emotion and Reason in Cooperation</t>
  </si>
  <si>
    <t>https://doi.org/10.1037/xge0000399</t>
  </si>
  <si>
    <t>Implicit Theories of Interest: Finding Your Passion or Developing It?</t>
  </si>
  <si>
    <t>Incremental mindsets and the reduced forgiveness of chronic failures</t>
  </si>
  <si>
    <t>Journal of Experimental Social Psychology</t>
  </si>
  <si>
    <t>https://doi.org/10.1016/j.jesp.2017.12.003</t>
  </si>
  <si>
    <t>In Defense of the Commons: Young Children Negatively Evaluate and Sanction Free Riders</t>
  </si>
  <si>
    <t>Journal of Experimental Child Psychology</t>
  </si>
  <si>
    <t>Inaugurating Rationalization: Three Field Studies Find Increased Rationalization When Anticipated Realities Become Current</t>
  </si>
  <si>
    <t>Income Inequality Influences Perceptions of Legitimate Income Differences</t>
  </si>
  <si>
    <t>British Journal of Political Science</t>
  </si>
  <si>
    <t>https://doi.org/10.1017/S0007123416000326</t>
  </si>
  <si>
    <t>Increasing Vegetable Intake by Emphasizing Tasty and Enjoyable Attributes: A Randomized Controlled Multisite Intervention for Taste-Focused Labeling</t>
  </si>
  <si>
    <t>Inferring Whether Officials Are Corruptible From Looking at Their Faces</t>
  </si>
  <si>
    <t>Core self-evaluations mediate the association between leaders' facial appearance and their professional success: Adults' and children's perceptions</t>
  </si>
  <si>
    <t>Leadership Quarterly</t>
  </si>
  <si>
    <t>https://doi.org/10.1016/j.leaqua.2018.01.002</t>
  </si>
  <si>
    <t>Inflammatory Comments Elicit Less Outrage When Made in Anonymous Online Contexts</t>
  </si>
  <si>
    <t>Organizations Appear More Unethical than Individuals</t>
  </si>
  <si>
    <t>Journal of Business Ethics</t>
  </si>
  <si>
    <t>https://doi.org/10.1007/s10551-018-3811-8</t>
  </si>
  <si>
    <t>Investigating the effects of Inhibition Training on Attentional Bias change: a simple Bayesian Approach</t>
  </si>
  <si>
    <t>Does Change in Attention Control Mediate
the Impact of tDCS on Attentional Bias
for Threat? Limited Evidence from a
Double-blind Sham-controlled Experiment
in an Unselected Sample</t>
  </si>
  <si>
    <t>Psychologica Belgica</t>
  </si>
  <si>
    <t>https://doi.org/10.5334/pb.449</t>
  </si>
  <si>
    <t>Investigating the Motivational and Psychosocial Dynamics of Dysregulated Gaming: Evidence From a Preregistered Cohort Study</t>
  </si>
  <si>
    <t>Two sides of the same coin: The differentiating role of need satisfaction and frustration in passion for screen-based activities</t>
  </si>
  <si>
    <t>https://doi.org/10.1002/ejsp.2588</t>
  </si>
  <si>
    <t>Investigating the Relationship Between Self-Perceived Moral Superiority and Moral Behavior Using Economic Games</t>
  </si>
  <si>
    <t>Scientific Reports</t>
  </si>
  <si>
    <t>Is Implicit Theory of Mind a Real and Robust Phenomenon? Results From a Systematic Replication Study</t>
  </si>
  <si>
    <t>How (not) to measure infant Theory of Mind: Testing the replicability and validity of four non-verbal measures</t>
  </si>
  <si>
    <t>Cognitive Development</t>
  </si>
  <si>
    <t>https://doi.org/10.1016/j.cogdev.2018.01.001</t>
  </si>
  <si>
    <t>Is research in social psychology politically biased? Systematic empirical tests and a forecasting survey to address the controversy</t>
  </si>
  <si>
    <t>Is There a Positive Association Between Working Memory Capacity and Mind Wandering in a Low-Demand Breathing Task? A Preregistered Replication of a Study by Levinson, Smallwood, and Davidson (2012)</t>
  </si>
  <si>
    <t>Multiple routes to mind wandering: Predicting mind wandering with resource theories</t>
  </si>
  <si>
    <t>Consciousness and Cognition</t>
  </si>
  <si>
    <t>https://doi.org/10.1016/j.concog.2018.11.006</t>
  </si>
  <si>
    <t>Justifications Shape Ethical Blind Spots</t>
  </si>
  <si>
    <t>The Gray Side of Creativity: Exploring the Role of Activation in the Link Between Creative Personality and Unethical Behavior</t>
  </si>
  <si>
    <t>https://doi.org/10.1016/j.jesp.2015.05.004</t>
  </si>
  <si>
    <t>Leaders’ Use of Moral Justifications Increases Policy Support</t>
  </si>
  <si>
    <t>Prophets vs. profits: How market competition influences leaders' disciplining behavior towards ethical transgressions</t>
  </si>
  <si>
    <t>https://doi.org/10.1016/j.leaqua.2015.07.004</t>
  </si>
  <si>
    <t>Lie for a Dime: When Most Prescreening Responses Are Honest but Most Study Participants Are Impostors</t>
  </si>
  <si>
    <t>Intertemporal Differences Among MTurk Workers: Time-Based Sample Variations and Implications for Online Data Collection</t>
  </si>
  <si>
    <t>SAGE Open</t>
  </si>
  <si>
    <t>https://doi.org/10.1177/2158244017712774</t>
  </si>
  <si>
    <t>Long-Term Memory for Haptically Explored Objects: Fidelity Durability Incidental Encoding and Cross-Modal Transfer</t>
  </si>
  <si>
    <t>Visual search for changes in scenes creates long-term, incidental memory traces</t>
  </si>
  <si>
    <t>Attention, Perception, &amp; Psychophysics</t>
  </si>
  <si>
    <t>https://doi.org/10.3758/s13414-018-1486-y</t>
  </si>
  <si>
    <t>Looking on the Bright Side: Replicating the Association between Brightness and Positivity</t>
  </si>
  <si>
    <t>The universal and automatic association between brightness and positivity</t>
  </si>
  <si>
    <t>Acta Psychologica</t>
  </si>
  <si>
    <t>https://doi.org/10.1016/j.actpsy.2018.04.007</t>
  </si>
  <si>
    <t>Low foreign language proficiency reduces optimism about the personal future</t>
  </si>
  <si>
    <t>The framing effect in a monetary gambling task is robust in minimally verbal language switching contexts</t>
  </si>
  <si>
    <t>Quarterly Journal of Experimental Psychology</t>
  </si>
  <si>
    <t>https://doi.org/10.1177/1747021818769259</t>
  </si>
  <si>
    <t>Making Retrospective Confidence Judgments Improves Learners’ Ability to Decide What Not to Study</t>
  </si>
  <si>
    <t>What moderates the accuracy of ease of learning judgments?</t>
  </si>
  <si>
    <t>Metacognition and Learning</t>
  </si>
  <si>
    <t>https://doi.org/10.1007/s11409-017-9172-3</t>
  </si>
  <si>
    <t>Malleable liberals and fixed conservatives? Political orientation shapes perceived ability to change</t>
  </si>
  <si>
    <t>Personality and Individual Differences</t>
  </si>
  <si>
    <t>Mechanisms of Epistemic Change—Under Which Circumstances Does Diverging Information Support Epistemic Development?</t>
  </si>
  <si>
    <t>Constructivism and personal epistemology development in undergraduate chemistry students</t>
  </si>
  <si>
    <t>Learning and Individual Differences</t>
  </si>
  <si>
    <t>https://doi.org/10.1016/j.lindif.2018.03.006</t>
  </si>
  <si>
    <t>Memories Fade: The Relationship Between Memory Vividness and Remembered Visual Salience</t>
  </si>
  <si>
    <t>Cortico-hippocampal network connections support the multidimensional quality of episodic memory</t>
  </si>
  <si>
    <t>eLife</t>
  </si>
  <si>
    <t>https://doi.org/10.7554/eLife.45591</t>
  </si>
  <si>
    <t>Moral Framing and Charitable Donation: Integrating Exploratory Social Media Analyses and Confirmatory Experimentation</t>
  </si>
  <si>
    <t>Motivations for Sexual Behavior and Intentions to Use Condoms: Development of the Regulatory Focus in Sexuality Scale</t>
  </si>
  <si>
    <t>Perceived sexual self-control and condom use with primary and casual sex partners: age and relationship agreement differences in a Portuguese sample</t>
  </si>
  <si>
    <t>Psychology &amp; Health</t>
  </si>
  <si>
    <t>https://doi.org/10.1080/08870446.2019.1603384</t>
  </si>
  <si>
    <t>Not Learning From Failure—the Greatest Failure of All</t>
  </si>
  <si>
    <t>The differential similarity of positive and negative information – an affect-induced processing outcome?</t>
  </si>
  <si>
    <t>https://doi.org/10.1080/02699931.2018.1549022</t>
  </si>
  <si>
    <t>Offline consolidation supersedes prior knowledge benefits in children's (but not adults’) word learning</t>
  </si>
  <si>
    <t>Neural correlates of word learning in children</t>
  </si>
  <si>
    <t>Developmental Cognitive Neuroscience</t>
  </si>
  <si>
    <t>https://doi.org/10.1016/j.dcn.2019.100649</t>
  </si>
  <si>
    <t>On the Clock: Evidence for the Rapid and Strategic Modulation of Mind Wandering</t>
  </si>
  <si>
    <t>Reduced Mind-Wandering in Mild Cognitive Impairment: Testing the Spontaneous Retrieval Deficit Hypothesis</t>
  </si>
  <si>
    <t>Neuropsychology</t>
  </si>
  <si>
    <t>https://doi.org/10.1037/neu0000457</t>
  </si>
  <si>
    <t>Openness/Intellect and Susceptibility to Pseudo-Profound Bullshit: A Replication and Extension</t>
  </si>
  <si>
    <t>Out of debt, out of burden: The physical burdens of debt</t>
  </si>
  <si>
    <t>Close or far? Affect explains conflicting findings on motivated distance perception to rewards</t>
  </si>
  <si>
    <t>https://doi.org/10.1016/j.actpsy.2018.08.008</t>
  </si>
  <si>
    <t>Overconfidence Across Cultures</t>
  </si>
  <si>
    <t>Overconfidence is universal? Elicitation of Genuine Overconfidence (EGO) procedure reveals systematic differences across domain, task knowledge, and incentives in four populations</t>
  </si>
  <si>
    <t>https://doi.org/10.1371/journal.pone.0202288</t>
  </si>
  <si>
    <t>Overcorrection for Social-Categorization Information Moderates Impact Bias in Affective Forecasting</t>
  </si>
  <si>
    <t>Affective forecasting about hedonic loss and adaptation: Implications for damage awards</t>
  </si>
  <si>
    <t>Law and Human Behavior</t>
  </si>
  <si>
    <t>https://doi.org/10.1037/lhb0000181</t>
  </si>
  <si>
    <t>Parents Versus Peers: Assessing the Impact of Social Agents on Decision Making in Young Adults</t>
  </si>
  <si>
    <t>Family conflict shapes how adolescents take risks when their family is affected</t>
  </si>
  <si>
    <t>https://doi.org/10.1111/desc.12611</t>
  </si>
  <si>
    <t>People Are Slow to Adapt to the Warm Glow of Giving</t>
  </si>
  <si>
    <t>Neural reward-related reactions to monetary gains for self and charity</t>
  </si>
  <si>
    <t>Cognitive, Affective, &amp; Behavioral Neuroscience</t>
  </si>
  <si>
    <t>https://doi.org/10.3758/s13415-018-00672-1</t>
  </si>
  <si>
    <t>People With Autism Spectrum Conditions Make More Consistent Decisions</t>
  </si>
  <si>
    <t>Perspective Taking and Self-Persuasion: Why “Putting Yourself in Their Shoes” Reduces Openness to Attitude Change</t>
  </si>
  <si>
    <t>Empathy affects tradeoffs between life's quality and duration</t>
  </si>
  <si>
    <t>https://doi.org/10.1371/journal.pone.0221652</t>
  </si>
  <si>
    <t>Polluted Morality: Air Pollution Predicts Criminal Activity and Unethical Behavior</t>
  </si>
  <si>
    <t>Does “Could” Lead to Good? On the Road to Moral Insight</t>
  </si>
  <si>
    <t>https://doi.org/10.5465/amj.2014.0839</t>
  </si>
  <si>
    <t>Predicting Exercise With a Personality Facet: Planfulness and Goal Achievement</t>
  </si>
  <si>
    <t>Nomological consistency: A comprehensive test of the equivalence of different trait indicators for the same constructs</t>
  </si>
  <si>
    <t>Journal of Personality</t>
  </si>
  <si>
    <t>https://doi.org/10.1111/jopy.12428</t>
  </si>
  <si>
    <t>Protecting an important goal: When prior self-control increases motivation for active goal pursuit</t>
  </si>
  <si>
    <t>The Perception of Available Resources Influences the After-Effect of Cognitive Control on Cognitive Performance and Pain</t>
  </si>
  <si>
    <t>Social Psychology</t>
  </si>
  <si>
    <t>https://doi.org/10.1027/1864-9335/a000386</t>
  </si>
  <si>
    <t>Reaction time-based Concealed Information Test in eyewitness identification is moderated by picture similarity but not eyewitness cooperation</t>
  </si>
  <si>
    <t>Reducing sugar use in coffee while maintaining enjoyment: A randomized controlled trial</t>
  </si>
  <si>
    <t>Facets of Mindfulness in Stages of Behavior Change Toward Organic Food Consumption</t>
  </si>
  <si>
    <t>Mindfulness</t>
  </si>
  <si>
    <t>https://doi.org/10.1007/s12671-020-01351-4</t>
  </si>
  <si>
    <t>Regret-action effect: Action-inaction asymmetries in inferences drawn from perceived regret</t>
  </si>
  <si>
    <t>A counterfactual explanation for the action effect in causal judgment</t>
  </si>
  <si>
    <t>Cognition</t>
  </si>
  <si>
    <t>https://doi.org/10.1016/j.cognition.2019.05.006</t>
  </si>
  <si>
    <t>Rushing to Appear Virtuous: Time Pressure Increases Socially Desirable Responding</t>
  </si>
  <si>
    <t>Semantic processes in preferential decision making</t>
  </si>
  <si>
    <t>Shared Plates, Shared Minds: Consuming From a Shared Plate Promotes Cooperation</t>
  </si>
  <si>
    <t>Being on the same wavelength: Behavioral synchrony between partners and its influence on the experience of intimacy</t>
  </si>
  <si>
    <t>Journal of Social and Personal Relationships</t>
  </si>
  <si>
    <t>https://doi.org/10.1177/0265407518809478</t>
  </si>
  <si>
    <t>Show Me the Money: A Systematic Exploration of Manipulations Moderators and Mechanisms of Priming Effects</t>
  </si>
  <si>
    <t>Does Money Change Political Views? – An Investigation of Money Priming and the Preference for Right-Wing Politics</t>
  </si>
  <si>
    <t>Journal of Social and Political Psychology</t>
  </si>
  <si>
    <t>https://doi.org/10.5964/jspp.v5i2.748</t>
  </si>
  <si>
    <t>Situational Affordances for Prosocial Behaviour: On the Interaction Between Honesty-Humility and (Perceived) Interdependence</t>
  </si>
  <si>
    <t>Power influences the expression of Honesty-Humility: The power-exploitation affordances hypothesis</t>
  </si>
  <si>
    <t>Journal of Research in Personality</t>
  </si>
  <si>
    <t>https://doi.org/10.1016/j.jrp.2019.103856</t>
  </si>
  <si>
    <t>Smartphone use undermines enjoyment of face-to-face social interactions</t>
  </si>
  <si>
    <t>Put the Phone Down: Testing a Complement-Interfere Model of Computer-Mediated Communication in the Context of Face-to-Face Interactions</t>
  </si>
  <si>
    <t>Social Psychological and Personality Science</t>
  </si>
  <si>
    <t>https://doi.org/10.1177/1948550617722199</t>
  </si>
  <si>
    <t>Social Anxiety and Dynamic Social Reinforcement Learning in a Volatile Environment</t>
  </si>
  <si>
    <t>Examining Positive and Negative Affect as Outcomes and Moderators of Cognitive-Behavioral Therapy and Acceptance and Commitment Therapy for Social Anxiety Disorder</t>
  </si>
  <si>
    <t>Behavior Therapy</t>
  </si>
  <si>
    <t>https://doi.org/10.1016/j.beth.2019.07.001</t>
  </si>
  <si>
    <t>Social Distance Increases Perceived Physical Distance</t>
  </si>
  <si>
    <t>Comfortably Warm: A Momentary Lapse of Reaffiliation After Exclusion</t>
  </si>
  <si>
    <t>https://doi.org/10.1037/xge0000479</t>
  </si>
  <si>
    <t>Socially thermoregulated thinking: How past experiences matter in thinking about our loved ones</t>
  </si>
  <si>
    <t>The Human Penguin Project: Climate, Social Integration, and Core Body Temperature</t>
  </si>
  <si>
    <t>https://doi.org/10.1525/collabra.165</t>
  </si>
  <si>
    <t>Some People Heed Advice Less than Others: Agency (but Not Communion) Predicts Advice Taking</t>
  </si>
  <si>
    <t>The Role of Anticipated Regret in Advice Taking</t>
  </si>
  <si>
    <t>Journal of Behavioral Decision Making</t>
  </si>
  <si>
    <t>https://doi.org/10.1002/bdm.2048</t>
  </si>
  <si>
    <t>Specks of Dirt and Tons of Pain: Dosage Distinguishes Impurity From Harm</t>
  </si>
  <si>
    <t>Beyond Harmfulness and Impurity: Moral Wrongness as a Violation of Relational Motivations</t>
  </si>
  <si>
    <t>https://doi.org/10.1037/pspi0000169</t>
  </si>
  <si>
    <t>Stand by Your Stroop: Standing Up Enhances Selective Attention and Cognitive Control</t>
  </si>
  <si>
    <t>Does spinal excitability scale to the difficulty of the dual-task?</t>
  </si>
  <si>
    <t>European Journal of Applied Physiology</t>
  </si>
  <si>
    <t>https://doi.org/10.1007/s00421-017-3652-7</t>
  </si>
  <si>
    <t>Stigma by Prejudice Transfer: Racism Threatens White Women and Sexism Threatens Men of Color</t>
  </si>
  <si>
    <t>Still Suspicious: The Suspicious-Coincidence Effect Revisited</t>
  </si>
  <si>
    <t>Development of Children's Sensitivity to Overinformativeness in Learning and Teaching</t>
  </si>
  <si>
    <t>http://dx.doi.org/10.1037/dev0000580</t>
  </si>
  <si>
    <t>Subjective Confidence Predicts Information Seeking in Decision Making</t>
  </si>
  <si>
    <t>Post-decision wagering after perceptual judgments reveals bi-directional certainty readouts</t>
  </si>
  <si>
    <t>https://doi.org/10.1016/j.cognition.2018.02.026</t>
  </si>
  <si>
    <t>Subjective well-being, social interpretation, and relationship thriving</t>
  </si>
  <si>
    <t>Happiness and Social Behavior</t>
  </si>
  <si>
    <t>Psychological Science</t>
  </si>
  <si>
    <t>https://doi.org/10.1177/0956797619849666</t>
  </si>
  <si>
    <t>Superstars are not necessarily role models: Morality perceptions moderate the impact of competence perceptions on supervisor role modeling</t>
  </si>
  <si>
    <t>The Central Role of Morality in Perceived Humanness and Unselfish Behaviors</t>
  </si>
  <si>
    <t>https://doi.org/10.1027/1864-9335/a000352</t>
  </si>
  <si>
    <t>Support for Resettling Refugees: The Role of Fixed Versus Growth Mind-Sets</t>
  </si>
  <si>
    <t>Valuing Differences and Reinforcing Them: Multiculturalism Increases Race Essentialism</t>
  </si>
  <si>
    <t>https://doi.org/10.1177/1948550618780728</t>
  </si>
  <si>
    <t>The Additive-Area Heuristic: An Efficient but Illusory Means of Visual Area Approximation</t>
  </si>
  <si>
    <t>Attentional amplification of neural codes for number independent of other quantities along the dorsal visual stream</t>
  </si>
  <si>
    <t>https://doi.org/10.7554/eLife.45160</t>
  </si>
  <si>
    <t>The affective twitches of task switches: Task switch cues are evaluated as negative</t>
  </si>
  <si>
    <t>Temporal dynamics of error-related corrugator supercilii and zygomaticus major activity: Evidence for implicit emotion regulation following errors</t>
  </si>
  <si>
    <t>International Journal of Psychophysiology</t>
  </si>
  <si>
    <t>https://doi.org/10.1016/j.ijpsycho.2019.10.003</t>
  </si>
  <si>
    <t>The Belief in a Favorable Future</t>
  </si>
  <si>
    <t>Neural Correlates of the False Consensus Effect: Evidence for Motivated Projection and Regulatory Restraint</t>
  </si>
  <si>
    <t>Journal of Cognitive Neuroscience</t>
  </si>
  <si>
    <t>https://doi.org/10.1162/jocn_a_01084</t>
  </si>
  <si>
    <t>The citation effect: In-text citations moderately increase belief in trivia claims</t>
  </si>
  <si>
    <t>A referential theory of the repetition-induced truth effect</t>
  </si>
  <si>
    <t>https://doi.org/10.1016/j.cognition.2016.12.016</t>
  </si>
  <si>
    <t>The cognate facilitation effect in bilingual lexical decision is influenced by stimulus list composition</t>
  </si>
  <si>
    <t>Cross-Lingual Neighborhood Effects in Generalized Lexical Decision andNatural Reading</t>
  </si>
  <si>
    <t>Journal of Experimental Psychology: Learning, Memory, and Cognition</t>
  </si>
  <si>
    <t>https://doi.org/10.1037/xlm0000352</t>
  </si>
  <si>
    <t>The Effect of a Supreme Court Decision Regarding Gay Marriage on Social Norms and Personal Attitudes</t>
  </si>
  <si>
    <t>The Neural Basis of Social Influence in a Dictator Decision</t>
  </si>
  <si>
    <t>https://doi.org/10.3389/fpsyg.2017.02134</t>
  </si>
  <si>
    <t>The Effect of Cognitive Control on Different Types of Auditory Distraction: A Preregistered Study</t>
  </si>
  <si>
    <t>Working memory capacity is equally unrelated to auditory distraction by changing-state and deviant sounds</t>
  </si>
  <si>
    <t>Journal of Memory and Language</t>
  </si>
  <si>
    <t>https://doi.org/10.1016/j.jml.2017.05.005</t>
  </si>
  <si>
    <t>The Effect of Graphic Warnings on Sugary-Drink Purchasing</t>
  </si>
  <si>
    <t>Health warnings promote healthier dietary decision making: Effects of positive versus negative message framing and graphic versus text-based warnings</t>
  </si>
  <si>
    <t>Appetite</t>
  </si>
  <si>
    <t>https://doi.org/10.1016/j.appet.2018.05.006</t>
  </si>
  <si>
    <t>The effect of question structure on self-reported drinking: Ascending versus descending order effects</t>
  </si>
  <si>
    <t>Alcohol-related Attentional Bias Variability and Conflicting Automatic Associations</t>
  </si>
  <si>
    <t>Journal of Experimental Psychopathology</t>
  </si>
  <si>
    <t>https://doi.org/10.5127/jep.062317</t>
  </si>
  <si>
    <t>The Empirical Case for Acquiescing to Intuition</t>
  </si>
  <si>
    <t>Dunning–Kruger effects in reasoning: Theoretical implications of the failure to recognize incompetence</t>
  </si>
  <si>
    <t>Psychonomic Bulletin &amp; Review</t>
  </si>
  <si>
    <t>https://doi.org/10.3758/s13423-017-1242-7</t>
  </si>
  <si>
    <t>The Ethical Perils of Personal, Communal Relations: A Language Perspective</t>
  </si>
  <si>
    <t>Neural Representation of Parental Monitoring and Links to Adolescent Risk Taking</t>
  </si>
  <si>
    <t>Frontiers in Neuroscience</t>
  </si>
  <si>
    <t>https://doi.org/10.3389/fnins.2019.01286</t>
  </si>
  <si>
    <t>The evil eye effect: vertical pupils are perceived as more threatening</t>
  </si>
  <si>
    <t>Snakes Represent Emotionally Salient Stimuli That May Evoke Both Fear and Disgust</t>
  </si>
  <si>
    <t>https://doi.org/10.3389/fpsyg.2019.01085</t>
  </si>
  <si>
    <t>The first direct replication on using verbal credibility assessment for the detection of deceptive intentions</t>
  </si>
  <si>
    <t>Using the Model Statement to Elicit Verbal Differences Between Truth Tellers and Liars: The Benefit of Examining Core and Peripheral Details</t>
  </si>
  <si>
    <t>https://doi.org/10.1016/j.jarmac.2018.07.001</t>
  </si>
  <si>
    <t>The Future and the Will: Planning requires self-control, and ego depletion leads to planning aversion</t>
  </si>
  <si>
    <t>Ego depletion improves insight</t>
  </si>
  <si>
    <t>Thinking &amp; Reasoning</t>
  </si>
  <si>
    <t>https://doi.org/10.1080/13546783.2017.1396253</t>
  </si>
  <si>
    <t>The Grateful Don’t Cheat: Gratitude as a Fount of Virtue</t>
  </si>
  <si>
    <t>Gratitude increases third-party punishment</t>
  </si>
  <si>
    <t>https://doi.org/10.1080/02699931.2019.1700100</t>
  </si>
  <si>
    <t>The Humanizing Voice: Speech Reveals and Text Conceals a More Thoughtful Mind in the Midst of Disagreement</t>
  </si>
  <si>
    <t>Animalistic dehumanization of older people by younger ones: Variations of humanness perceptions as a function of a target’s age</t>
  </si>
  <si>
    <t>Psychology and Aging</t>
  </si>
  <si>
    <t>https://doi.org/10.1037/pag0000161</t>
  </si>
  <si>
    <t>The Illusion of Consensus: A Failure to Distinguish Between True and False Consensus</t>
  </si>
  <si>
    <t>Children's selective trust: When a group majority is confronted with past accuracy</t>
  </si>
  <si>
    <t>British journal of Developmental Psychology</t>
  </si>
  <si>
    <t>https://doi.org/10.1111/bjdp.12297</t>
  </si>
  <si>
    <t>The impact of past behaviour normality on regret: replication and extension of three experiments of the exceptionality effect</t>
  </si>
  <si>
    <t>Counterfactual thinking and age differences in judgments of regret and blame</t>
  </si>
  <si>
    <t>https://doi.org/10.1016/j.jecp.2019.02.007</t>
  </si>
  <si>
    <t>The Impact of Workplace Health Promotion Programs Emphasizing Individual Responsibility on Weight Stigma and Discrimination</t>
  </si>
  <si>
    <t>Weight Bias Internalization: The Maladaptive Effects of Moral Condemnation on Intrinsic Motivation</t>
  </si>
  <si>
    <t>https://doi.org/10.3389/fpsyg.2018.01836</t>
  </si>
  <si>
    <t>The Interpersonal Sunk-Cost Effect</t>
  </si>
  <si>
    <t>Is there a Sunk Cost Effect in Committed Relationships?</t>
  </si>
  <si>
    <t>https://doi.org/10.1007/s12144-016-9529-9</t>
  </si>
  <si>
    <t>The language of lies: a preregistered direct replication of Suchotzki and Gamer (2018; Experiment 2)</t>
  </si>
  <si>
    <t>Methodological improvements of the association-based concealed information test</t>
  </si>
  <si>
    <t>https://doi.org/10.1016/j.actpsy.2019.01.010</t>
  </si>
  <si>
    <t>The Link Between Self-Dehumanization and Immoral Behavior</t>
  </si>
  <si>
    <t>Cogs in the machine: The prioritization of money and self-dehumanization</t>
  </si>
  <si>
    <t>Organizational Behavior and Human Decision Processes</t>
  </si>
  <si>
    <t>https://doi.org/10.1016/j.obhdp.2018.08.007</t>
  </si>
  <si>
    <t>The modulating role of self-posed questions in repeated choice: Integral and incidental questions can increase or decrease behavioral rigidity</t>
  </si>
  <si>
    <t>Motivations and habits of micro-news consumption on mobile social media</t>
  </si>
  <si>
    <t>Telematics and Informatics</t>
  </si>
  <si>
    <t>https://doi.org/10.1016/j.tele.2019.101262</t>
  </si>
  <si>
    <t>The Paradox of Viral Outrage</t>
  </si>
  <si>
    <t>On the difference between moral outrage and empathic anger: Anger about wrongful deeds or harmful consequences☆,☆☆</t>
  </si>
  <si>
    <t>https://doi.org/10.1016/j.jesp.2018.03.005</t>
  </si>
  <si>
    <t>The Power of Attention: Using Eye Gaze to Predict Other-Regarding and Moral Choices</t>
  </si>
  <si>
    <t>Attention and choice across domains</t>
  </si>
  <si>
    <t>https://doi.org/10.1037/xge0000482</t>
  </si>
  <si>
    <t>The power of moral concerns in predicting whistleblowing decisions</t>
  </si>
  <si>
    <t>The motivations of external whistleblowers and their impact on the intention to blow the whistle again</t>
  </si>
  <si>
    <t>Business Ethics: A European Review</t>
  </si>
  <si>
    <t>https://doi.org/10.1111/beer.12224</t>
  </si>
  <si>
    <t>The Primacy Effect in Impression Formation: Some Replications and Extensions</t>
  </si>
  <si>
    <t>The efficacy of ACH in mitigating serial position effects and confirmation bias in an intelligence analysis scenario</t>
  </si>
  <si>
    <t>Intelligence and National Security</t>
  </si>
  <si>
    <t>https://doi.org/10.1080/02684527.2018.1534640</t>
  </si>
  <si>
    <t>The Pro-Environmental Behavior Task: A laboratory measure of actual pro-environmental behavior</t>
  </si>
  <si>
    <t>Childhood Origins of Young Adult Environmental Behavior</t>
  </si>
  <si>
    <t>https://doi.org/10.1177/0956797617741894</t>
  </si>
  <si>
    <t>The relative contribution of response bias and weighting-of-similarity bias to valence asymmetry in attitude generalization</t>
  </si>
  <si>
    <t>Does the Future Look Bright? Processing Style Determines the Impact of
Valence Weighting Biases and Self-Beliefs on Expectations</t>
  </si>
  <si>
    <t>https://doi.org/10.1037/pspa0000136</t>
  </si>
  <si>
    <t>The role of emotions in tax compliance behavior: A mixed-methods approach</t>
  </si>
  <si>
    <t>Trust and power as determinants of tax compliance across 44 nations</t>
  </si>
  <si>
    <t>https://doi.org/10.1016/j.joep.2019.102191</t>
  </si>
  <si>
    <t>The Role of Experimenter Belief in Social Priming</t>
  </si>
  <si>
    <t>From grumpy to cheerful (and back): How power impacts mood in and across different contexts☆</t>
  </si>
  <si>
    <t>https://doi.org/10.1016/j.jesp.2018.05.004</t>
  </si>
  <si>
    <t>The Smile-Seeking Hypothesis: How Immediate Affective Reactions Motivate and Reward Gift Giving</t>
  </si>
  <si>
    <t>Is a $200 Nordstrom Gift Card Worth More or Less Than a $200 Gap Gift Card? The Asymmetric Valuations of Luxury Gift Cards</t>
  </si>
  <si>
    <t>Journal of Retailing</t>
  </si>
  <si>
    <t>https://doi.org/10.1016/j.jretai.2018.07.002</t>
  </si>
  <si>
    <t>The temporal dynamics of the link between configural face processing and dehumanization</t>
  </si>
  <si>
    <t>Scarcity Disrupts the Neural Encoding of Black Faces:
A Socioperceptual Pathway to Discrimination</t>
  </si>
  <si>
    <t>https://doi.org/10.1037/pspa0000168</t>
  </si>
  <si>
    <t>The testing effect and analogical problem-solving</t>
  </si>
  <si>
    <t>Which Technique is most Effective for Learning Declarative Concepts—Provided Examples, Generated Examples, or Both?</t>
  </si>
  <si>
    <t>Educational Psychology Review</t>
  </si>
  <si>
    <t>https://doi.org/10.1007/s10648-016-9396-9</t>
  </si>
  <si>
    <t>The time course of encoding and maintenance of task-relevant versus irrelevant object features in working memory</t>
  </si>
  <si>
    <t>Item-specific delay activity demonstrates concurrent storage of multiple active neural representations in working memory</t>
  </si>
  <si>
    <t>PLOS Biology</t>
  </si>
  <si>
    <t>https://doi.org/10.1371/journal.pbio.3000239</t>
  </si>
  <si>
    <t>The woman who wasn't there: Converging evidence that subliminal social comparison affects self-evaluation</t>
  </si>
  <si>
    <t>Social comparisons with media images are cognitively inefficient even for women who say they feel pressure from the media</t>
  </si>
  <si>
    <t>Body Image</t>
  </si>
  <si>
    <t>https://doi.org/10.1016/j.bodyim.2016.10.009</t>
  </si>
  <si>
    <t>They're all the same, sometimes: Prejudicial attitudes toward Muslims influence motivated judgments of entitativity and collective responsibility for an individual's actions</t>
  </si>
  <si>
    <t>How group and perceiver characteristics affect collective blame following counterproductive work behavior</t>
  </si>
  <si>
    <t>https://doi.org/10.1111/beer.12251</t>
  </si>
  <si>
    <t>Think it through before making a choice? Processing mode does not influence social mindfulness</t>
  </si>
  <si>
    <t>From spontaneous cooperation to spontaneous punishment – Distinguishing the underlying motives driving spontaneous behavior in first and second order public good games</t>
  </si>
  <si>
    <t>https://doi.org/10.1016/j.obhdp.2018.07.001</t>
  </si>
  <si>
    <t>Three- to Four-Year-Old Children Rapidly Adapt Their Predictions and Use Them to Learn Novel Word Meanings</t>
  </si>
  <si>
    <t>Adaptation to syntactic structures in native and nonnative sentence comprehension</t>
  </si>
  <si>
    <t>Applied Psycholinguistics</t>
  </si>
  <si>
    <t>https://doi.org/10.1017/S0142716418000437</t>
  </si>
  <si>
    <t>Training articulation sequences: A first systematic modulation of the articulatory in–out effect</t>
  </si>
  <si>
    <t>Oral kinematics: examining the role of edibility and valence in the in-out effect</t>
  </si>
  <si>
    <t>https://doi.org/10.1080/02699931.2018.1532874</t>
  </si>
  <si>
    <t>Tribalism can corrupt: Why people denounce or protect immoral group members</t>
  </si>
  <si>
    <t>Why people abandon groups: Degrading relational vs collective ties uniquely impacts identity fusion and identification</t>
  </si>
  <si>
    <t>https://doi.org/10.1016/j.jesp.2019.103853</t>
  </si>
  <si>
    <t>Understanding dehumanization: The role of agency and communion</t>
  </si>
  <si>
    <t>Facing Humanness: Facial Width-to-Height Ratio Predicts Ascriptions of Humanity</t>
  </si>
  <si>
    <t>https://doi.org/10.1037/pspi0000110</t>
  </si>
  <si>
    <t>Undervaluing Gratitude: Expressers Misunderstand the Consequences of Showing Appreciation</t>
  </si>
  <si>
    <t>Examining Psychosocial Pathways Underlying Gratitude Interventions: A Randomized Controlled Trial</t>
  </si>
  <si>
    <t>Journal of Happiness Studies</t>
  </si>
  <si>
    <t>https://doi.org/10.1007/s10902-017-9931-5</t>
  </si>
  <si>
    <t>Unexpected Gains: Being Overweight Buffers Asian Americans From Prejudice Against Foreigners</t>
  </si>
  <si>
    <t>Two Axes of Subordination: A New Model of Racial Position</t>
  </si>
  <si>
    <t>http://dx.doi.org/10.1037/pspa0000080</t>
  </si>
  <si>
    <t>Unhealthy and unaware? Misjudging social comparative standing for health-relevant behavior</t>
  </si>
  <si>
    <t>An integrated approach to biases in referent-specific judgments</t>
  </si>
  <si>
    <t>https://doi.org/10.1080/13546783.2019.1691053</t>
  </si>
  <si>
    <t>Unintended effects of measuring implicit processes: The case of death-thought accessibility in mortality salience studies</t>
  </si>
  <si>
    <t>Unite against: A common threat invokes spontaneous decategorization between social categories</t>
  </si>
  <si>
    <t>Learning What to Inhibit: The Influence of Repeated Testing on the Encoding of Gender and Age Information</t>
  </si>
  <si>
    <t>http://dx.doi.org/10.1037/pspa0000162</t>
  </si>
  <si>
    <t>Using Behavioral Science To Inform Policies Limiting Sugary-Drink Portions: Reply to Wilson and Stolarz-Fantino (2018)</t>
  </si>
  <si>
    <t>Can reviewer reputation and webcare content affect perceived fairness?</t>
  </si>
  <si>
    <t>Journal of Research in Interactive Marketing</t>
  </si>
  <si>
    <t>https://doi.org/10.1108/JRIM-05-2018-0065</t>
  </si>
  <si>
    <t>Using more different and more familiar targets improves the detection of concealed information</t>
  </si>
  <si>
    <t>Alcohol facilitates detection of
concealed identity information</t>
  </si>
  <si>
    <t>https://doi.org/10.1038/s41598-018-25811-z</t>
  </si>
  <si>
    <t>Validating a Standardized Approach to the Taylor Aggression Paradigm</t>
  </si>
  <si>
    <t>Sadism and Aggressive Behavior: Inflicting Pain to Feel Pleasure</t>
  </si>
  <si>
    <t>Personality and Social Psychology Bulletin</t>
  </si>
  <si>
    <t>https://doi.org/10.1177/0146167218816327</t>
  </si>
  <si>
    <t>Variation in the μ-Opioid Receptor Gene (OPRM1) Does Not Moderate Social-Rejection Sensitivity in Humans</t>
  </si>
  <si>
    <t>Visual Motion Prediction and Verbal False Memory Performance in Autistic Children</t>
  </si>
  <si>
    <t>Adaptation of social and non-social cues to direction in adults with autism spectrum disorder and neurotypical adults with autistic traits</t>
  </si>
  <si>
    <t>https://doi.org/10.1016/j.dcn.2017.05.001</t>
  </si>
  <si>
    <t>Visually Entrained Theta Oscillations Increase for Unexpected Events in the Infant Brain</t>
  </si>
  <si>
    <t>Memory entrainment by visually evoked theta-gamma coupling</t>
  </si>
  <si>
    <t>NeuroImage</t>
  </si>
  <si>
    <t>https://doi.org/10.1016/j.neuroimage.2018.12.002</t>
  </si>
  <si>
    <t>Wealthy Whites and poor Blacks: Implicit associations between racial groups and wealth predict explicit opposition toward helping the poor</t>
  </si>
  <si>
    <t>The PC-AMP: Adding Performance-Control Trials to the Affect Misattribution Procedure as a Potential Way to Minimize Unwanted Processing Strategies</t>
  </si>
  <si>
    <t>Social Cognition</t>
  </si>
  <si>
    <t>https://doi.org/10.1521/soco.2019.37.5.443</t>
  </si>
  <si>
    <t>What did they say? How subgroup stereotypes influence memory for superordinate groups</t>
  </si>
  <si>
    <t>Recategorization and ingroup projection: Two processes of identity uncertainty reduction</t>
  </si>
  <si>
    <t>Journal of Theoretical Social Psychology</t>
  </si>
  <si>
    <t>https://doi.org/10.1002/jts5.37</t>
  </si>
  <si>
    <t>What the Future Holds and When: A Description–Experience Gap in Intertemporal Choice</t>
  </si>
  <si>
    <t>When Action-Inaction Framing Leads to Higher Escalation of Commitment: A New Inaction-Effect Perspective on the Sunk-Cost Fallacy</t>
  </si>
  <si>
    <t>Does a Tired Mind Help Avoid a Decision Bias? The Effect of Ego Depletion on Escalation of Commitment</t>
  </si>
  <si>
    <t>https://doi.org/10.1111/apps.12109</t>
  </si>
  <si>
    <t>When and how does labour lead to love? The ontogeny and mechanisms of the IKEA effect</t>
  </si>
  <si>
    <t>Mine is better than yours: Investigating the ownership effect in children with autism spectrum disorder and typically developing children</t>
  </si>
  <si>
    <t>https://doi.org/10.1016/j.cognition.2017.11.009</t>
  </si>
  <si>
    <t>When does anger boost status?</t>
  </si>
  <si>
    <t>Evolution and Human Behavior</t>
  </si>
  <si>
    <t>When Novel Rituals Lead to Intergroup Bias: Evidence From Economic Games and Neurophysiology</t>
  </si>
  <si>
    <t>The ritual stance and the precaution system: the
role of goal-demotion and opacity in ritual and
everyday actions</t>
  </si>
  <si>
    <t>Religion, Brain &amp; Behavior</t>
  </si>
  <si>
    <t>https://doi.org/10.1080/2153599X.2016.1141792</t>
  </si>
  <si>
    <t>When the Good Looks Bad: An Experimental Exploration of the Repulsion Effect</t>
  </si>
  <si>
    <t>Who Deals With the Devil? Interdependence Personality and Corrupted Collaboration</t>
  </si>
  <si>
    <t>Is the victim Max (Planck) or Moritz? How victim type and social value orientation affect dishonrest behavio</t>
  </si>
  <si>
    <t>https://doi.org/10.1002/bdm.2104</t>
  </si>
  <si>
    <t>Why do Americans believe in economic mobility? Economic inequality, external attributions of wealth and poverty, and the belief in economic mobility</t>
  </si>
  <si>
    <t>Perceptions of Economic Inequality and Support for Redistribution: The role of Existential and Utopian Standards</t>
  </si>
  <si>
    <t>Social Justice Research</t>
  </si>
  <si>
    <t>https://doi.org/10.1007/s11211-018-0317-6</t>
  </si>
  <si>
    <t>Why Do People Tend to Infer “Ought” From “Is”? The Role of Biases in Explanation</t>
  </si>
  <si>
    <t>Analytic Thinking, Religion, and Prejudice: An Experimental Test of the Dual-Process Model of Mind</t>
  </si>
  <si>
    <t>International Journal for the Psychology of Religion</t>
  </si>
  <si>
    <t>https://doi.org/10.1080/10508619.2016.1151117</t>
  </si>
  <si>
    <t>With a little help from my friends (and strangers): Closeness as a moderator of the underestimation-of-compliance effect</t>
  </si>
  <si>
    <t>Working Memory Has Better Fidelity Than Long-Term Memory: The Fidelity Constraint Is Not a General Property of Memory After All</t>
  </si>
  <si>
    <t>Differential trajectories of memory quality and guessing across sequential reports from working memory</t>
  </si>
  <si>
    <t>Journal of Vision</t>
  </si>
  <si>
    <t>https://doi.org/10.1167/19.7.3</t>
  </si>
  <si>
    <t>Yesterday’s News: A Temporal Discontinuity in the Sting of Inferiority</t>
  </si>
  <si>
    <t>Mitigating Malicious Envy: Why Successful Individuals Should Reveal
Their Failures</t>
  </si>
  <si>
    <t>https://doi.org/10.1037/xge0000538</t>
  </si>
  <si>
    <t>Using Video to Increase Gender Bias Literacy Toward Women in Science</t>
  </si>
  <si>
    <t>Psychology of Women Quarterly</t>
  </si>
  <si>
    <t>14-11-222</t>
  </si>
  <si>
    <t>https://doi.org/10.1177/0361684316674721</t>
  </si>
  <si>
    <t>Effects of Non-verbal Priming on Attachment-Style Activation</t>
  </si>
  <si>
    <t>https://doi.org/10.3389/fpsyg.2019.00684</t>
  </si>
  <si>
    <t>Differentiating dark personalities on impression management</t>
  </si>
  <si>
    <t>https://doi.org/10.1016/j.paid.2019.04.030</t>
  </si>
  <si>
    <t>Testing the deficient processing account of the spacing effect in second language vocabulary learning: Evidence from eye tracking</t>
  </si>
  <si>
    <t>When Readers Believe Journalists: Effects of Adjudication in Varied Dispute Contexts</t>
  </si>
  <si>
    <t>International Journal of Public Opinion Research</t>
  </si>
  <si>
    <t>https://doi.org/10.1093/ijpor/edx013</t>
  </si>
  <si>
    <t>Self-enhancement, righteous anger, and moral grandiosity</t>
  </si>
  <si>
    <t>Self and Identity</t>
  </si>
  <si>
    <t>https://doi.org/10.1080/15298868.2017.1419504</t>
  </si>
  <si>
    <t>Social Development</t>
  </si>
  <si>
    <t>https://doi.org/10.1111/sode.12290</t>
  </si>
  <si>
    <t>Right- and left-wing prejudice toward dissimilar groups in cultural and economic domains</t>
  </si>
  <si>
    <t>https://doi.org/10.1002/ejsp.2548</t>
  </si>
  <si>
    <t>The Effect of Expected Value on Attraction Effect Preference Reversals</t>
  </si>
  <si>
    <t>https://doi.org/10.1002/bdm.2001</t>
  </si>
  <si>
    <t>The role of trust in the social heuristics hypothesis</t>
  </si>
  <si>
    <t>Judging the gender of the inanimate: Benevolent sexism and gender stereotypes guide impressions of physical objects</t>
  </si>
  <si>
    <t>British Journal of Social Psychology</t>
  </si>
  <si>
    <t>https://doi.org/10.1111/bjso.12198</t>
  </si>
  <si>
    <t>When Stronger Knowledge Slows You Down: Semantic Relatedness Predicts Children’s Co-Activation of Related Items in a Visual Search Paradigm</t>
  </si>
  <si>
    <t>Cognitive Science</t>
  </si>
  <si>
    <t>https://doi.org/10.1111/cogs.12746</t>
  </si>
  <si>
    <t>Reversing the similarity effect: The effect of presentation format</t>
  </si>
  <si>
    <t>https://doi.org/10.1016/j.cognition.2018.02.003</t>
  </si>
  <si>
    <t>Effects of serotonin 2A/1A receptor stimulation on social exclusion processing</t>
  </si>
  <si>
    <t>Proceedings of the National Academy of Sciences</t>
  </si>
  <si>
    <t>Co-operatives exhibit greater behavioral cooperation than comparable businesses: Experimental evidence</t>
  </si>
  <si>
    <t>Journal of Co-operative Organization and Management</t>
  </si>
  <si>
    <t>https://doi.org/10.1016/j.jcom.2019.100092</t>
  </si>
  <si>
    <t>CitationsOriginal</t>
  </si>
  <si>
    <t>AltmetricOriginal</t>
  </si>
  <si>
    <t>ExtractedOriginal</t>
  </si>
  <si>
    <t>TitleControl</t>
  </si>
  <si>
    <t>TitleOriginal</t>
  </si>
  <si>
    <t>AltmetricControl</t>
  </si>
  <si>
    <t>CitationsControl</t>
  </si>
  <si>
    <t>JournalControl</t>
  </si>
  <si>
    <t>JIFControl</t>
  </si>
  <si>
    <t>DOIControl</t>
  </si>
  <si>
    <t>ReceivedControl</t>
  </si>
  <si>
    <t>AcceptedControl</t>
  </si>
  <si>
    <t>TimeControl</t>
  </si>
  <si>
    <t>PowerControl</t>
  </si>
  <si>
    <t>PositiveControl</t>
  </si>
  <si>
    <t>SizeControl</t>
  </si>
  <si>
    <t>ErrorControl</t>
  </si>
  <si>
    <t>JournalOriginal</t>
  </si>
  <si>
    <t>JIFOriginal</t>
  </si>
  <si>
    <t>DOIOriginal</t>
  </si>
  <si>
    <t>ReceivedOriginal</t>
  </si>
  <si>
    <t>AcceptedOriginal</t>
  </si>
  <si>
    <t>TimeOriginal</t>
  </si>
  <si>
    <t>PowerOriginal</t>
  </si>
  <si>
    <t>NOriginal</t>
  </si>
  <si>
    <t>PositiveOriginal</t>
  </si>
  <si>
    <t>SizeOriginal</t>
  </si>
  <si>
    <t>ErrorOriginal</t>
  </si>
  <si>
    <t>https://doi.org/10.1017/S0142716419000158</t>
  </si>
  <si>
    <t>https://doi.org/10.1371/journal.pone.0216329</t>
  </si>
  <si>
    <t>https://doi.org/10.1073/pnas.1524187113</t>
  </si>
  <si>
    <t>doi.org/10/f9r4pn</t>
  </si>
  <si>
    <t>doi.org/10.1177/0956797619875472</t>
  </si>
  <si>
    <t>doi.org/10.1016/j.jesp.2019.103819</t>
  </si>
  <si>
    <t>doi.org/10.1016/j.jesp.2017.07.002</t>
  </si>
  <si>
    <t>doi.org/10/gdfhn4</t>
  </si>
  <si>
    <t>doi.org/10.1177/0956797616678438</t>
  </si>
  <si>
    <t>doi.org/10/gdxv8n</t>
  </si>
  <si>
    <t>doi.org/10/ggb7vz</t>
  </si>
  <si>
    <t>doi.org/10.1016/j.jrp.2019.01.001</t>
  </si>
  <si>
    <t>doi.org/10.1177/0956797619859361</t>
  </si>
  <si>
    <t>doi.org/10/gfskfn</t>
  </si>
  <si>
    <t>doi.org/10/gfrkzq</t>
  </si>
  <si>
    <t>doi.org/10.1002/per.2223</t>
  </si>
  <si>
    <t>Psychophysiology</t>
  </si>
  <si>
    <t>doi.org/10/gfbj7w</t>
  </si>
  <si>
    <t>doi.org/10.1080/00224545.2018.1439877</t>
  </si>
  <si>
    <t>doi.org/10.1016/j.jesp.2018.06.002</t>
  </si>
  <si>
    <t>doi.org/10/gfsj2q</t>
  </si>
  <si>
    <t>doi.org/10.1016/j.jesp.2017.08.005</t>
  </si>
  <si>
    <t>doi.org/10.1002/per.2204</t>
  </si>
  <si>
    <t>doi.org/10.1177/0956797618772504</t>
  </si>
  <si>
    <t>doi.org/10/gfhr3q</t>
  </si>
  <si>
    <t>doi.org/10/gdfhb9</t>
  </si>
  <si>
    <t>doi.org/10/gcsz2c</t>
  </si>
  <si>
    <t>doi.org/10/gfskfh</t>
  </si>
  <si>
    <t>doi.org/10/gc73ps</t>
  </si>
  <si>
    <t>doi.org/10.1016/j.jesp.2017.06.009</t>
  </si>
  <si>
    <t>doi.org/10.1016/j.jesp.2019.103822</t>
  </si>
  <si>
    <t>doi.org/10.1177/0956797618795472</t>
  </si>
  <si>
    <t>Clinical Psychological Science</t>
  </si>
  <si>
    <t>doi.org/10/gdsnhp</t>
  </si>
  <si>
    <t>doi.org/10/gfpfx6</t>
  </si>
  <si>
    <t>doi.org/10.1016/j.jrp.2018.12.002</t>
  </si>
  <si>
    <t>doi.org/10/ggb7rr</t>
  </si>
  <si>
    <t>doi.org/10.1016/j.jesp.2019.03.013</t>
  </si>
  <si>
    <t>doi.org/10.1177/0956797617739369</t>
  </si>
  <si>
    <t>doi.org/10/gfsjz5</t>
  </si>
  <si>
    <t>doi.org/10/gfpg5t</t>
  </si>
  <si>
    <t>doi.org/10/gdsnhq</t>
  </si>
  <si>
    <t>doi.org/10.1016/j.jesp.2018.06.005</t>
  </si>
  <si>
    <t>doi.org/10.1016/j.jrp.2018.02.002</t>
  </si>
  <si>
    <t>doi.org/10.1177/0956797617740646</t>
  </si>
  <si>
    <t>doi.org/10/ggb8g9</t>
  </si>
  <si>
    <t>doi.org/10/ggb8j2</t>
  </si>
  <si>
    <t>doi.org/10/gfpb78</t>
  </si>
  <si>
    <t>doi.org/10/gfpb77</t>
  </si>
  <si>
    <t>Cortex</t>
  </si>
  <si>
    <t>doi.org/10/gfg432</t>
  </si>
  <si>
    <t>doi.org/10.1177/0956797617736386</t>
  </si>
  <si>
    <t>doi.org/10.1177/0956797618799305</t>
  </si>
  <si>
    <t>doi.org/10.1016/j.evolhumbehav.2018.03.007</t>
  </si>
  <si>
    <t>doi.org/10.1177/0956797618786459</t>
  </si>
  <si>
    <t>doi.org/10.1177/0956797619859531</t>
  </si>
  <si>
    <t>doi.org/10.1177/0956797616638307</t>
  </si>
  <si>
    <t>doi.org/10.1002/per.2145</t>
  </si>
  <si>
    <t>doi.org/10.1016/j.jesp.2018.05.008</t>
  </si>
  <si>
    <t>doi.org/10.1177/0956797617731637</t>
  </si>
  <si>
    <t>doi.org/10.1016/j.jesp.2018.08.002</t>
  </si>
  <si>
    <t>doi.org/10/gdj22c</t>
  </si>
  <si>
    <t>doi.org/10.1177/0956797619834879</t>
  </si>
  <si>
    <t>doi.org/10.1177/0956797615583978</t>
  </si>
  <si>
    <t>doi.org/10.1016/j.jesp.2019.103893</t>
  </si>
  <si>
    <t>doi.org/10.1177/0956797619864598</t>
  </si>
  <si>
    <t>doi.org/10/gfhd8x</t>
  </si>
  <si>
    <t>doi.org/10.1177/0956797619831612</t>
  </si>
  <si>
    <t>doi.org/10.1177/0956797616649604</t>
  </si>
  <si>
    <t>doi.org/10.1177/0956797619865183</t>
  </si>
  <si>
    <t>doi.org/10.1177/0956797619837948</t>
  </si>
  <si>
    <t>doi.org/10.1177/0956797616685770</t>
  </si>
  <si>
    <t>doi.org/10.1177/0956797617747648</t>
  </si>
  <si>
    <t>doi.org/10.1177/0956797618780643</t>
  </si>
  <si>
    <t>doi.org/10.1177/0956797618779061</t>
  </si>
  <si>
    <t>doi.org/10.1177/0956797617738814</t>
  </si>
  <si>
    <t>doi.org/10.1177/0956797619872191</t>
  </si>
  <si>
    <t>doi.org/10.1177/0956797618788882</t>
  </si>
  <si>
    <t>doi.org/10/ggb8jz</t>
  </si>
  <si>
    <t>Autism Research</t>
  </si>
  <si>
    <t>doi.org/10/ggb7rq</t>
  </si>
  <si>
    <t>doi.org/10.1177/2167702619859341</t>
  </si>
  <si>
    <t>doi.org/10/gfw43z</t>
  </si>
  <si>
    <t>doi.org/10/gdqdvp</t>
  </si>
  <si>
    <t>doi.org/10.1016/j.jesp.2018.06.004</t>
  </si>
  <si>
    <t>doi.org/10.1177/0956797619837942</t>
  </si>
  <si>
    <t>doi.org/10.1177/0956797615571018</t>
  </si>
  <si>
    <t>doi.org/10.1177/0956797615572909</t>
  </si>
  <si>
    <t>doi.org/10/gbv289</t>
  </si>
  <si>
    <t>doi.org/10.1177/0956797618803644</t>
  </si>
  <si>
    <t>doi.org/10/ggb8hb</t>
  </si>
  <si>
    <t>doi.org/10/gdj6sd</t>
  </si>
  <si>
    <t>doi.org/10.1177/0956797617718800</t>
  </si>
  <si>
    <t>doi.org/10.1016/j.jesp.2019.01.002</t>
  </si>
  <si>
    <t>doi.org/10/gfpb72</t>
  </si>
  <si>
    <t>doi.org/10.1177/0956797619836093</t>
  </si>
  <si>
    <t>doi.org/10/gdkx4q</t>
  </si>
  <si>
    <t>Archives of Sexual Behavior</t>
  </si>
  <si>
    <t>doi.org/10/gfpqfz</t>
  </si>
  <si>
    <t>doi.org/10.1177/0956797619881133</t>
  </si>
  <si>
    <t>doi.org/10/gfpgzv</t>
  </si>
  <si>
    <t>doi.org/10.1177/0956797618761039</t>
  </si>
  <si>
    <t>doi.org/10.1002/per.2176</t>
  </si>
  <si>
    <t>doi.org/10.1016/j.jesp.2018.01.003</t>
  </si>
  <si>
    <t>doi.org/10/ggb8jw</t>
  </si>
  <si>
    <t>doi.org/10.1177/0956797616660292</t>
  </si>
  <si>
    <t>doi.org/10/gfbkbz</t>
  </si>
  <si>
    <t>doi.org/10.1177/0956797618814145</t>
  </si>
  <si>
    <t>doi.org/10.1177/0956797617694867</t>
  </si>
  <si>
    <t>doi.org/10.1177/0956797618822697</t>
  </si>
  <si>
    <t>doi.org/10.1177/0956797617735807</t>
  </si>
  <si>
    <t>doi.org/10.1177/0956797619868812</t>
  </si>
  <si>
    <t>doi.org/10.1016/j.jesp.2019.103875</t>
  </si>
  <si>
    <t>Psychological Research</t>
  </si>
  <si>
    <t>doi.org/10/gftfw4</t>
  </si>
  <si>
    <t>Journal of Health Psychology</t>
  </si>
  <si>
    <t>doi.org/10/gfn9hx</t>
  </si>
  <si>
    <t>doi.org/10.1016/j.jesp.2019.103821</t>
  </si>
  <si>
    <t>doi.org/10.1177/0956797619867939</t>
  </si>
  <si>
    <t>doi.org/10/gfkwt3</t>
  </si>
  <si>
    <t>doi.org/10.1177/0956797619830633</t>
  </si>
  <si>
    <t>doi.org/10/gbsdpz</t>
  </si>
  <si>
    <t>doi.org/10.1002/per.2224</t>
  </si>
  <si>
    <t>doi.org/10.1016/j.jesp.2017.10.007</t>
  </si>
  <si>
    <t>doi.org/10.1177/2167702619858425</t>
  </si>
  <si>
    <t>doi.org/10/gdpnjg</t>
  </si>
  <si>
    <t>doi.org/10/gfjkbc</t>
  </si>
  <si>
    <t>doi.org/10/gdsjq9</t>
  </si>
  <si>
    <t>doi.org/10.1177/0956797619855382</t>
  </si>
  <si>
    <t>doi.org/10.1177/0956797617721270</t>
  </si>
  <si>
    <t>doi.org/10.1177/0956797616686218</t>
  </si>
  <si>
    <t>doi.org/10.1177/0956797618794931</t>
  </si>
  <si>
    <t>doi.org/10.1177/0956797617744771</t>
  </si>
  <si>
    <t>doi.org/10.1016/j.jrp.2018.11.007</t>
  </si>
  <si>
    <t>doi.org/10/gdq9sc</t>
  </si>
  <si>
    <t>doi.org/10.1177/0956797618813561</t>
  </si>
  <si>
    <t>doi.org/10.1177/0956797619831617</t>
  </si>
  <si>
    <t>doi.org/10/gfpfx5</t>
  </si>
  <si>
    <t>doi.org/10.1177/0956797617706706</t>
  </si>
  <si>
    <t>doi.org/10/gbv8h6</t>
  </si>
  <si>
    <t>doi.org/10/gckv79</t>
  </si>
  <si>
    <t>doi.org/10.1177/0956797617709594</t>
  </si>
  <si>
    <t>Experimental Psychology</t>
  </si>
  <si>
    <t>doi.org/10/gbvr7b</t>
  </si>
  <si>
    <t>doi.org/10.1177/0956797618766361</t>
  </si>
  <si>
    <t>doi.org/10/gdhsrf</t>
  </si>
  <si>
    <t>doi.org/10.1177/0956797617723377</t>
  </si>
  <si>
    <t>doi.org/10.1177/0956797619882917</t>
  </si>
  <si>
    <t>doi.org/10/gfscgd</t>
  </si>
  <si>
    <t>doi.org/10/gd9pz2</t>
  </si>
  <si>
    <t>doi.org/10.1016/j.jesp.2018.01.005</t>
  </si>
  <si>
    <t>doi.org/10.1177/0956797619848351</t>
  </si>
  <si>
    <t>doi.org/10.1177/0956797617713798</t>
  </si>
  <si>
    <t>doi.org/10.1177/0956797619856844</t>
  </si>
  <si>
    <t>doi.org/10/gfskfp</t>
  </si>
  <si>
    <t>doi.org/10/gfp32b</t>
  </si>
  <si>
    <t>doi.org/10.1177/0956797617752641</t>
  </si>
  <si>
    <t>doi.org/10/gfpqf2</t>
  </si>
  <si>
    <t>doi.org/10.1177/0956797618760784</t>
  </si>
  <si>
    <t>doi.org/10.1016/j.jesp.2019.103840</t>
  </si>
  <si>
    <t>doi.org/10.1177/0956797618780658</t>
  </si>
  <si>
    <t>doi.org/10.1177/0956797618799301</t>
  </si>
  <si>
    <t>doi.org/10.1016/j.jesp.2019.103848</t>
  </si>
  <si>
    <t>doi.org/10/gdkx4c</t>
  </si>
  <si>
    <t>Journal of Environmental Psychology</t>
  </si>
  <si>
    <t>doi.org/10/gdn3m2</t>
  </si>
  <si>
    <t>doi.org/10.1016/j.jesp.2019.103887</t>
  </si>
  <si>
    <t>doi.org/10/ggb84t</t>
  </si>
  <si>
    <t>doi.org/10/gdffj5</t>
  </si>
  <si>
    <t>doi.org/10/gd4jcw</t>
  </si>
  <si>
    <t>doi.org/10.1016/j.jesp.2019.103883</t>
  </si>
  <si>
    <t>Memory</t>
  </si>
  <si>
    <t>doi.org/10/gdrbgm</t>
  </si>
  <si>
    <t>doi.org/10/gfpb79</t>
  </si>
  <si>
    <t>doi.org/10.1016/j.jesp.2017.05.005</t>
  </si>
  <si>
    <t>doi.org/10.1016/j.jesp.2018.10.002</t>
  </si>
  <si>
    <t>doi.org/10.1016/j.jesp.2017.09.001</t>
  </si>
  <si>
    <t>doi.org/10/gdvj7x</t>
  </si>
  <si>
    <t>doi.org/10/gfrkzs</t>
  </si>
  <si>
    <t>doi.org/10.1016/j.jesp.2019.103874</t>
  </si>
  <si>
    <t>doi.org/10.1016/j.jesp.2018.04.003</t>
  </si>
  <si>
    <t>doi.org/10.1177/0956797618772506</t>
  </si>
  <si>
    <t>doi.org/10.1177/0956797617720912</t>
  </si>
  <si>
    <t>doi.org/10.1016/j.jesp.2019.103873</t>
  </si>
  <si>
    <t>doi.org/10/gcs2ws</t>
  </si>
  <si>
    <t>doi.org/10.1016/j.jesp.2019.103890</t>
  </si>
  <si>
    <t>doi.org/10.1177/0956797619851731</t>
  </si>
  <si>
    <t>doi.org/10/gdhfqj</t>
  </si>
  <si>
    <t>doi.org/10/gdm877</t>
  </si>
  <si>
    <t>doi.org/10.1177/0956797619849894</t>
  </si>
  <si>
    <t>doi.org/10/ggb78f</t>
  </si>
  <si>
    <t>doi.org/10.1177/0956797619876260</t>
  </si>
  <si>
    <t>doi.org/10.1016/j.jesp.2018.11.006</t>
  </si>
  <si>
    <t>doi.org/10.1016/j.jesp.2019.02.007</t>
  </si>
  <si>
    <t>doi.org/10.1177/0956797619858969</t>
  </si>
  <si>
    <t>doi.org/10.1177/0956797617739368</t>
  </si>
  <si>
    <t>doi.org/10/gcs9vk</t>
  </si>
  <si>
    <t>doi.org/10.1016/j.jesp.2019.103876</t>
  </si>
  <si>
    <t>doi.org/10.1177/0956797617695099</t>
  </si>
  <si>
    <t>doi.org/10.1177/0956797618779041</t>
  </si>
  <si>
    <t>doi.org/10/gfs3xg</t>
  </si>
  <si>
    <t>doi.org/10.1016/j.jesp.2018.07.012</t>
  </si>
  <si>
    <t>doi.org/10.1177/0956797616650875</t>
  </si>
  <si>
    <t>doi.org/10.1016/j.jesp.2018.11.002</t>
  </si>
  <si>
    <t>doi.org/10.1177/0956797618813538</t>
  </si>
  <si>
    <t>doi.org/10.1177/0956797619839689</t>
  </si>
  <si>
    <t>Journal of Social Psychology</t>
  </si>
  <si>
    <t>Eyewitness identification in simultaneous and sequential lineups: an investigation of position effects using receiver operating characteristics</t>
  </si>
  <si>
    <t>https://doi.org/10.1080/09658211.2018.1464581</t>
  </si>
  <si>
    <t>Testing a potential alternative to traditional identification procedures: Reaction time-based concealed information test does not work for lineups with cooperative witnesses</t>
  </si>
  <si>
    <t>https://doi.org/10.1007/s00426-017-0948-5</t>
  </si>
  <si>
    <t>Biological Psychology</t>
  </si>
  <si>
    <t>https://doi.org/10.1016/j.biopsycho.2019.107735</t>
  </si>
  <si>
    <t>Extraversion and reward-processing: Consolidating evidence from an electroencephalographic index of reward-prediction-error</t>
  </si>
  <si>
    <t>A failure to replicate rapid syntactic adaptation in comprehension</t>
  </si>
  <si>
    <t>https://doi.org/10.3758/s13421-018-0808-6</t>
  </si>
  <si>
    <t>On EMDR: Measuring the working memory taxation of various types of eye (non-)movement conditions</t>
  </si>
  <si>
    <t>https://doi.org/10.1016/j.jbtep.2019.101494</t>
  </si>
  <si>
    <t>Social problem-solving and social adjustment in paediatric traumatic brain injury</t>
  </si>
  <si>
    <t>Brain Injury</t>
  </si>
  <si>
    <t>https://doi.org/10.3109/02699052.2015.1075140</t>
  </si>
  <si>
    <t>Healthy Through Presence or Absence, Nature or Science?: A Framework for Understanding Front-of-Package Food Claims</t>
  </si>
  <si>
    <t>Journal of Public Policy &amp; Marketing</t>
  </si>
  <si>
    <t>https://doi.org/10.1177/0743915618824332</t>
  </si>
  <si>
    <t>Resisting Temptation for the Good of the Group: Binding Moral Values and the Moralization of Self-Control</t>
  </si>
  <si>
    <t>https://doi.org/10.1037/pspp0000149</t>
  </si>
  <si>
    <t>Money as an existential anxiety buffer: Exposure to money prevents mortality reminders from leading to increased death thoughts</t>
  </si>
  <si>
    <t>https://doi.org/10.1016/j.jesp.2018.09.004</t>
  </si>
  <si>
    <t>The Impact of Mixed Emotions on Creativity in Negotiation: An Interpersonal Perspective</t>
  </si>
  <si>
    <t>https://doi.org/10.3389/fpsyg.2018.02660</t>
  </si>
  <si>
    <t>NControl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</si>
</sst>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0">
    <xf numFmtId="0" fontId="0" fillId="0" borderId="0" xfId="0"/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5" fillId="0" borderId="0" xfId="0" applyFont="1"/>
    <xf numFmtId="0" fontId="0" fillId="0" borderId="0" xfId="0" applyAlignment="1">
      <alignment horizontal="right"/>
    </xf>
    <xf numFmtId="14" fontId="0" fillId="0" borderId="0" xfId="0" applyNumberForma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6" fillId="0" borderId="0" xfId="1" applyFont="1" applyAlignment="1">
      <alignment horizontal="left"/>
    </xf>
    <xf numFmtId="14" fontId="0" fillId="0" borderId="0" xfId="0" applyNumberFormat="1" applyAlignment="1">
      <alignment horizontal="right"/>
    </xf>
    <xf numFmtId="164" fontId="5" fillId="0" borderId="0" xfId="0" applyNumberFormat="1" applyFont="1" applyAlignment="1">
      <alignment horizontal="right"/>
    </xf>
    <xf numFmtId="0" fontId="1" fillId="0" borderId="0" xfId="0" applyFont="1"/>
    <xf numFmtId="0" fontId="0" fillId="0" borderId="0" xfId="0" applyAlignment="1">
      <alignment horizontal="left"/>
    </xf>
    <xf numFmtId="0" fontId="7" fillId="0" borderId="0" xfId="0" applyFont="1"/>
    <xf numFmtId="0" fontId="8" fillId="0" borderId="0" xfId="0" applyFont="1"/>
    <xf numFmtId="164" fontId="5" fillId="0" borderId="0" xfId="0" applyNumberFormat="1" applyFont="1" applyAlignment="1">
      <alignment horizontal="right" vertical="center" wrapText="1"/>
    </xf>
    <xf numFmtId="0" fontId="6" fillId="0" borderId="0" xfId="1" applyFont="1" applyBorder="1" applyAlignment="1">
      <alignment horizontal="left"/>
    </xf>
    <xf numFmtId="0" fontId="6" fillId="0" borderId="0" xfId="1" applyFont="1" applyAlignment="1">
      <alignment horizontal="left" vertical="center"/>
    </xf>
    <xf numFmtId="0" fontId="5" fillId="0" borderId="0" xfId="0" applyFont="1" applyAlignment="1">
      <alignment horizontal="left" wrapText="1"/>
    </xf>
    <xf numFmtId="0" fontId="6" fillId="0" borderId="0" xfId="1" applyFont="1"/>
    <xf numFmtId="0" fontId="8" fillId="0" borderId="0" xfId="0" applyFont="1" applyAlignment="1">
      <alignment horizontal="left"/>
    </xf>
    <xf numFmtId="164" fontId="8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left"/>
    </xf>
    <xf numFmtId="0" fontId="3" fillId="0" borderId="0" xfId="1"/>
    <xf numFmtId="0" fontId="0" fillId="0" borderId="0" xfId="0" applyFont="1"/>
    <xf numFmtId="0" fontId="3" fillId="0" borderId="0" xfId="1" applyAlignment="1">
      <alignment horizontal="left"/>
    </xf>
    <xf numFmtId="0" fontId="0" fillId="0" borderId="0" xfId="0" applyFont="1" applyAlignment="1">
      <alignment horizontal="right"/>
    </xf>
    <xf numFmtId="14" fontId="5" fillId="0" borderId="0" xfId="0" applyNumberFormat="1" applyFont="1" applyAlignment="1">
      <alignment horizontal="left"/>
    </xf>
    <xf numFmtId="0" fontId="3" fillId="0" borderId="0" xfId="1" applyFont="1" applyAlignment="1">
      <alignment horizontal="left"/>
    </xf>
    <xf numFmtId="14" fontId="0" fillId="0" borderId="0" xfId="0" applyNumberFormat="1" applyFont="1" applyAlignment="1">
      <alignment horizontal="right"/>
    </xf>
    <xf numFmtId="0" fontId="3" fillId="0" borderId="0" xfId="1" applyAlignment="1">
      <alignment horizontal="left" vertical="center"/>
    </xf>
    <xf numFmtId="0" fontId="6" fillId="0" borderId="0" xfId="1" applyFont="1" applyFill="1" applyAlignment="1">
      <alignment horizontal="left" vertical="center"/>
    </xf>
    <xf numFmtId="0" fontId="0" fillId="0" borderId="0" xfId="0" applyFill="1"/>
    <xf numFmtId="0" fontId="5" fillId="0" borderId="0" xfId="0" applyFont="1" applyFill="1"/>
    <xf numFmtId="0" fontId="0" fillId="0" borderId="0" xfId="0" applyFill="1" applyAlignment="1">
      <alignment horizontal="right"/>
    </xf>
    <xf numFmtId="14" fontId="0" fillId="0" borderId="0" xfId="0" applyNumberFormat="1" applyFill="1"/>
    <xf numFmtId="0" fontId="5" fillId="0" borderId="0" xfId="0" applyFont="1" applyFill="1" applyAlignment="1">
      <alignment horizontal="left"/>
    </xf>
    <xf numFmtId="164" fontId="5" fillId="0" borderId="0" xfId="0" applyNumberFormat="1" applyFont="1" applyFill="1" applyAlignment="1">
      <alignment horizontal="right"/>
    </xf>
    <xf numFmtId="0" fontId="3" fillId="0" borderId="0" xfId="1" applyFill="1"/>
    <xf numFmtId="14" fontId="0" fillId="0" borderId="0" xfId="0" applyNumberFormat="1" applyFill="1" applyAlignment="1">
      <alignment horizontal="right"/>
    </xf>
    <xf numFmtId="0" fontId="3" fillId="0" borderId="0" xfId="1" applyFill="1" applyAlignment="1">
      <alignment horizontal="left"/>
    </xf>
    <xf numFmtId="0" fontId="5" fillId="0" borderId="0" xfId="0" applyFont="1" applyFill="1" applyAlignment="1">
      <alignment horizontal="right"/>
    </xf>
    <xf numFmtId="0" fontId="3" fillId="0" borderId="0" xfId="1" applyFill="1" applyBorder="1" applyAlignment="1">
      <alignment horizontal="left"/>
    </xf>
    <xf numFmtId="0" fontId="8" fillId="0" borderId="0" xfId="0" applyFont="1" applyFill="1" applyAlignment="1">
      <alignment horizontal="right"/>
    </xf>
    <xf numFmtId="0" fontId="7" fillId="0" borderId="0" xfId="0" applyFont="1" applyFill="1"/>
    <xf numFmtId="0" fontId="2" fillId="0" borderId="0" xfId="0" applyNumberFormat="1" applyFont="1"/>
    <xf numFmtId="0" fontId="0" fillId="0" borderId="0" xfId="0" applyNumberFormat="1"/>
    <xf numFmtId="0" fontId="0" fillId="0" borderId="0" xfId="0" applyNumberFormat="1" applyFill="1"/>
    <xf numFmtId="0" fontId="0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direct.mit.edu/jocn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129</xdr:row>
      <xdr:rowOff>0</xdr:rowOff>
    </xdr:from>
    <xdr:to>
      <xdr:col>19</xdr:col>
      <xdr:colOff>304800</xdr:colOff>
      <xdr:row>130</xdr:row>
      <xdr:rowOff>114300</xdr:rowOff>
    </xdr:to>
    <xdr:sp macro="" textlink="">
      <xdr:nvSpPr>
        <xdr:cNvPr id="2" name="AutoShape 1" descr="Journal of Cognitive Neuroscienc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36532C-7999-4708-AA17-61E8D61BE5F6}"/>
            </a:ext>
          </a:extLst>
        </xdr:cNvPr>
        <xdr:cNvSpPr>
          <a:spLocks noChangeAspect="1" noChangeArrowheads="1"/>
        </xdr:cNvSpPr>
      </xdr:nvSpPr>
      <xdr:spPr bwMode="auto">
        <a:xfrm>
          <a:off x="10477500" y="2667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19</xdr:col>
      <xdr:colOff>0</xdr:colOff>
      <xdr:row>128</xdr:row>
      <xdr:rowOff>0</xdr:rowOff>
    </xdr:from>
    <xdr:ext cx="304800" cy="304800"/>
    <xdr:sp macro="" textlink="">
      <xdr:nvSpPr>
        <xdr:cNvPr id="3" name="AutoShape 1" descr="Journal of Cognitive Neuroscienc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F1A2BA1-77DC-45A2-AF38-BF03736E9780}"/>
            </a:ext>
          </a:extLst>
        </xdr:cNvPr>
        <xdr:cNvSpPr>
          <a:spLocks noChangeAspect="1" noChangeArrowheads="1"/>
        </xdr:cNvSpPr>
      </xdr:nvSpPr>
      <xdr:spPr bwMode="auto">
        <a:xfrm>
          <a:off x="10477500" y="2647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129</xdr:row>
      <xdr:rowOff>0</xdr:rowOff>
    </xdr:from>
    <xdr:ext cx="304800" cy="304800"/>
    <xdr:sp macro="" textlink="">
      <xdr:nvSpPr>
        <xdr:cNvPr id="4" name="AutoShape 1" descr="Journal of Cognitive Neuroscienc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5E9295-8125-431B-A647-253B9668937F}"/>
            </a:ext>
          </a:extLst>
        </xdr:cNvPr>
        <xdr:cNvSpPr>
          <a:spLocks noChangeAspect="1" noChangeArrowheads="1"/>
        </xdr:cNvSpPr>
      </xdr:nvSpPr>
      <xdr:spPr bwMode="auto">
        <a:xfrm>
          <a:off x="26174700" y="2667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128</xdr:row>
      <xdr:rowOff>0</xdr:rowOff>
    </xdr:from>
    <xdr:ext cx="304800" cy="304800"/>
    <xdr:sp macro="" textlink="">
      <xdr:nvSpPr>
        <xdr:cNvPr id="5" name="AutoShape 1" descr="Journal of Cognitive Neuroscienc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770D4B-A715-45BE-9F3A-8A5507F8609C}"/>
            </a:ext>
          </a:extLst>
        </xdr:cNvPr>
        <xdr:cNvSpPr>
          <a:spLocks noChangeAspect="1" noChangeArrowheads="1"/>
        </xdr:cNvSpPr>
      </xdr:nvSpPr>
      <xdr:spPr bwMode="auto">
        <a:xfrm>
          <a:off x="26174700" y="2647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i.org/10.3389/fpsyg.2019.01085" TargetMode="External"/><Relationship Id="rId21" Type="http://schemas.openxmlformats.org/officeDocument/2006/relationships/hyperlink" Target="https://doi.org/10.1017/sjp.2018.43" TargetMode="External"/><Relationship Id="rId42" Type="http://schemas.openxmlformats.org/officeDocument/2006/relationships/hyperlink" Target="https://doi.org/10.1016/j.yhbeh.2017.11.006" TargetMode="External"/><Relationship Id="rId63" Type="http://schemas.openxmlformats.org/officeDocument/2006/relationships/hyperlink" Target="https://doi.org/10.1007/s10551-018-3811-8" TargetMode="External"/><Relationship Id="rId84" Type="http://schemas.openxmlformats.org/officeDocument/2006/relationships/hyperlink" Target="https://doi.org/10.1111/desc.12611" TargetMode="External"/><Relationship Id="rId138" Type="http://schemas.openxmlformats.org/officeDocument/2006/relationships/hyperlink" Target="https://psycnet.apa.org/doi/10.1037/xge0000482" TargetMode="External"/><Relationship Id="rId159" Type="http://schemas.openxmlformats.org/officeDocument/2006/relationships/hyperlink" Target="https://doi.org/10.1111/apps.12109" TargetMode="External"/><Relationship Id="rId170" Type="http://schemas.openxmlformats.org/officeDocument/2006/relationships/hyperlink" Target="https://doi.org/10.3389/fpsyg.2019.00684" TargetMode="External"/><Relationship Id="rId191" Type="http://schemas.openxmlformats.org/officeDocument/2006/relationships/hyperlink" Target="https://doi.org/10.1016/j.jesp.2018.09.004" TargetMode="External"/><Relationship Id="rId107" Type="http://schemas.openxmlformats.org/officeDocument/2006/relationships/hyperlink" Target="https://doi.org/10.1016/j.ijpsycho.2019.10.003" TargetMode="External"/><Relationship Id="rId11" Type="http://schemas.openxmlformats.org/officeDocument/2006/relationships/hyperlink" Target="https://doi.org/10.1002/ejsp.2305" TargetMode="External"/><Relationship Id="rId32" Type="http://schemas.openxmlformats.org/officeDocument/2006/relationships/hyperlink" Target="https://doi.org/10.5465/amj.2015.1061" TargetMode="External"/><Relationship Id="rId53" Type="http://schemas.openxmlformats.org/officeDocument/2006/relationships/hyperlink" Target="https://doi.org/10.1007/s11031-018-9700-8" TargetMode="External"/><Relationship Id="rId74" Type="http://schemas.openxmlformats.org/officeDocument/2006/relationships/hyperlink" Target="https://doi.org/10.1007/s11409-017-9172-3" TargetMode="External"/><Relationship Id="rId128" Type="http://schemas.openxmlformats.org/officeDocument/2006/relationships/hyperlink" Target="https://doi.org/10.1016/j.tele.2019.101262" TargetMode="External"/><Relationship Id="rId149" Type="http://schemas.openxmlformats.org/officeDocument/2006/relationships/hyperlink" Target="http://dx.doi.org/10.1037/pspa0000080" TargetMode="External"/><Relationship Id="rId5" Type="http://schemas.openxmlformats.org/officeDocument/2006/relationships/hyperlink" Target="https://doi.org/10.1017/edp.2017.6" TargetMode="External"/><Relationship Id="rId95" Type="http://schemas.openxmlformats.org/officeDocument/2006/relationships/hyperlink" Target="https://doi.org/10.1016/j.beth.2019.07.001" TargetMode="External"/><Relationship Id="rId160" Type="http://schemas.openxmlformats.org/officeDocument/2006/relationships/hyperlink" Target="https://doi-org.tilburguniversity.idm.oclc.org/10.1016/j.cognition.2017.11.009" TargetMode="External"/><Relationship Id="rId181" Type="http://schemas.openxmlformats.org/officeDocument/2006/relationships/hyperlink" Target="https://doi.org/10.1016/j.cognition.2018.02.003" TargetMode="External"/><Relationship Id="rId22" Type="http://schemas.openxmlformats.org/officeDocument/2006/relationships/hyperlink" Target="https://doi.org/10.1080/10400419.2017.1303308" TargetMode="External"/><Relationship Id="rId43" Type="http://schemas.openxmlformats.org/officeDocument/2006/relationships/hyperlink" Target="http://dx.doi.org/10.1037/cep0000177" TargetMode="External"/><Relationship Id="rId64" Type="http://schemas.openxmlformats.org/officeDocument/2006/relationships/hyperlink" Target="https://doi.org/10.5334/pb.449" TargetMode="External"/><Relationship Id="rId118" Type="http://schemas.openxmlformats.org/officeDocument/2006/relationships/hyperlink" Target="https://doi.org/10.1016/j.jarmac.2018.07.001" TargetMode="External"/><Relationship Id="rId139" Type="http://schemas.openxmlformats.org/officeDocument/2006/relationships/hyperlink" Target="https://psycnet.apa.org/doi/10.1007/s10648-016-9396-9" TargetMode="External"/><Relationship Id="rId85" Type="http://schemas.openxmlformats.org/officeDocument/2006/relationships/hyperlink" Target="https://doi.org/10.3758/s13415-018-00672-1" TargetMode="External"/><Relationship Id="rId150" Type="http://schemas.openxmlformats.org/officeDocument/2006/relationships/hyperlink" Target="https://doi.org/10.1080/13546783.2019.1691053" TargetMode="External"/><Relationship Id="rId171" Type="http://schemas.openxmlformats.org/officeDocument/2006/relationships/hyperlink" Target="https://doi.org/10.1016/j.paid.2019.04.030" TargetMode="External"/><Relationship Id="rId192" Type="http://schemas.openxmlformats.org/officeDocument/2006/relationships/hyperlink" Target="https://doi.org/10.3389/fpsyg.2019.00962" TargetMode="External"/><Relationship Id="rId12" Type="http://schemas.openxmlformats.org/officeDocument/2006/relationships/hyperlink" Target="https://doi.org/10.1002/acp.3446" TargetMode="External"/><Relationship Id="rId33" Type="http://schemas.openxmlformats.org/officeDocument/2006/relationships/hyperlink" Target="http://dx.doi.org/10.2139/ssrn.2965067" TargetMode="External"/><Relationship Id="rId108" Type="http://schemas.openxmlformats.org/officeDocument/2006/relationships/hyperlink" Target="https://doi.org/10.1162/jocn_a_01084" TargetMode="External"/><Relationship Id="rId129" Type="http://schemas.openxmlformats.org/officeDocument/2006/relationships/hyperlink" Target="https://doi.org/10.1016/j.jesp.2018.03.005" TargetMode="External"/><Relationship Id="rId54" Type="http://schemas.openxmlformats.org/officeDocument/2006/relationships/hyperlink" Target="https://doi.org/10.1525/collabra.181" TargetMode="External"/><Relationship Id="rId75" Type="http://schemas.openxmlformats.org/officeDocument/2006/relationships/hyperlink" Target="https://doi-org.tilburguniversity.idm.oclc.org/10.1016/j.lindif.2018.03.006" TargetMode="External"/><Relationship Id="rId96" Type="http://schemas.openxmlformats.org/officeDocument/2006/relationships/hyperlink" Target="https://doi.org/10.1037/xge0000479" TargetMode="External"/><Relationship Id="rId140" Type="http://schemas.openxmlformats.org/officeDocument/2006/relationships/hyperlink" Target="https://doi.org/10.1371/journal.pbio.3000239" TargetMode="External"/><Relationship Id="rId161" Type="http://schemas.openxmlformats.org/officeDocument/2006/relationships/hyperlink" Target="https://doi.org/10.1080/2153599X.2016.1141792" TargetMode="External"/><Relationship Id="rId182" Type="http://schemas.openxmlformats.org/officeDocument/2006/relationships/hyperlink" Target="https://doi.org/10.1073/pnas.1524187113" TargetMode="External"/><Relationship Id="rId6" Type="http://schemas.openxmlformats.org/officeDocument/2006/relationships/hyperlink" Target="https://doi.org/10.1080/02699931.2018.1545633" TargetMode="External"/><Relationship Id="rId23" Type="http://schemas.openxmlformats.org/officeDocument/2006/relationships/hyperlink" Target="https://doi.org/10.1002/mar.21193" TargetMode="External"/><Relationship Id="rId119" Type="http://schemas.openxmlformats.org/officeDocument/2006/relationships/hyperlink" Target="https://doi.org/10.1080/13546783.2017.1396253" TargetMode="External"/><Relationship Id="rId44" Type="http://schemas.openxmlformats.org/officeDocument/2006/relationships/hyperlink" Target="https://doi.org/10.1016/j.neuropsychologia.2016.06.026" TargetMode="External"/><Relationship Id="rId65" Type="http://schemas.openxmlformats.org/officeDocument/2006/relationships/hyperlink" Target="https://doi.org/10.1002/ejsp.2588" TargetMode="External"/><Relationship Id="rId86" Type="http://schemas.openxmlformats.org/officeDocument/2006/relationships/hyperlink" Target="https://doi.org/10.5465/amj.2014.0839" TargetMode="External"/><Relationship Id="rId130" Type="http://schemas.openxmlformats.org/officeDocument/2006/relationships/hyperlink" Target="https://doi.org/10.1111/beer.12224" TargetMode="External"/><Relationship Id="rId151" Type="http://schemas.openxmlformats.org/officeDocument/2006/relationships/hyperlink" Target="http://dx.doi.org/10.1037/pspa0000162" TargetMode="External"/><Relationship Id="rId172" Type="http://schemas.openxmlformats.org/officeDocument/2006/relationships/hyperlink" Target="https://doi.org/10.1093/ijpor/edx013" TargetMode="External"/><Relationship Id="rId193" Type="http://schemas.openxmlformats.org/officeDocument/2006/relationships/hyperlink" Target="https://doi.org/10.3389/fpsyg.2018.02660" TargetMode="External"/><Relationship Id="rId13" Type="http://schemas.openxmlformats.org/officeDocument/2006/relationships/hyperlink" Target="https://doi.org/10.1002/ejsp.2291" TargetMode="External"/><Relationship Id="rId109" Type="http://schemas.openxmlformats.org/officeDocument/2006/relationships/hyperlink" Target="https://doi.org/10.1016/j.cognition.2016.12.016" TargetMode="External"/><Relationship Id="rId34" Type="http://schemas.openxmlformats.org/officeDocument/2006/relationships/hyperlink" Target="https://doi.org/10.1007/s11031-017-9654-2" TargetMode="External"/><Relationship Id="rId50" Type="http://schemas.openxmlformats.org/officeDocument/2006/relationships/hyperlink" Target="https://doi.org/10.1002/ab.21863" TargetMode="External"/><Relationship Id="rId55" Type="http://schemas.openxmlformats.org/officeDocument/2006/relationships/hyperlink" Target="https://doi.org/10.1037/pspp0000074" TargetMode="External"/><Relationship Id="rId76" Type="http://schemas.openxmlformats.org/officeDocument/2006/relationships/hyperlink" Target="https://doi.org/10.7554/eLife.45591" TargetMode="External"/><Relationship Id="rId97" Type="http://schemas.openxmlformats.org/officeDocument/2006/relationships/hyperlink" Target="https://doi.org/10.1525/collabra.165" TargetMode="External"/><Relationship Id="rId104" Type="http://schemas.openxmlformats.org/officeDocument/2006/relationships/hyperlink" Target="https://doi.org/10.1027/1864-9335/a000352" TargetMode="External"/><Relationship Id="rId120" Type="http://schemas.openxmlformats.org/officeDocument/2006/relationships/hyperlink" Target="https://doi.org/10.1080/02699931.2019.1700100" TargetMode="External"/><Relationship Id="rId125" Type="http://schemas.openxmlformats.org/officeDocument/2006/relationships/hyperlink" Target="https://doi.org/10.1007/s12144-016-9529-9" TargetMode="External"/><Relationship Id="rId141" Type="http://schemas.openxmlformats.org/officeDocument/2006/relationships/hyperlink" Target="https://doi-org.tilburguniversity.idm.oclc.org/10.1016/j.bodyim.2016.10.009" TargetMode="External"/><Relationship Id="rId146" Type="http://schemas.openxmlformats.org/officeDocument/2006/relationships/hyperlink" Target="https://doi-org.tilburguniversity.idm.oclc.org/10.1016/j.jesp.2019.103853" TargetMode="External"/><Relationship Id="rId167" Type="http://schemas.openxmlformats.org/officeDocument/2006/relationships/hyperlink" Target="https://doi.org/10.1371/journal.pone.0221652" TargetMode="External"/><Relationship Id="rId188" Type="http://schemas.openxmlformats.org/officeDocument/2006/relationships/hyperlink" Target="https://doi.org/10.3109/02699052.2015.1075140" TargetMode="External"/><Relationship Id="rId7" Type="http://schemas.openxmlformats.org/officeDocument/2006/relationships/hyperlink" Target="https://doi.org/10.1016/j.joep.2017.02.012" TargetMode="External"/><Relationship Id="rId71" Type="http://schemas.openxmlformats.org/officeDocument/2006/relationships/hyperlink" Target="https://doi.org/10.3758/s13414-018-1486-y" TargetMode="External"/><Relationship Id="rId92" Type="http://schemas.openxmlformats.org/officeDocument/2006/relationships/hyperlink" Target="https://doi.org/10.5964/jspp.v5i2.748" TargetMode="External"/><Relationship Id="rId162" Type="http://schemas.openxmlformats.org/officeDocument/2006/relationships/hyperlink" Target="https://doi.org/10.1002/bdm.2104" TargetMode="External"/><Relationship Id="rId183" Type="http://schemas.openxmlformats.org/officeDocument/2006/relationships/hyperlink" Target="https://doi.org/10.1016/j.jcom.2019.100092" TargetMode="External"/><Relationship Id="rId2" Type="http://schemas.openxmlformats.org/officeDocument/2006/relationships/hyperlink" Target="https://doi.org/10.1002/ejsp.2557" TargetMode="External"/><Relationship Id="rId29" Type="http://schemas.openxmlformats.org/officeDocument/2006/relationships/hyperlink" Target="https://doi.org/10.1007/s10899-017-9739-6" TargetMode="External"/><Relationship Id="rId24" Type="http://schemas.openxmlformats.org/officeDocument/2006/relationships/hyperlink" Target="https://doi.org/10.1111/apps.12145" TargetMode="External"/><Relationship Id="rId40" Type="http://schemas.openxmlformats.org/officeDocument/2006/relationships/hyperlink" Target="https://doi.org/10.1371/journal.pone.0206884" TargetMode="External"/><Relationship Id="rId45" Type="http://schemas.openxmlformats.org/officeDocument/2006/relationships/hyperlink" Target="https://doi.org/10.1002/per.2118" TargetMode="External"/><Relationship Id="rId66" Type="http://schemas.openxmlformats.org/officeDocument/2006/relationships/hyperlink" Target="https://doi-org.tilburguniversity.idm.oclc.org/10.1016/j.cogdev.2018.01.001" TargetMode="External"/><Relationship Id="rId87" Type="http://schemas.openxmlformats.org/officeDocument/2006/relationships/hyperlink" Target="https://doi.org/10.1111/jopy.12428" TargetMode="External"/><Relationship Id="rId110" Type="http://schemas.openxmlformats.org/officeDocument/2006/relationships/hyperlink" Target="https://doi.apa.org/doi/10.1037/xlm0000352" TargetMode="External"/><Relationship Id="rId115" Type="http://schemas.openxmlformats.org/officeDocument/2006/relationships/hyperlink" Target="https://doi.org/10.3758/s13423-017-1242-7" TargetMode="External"/><Relationship Id="rId131" Type="http://schemas.openxmlformats.org/officeDocument/2006/relationships/hyperlink" Target="https://doi.org/10.1080/02684527.2018.1534640" TargetMode="External"/><Relationship Id="rId136" Type="http://schemas.openxmlformats.org/officeDocument/2006/relationships/hyperlink" Target="https://doi-org.tilburguniversity.idm.oclc.org/10.1016/j.jretai.2018.07.002" TargetMode="External"/><Relationship Id="rId157" Type="http://schemas.openxmlformats.org/officeDocument/2006/relationships/hyperlink" Target="https://doi.org/10.1521/soco.2019.37.5.443" TargetMode="External"/><Relationship Id="rId178" Type="http://schemas.openxmlformats.org/officeDocument/2006/relationships/hyperlink" Target="https://doi.org/10.1371/journal.pone.0216329" TargetMode="External"/><Relationship Id="rId61" Type="http://schemas.openxmlformats.org/officeDocument/2006/relationships/hyperlink" Target="https://doi.org/10.1017/S0007123416000326" TargetMode="External"/><Relationship Id="rId82" Type="http://schemas.openxmlformats.org/officeDocument/2006/relationships/hyperlink" Target="https://doi.org/10.1371/journal.pone.0202288" TargetMode="External"/><Relationship Id="rId152" Type="http://schemas.openxmlformats.org/officeDocument/2006/relationships/hyperlink" Target="https://doi.org/10.1038/s41598-018-25811-z" TargetMode="External"/><Relationship Id="rId173" Type="http://schemas.openxmlformats.org/officeDocument/2006/relationships/hyperlink" Target="https://doi.org/10.1080/15298868.2017.1419504" TargetMode="External"/><Relationship Id="rId194" Type="http://schemas.openxmlformats.org/officeDocument/2006/relationships/printerSettings" Target="../printerSettings/printerSettings1.bin"/><Relationship Id="rId19" Type="http://schemas.openxmlformats.org/officeDocument/2006/relationships/hyperlink" Target="https://doi.org/10.1371/journal.pone.0202655" TargetMode="External"/><Relationship Id="rId14" Type="http://schemas.openxmlformats.org/officeDocument/2006/relationships/hyperlink" Target="https://doi.org/10.1111/cdev.13059" TargetMode="External"/><Relationship Id="rId30" Type="http://schemas.openxmlformats.org/officeDocument/2006/relationships/hyperlink" Target="https://doi.org/10.1037/xge0000548" TargetMode="External"/><Relationship Id="rId35" Type="http://schemas.openxmlformats.org/officeDocument/2006/relationships/hyperlink" Target="https://doi.org/10.3390/admsci8040082" TargetMode="External"/><Relationship Id="rId56" Type="http://schemas.openxmlformats.org/officeDocument/2006/relationships/hyperlink" Target="https://psycnet.apa.org/doi/10.1037/pspa0000151" TargetMode="External"/><Relationship Id="rId77" Type="http://schemas.openxmlformats.org/officeDocument/2006/relationships/hyperlink" Target="https://doi.org/10.1080/08870446.2019.1603384" TargetMode="External"/><Relationship Id="rId100" Type="http://schemas.openxmlformats.org/officeDocument/2006/relationships/hyperlink" Target="https://doi.org/10.1007/s00421-017-3652-7" TargetMode="External"/><Relationship Id="rId105" Type="http://schemas.openxmlformats.org/officeDocument/2006/relationships/hyperlink" Target="https://doi.org/10.1177%2F1948550618780728" TargetMode="External"/><Relationship Id="rId126" Type="http://schemas.openxmlformats.org/officeDocument/2006/relationships/hyperlink" Target="https://doi.org/10.1016/j.actpsy.2019.01.010" TargetMode="External"/><Relationship Id="rId147" Type="http://schemas.openxmlformats.org/officeDocument/2006/relationships/hyperlink" Target="https://psycnet.apa.org/doi/10.1037/pspi0000110" TargetMode="External"/><Relationship Id="rId168" Type="http://schemas.openxmlformats.org/officeDocument/2006/relationships/hyperlink" Target="https://psycnet.apa.org/record/2019-51304-007" TargetMode="External"/><Relationship Id="rId8" Type="http://schemas.openxmlformats.org/officeDocument/2006/relationships/hyperlink" Target="https://doi.org/10.1093/cercor/bhy345" TargetMode="External"/><Relationship Id="rId51" Type="http://schemas.openxmlformats.org/officeDocument/2006/relationships/hyperlink" Target="https://psycnet.apa.org/doi/10.1037/xge0000600" TargetMode="External"/><Relationship Id="rId72" Type="http://schemas.openxmlformats.org/officeDocument/2006/relationships/hyperlink" Target="https://doi-org.tilburguniversity.idm.oclc.org/10.1016/j.actpsy.2018.04.007" TargetMode="External"/><Relationship Id="rId93" Type="http://schemas.openxmlformats.org/officeDocument/2006/relationships/hyperlink" Target="https://doi.org/10.1016/j.jrp.2019.103856" TargetMode="External"/><Relationship Id="rId98" Type="http://schemas.openxmlformats.org/officeDocument/2006/relationships/hyperlink" Target="https://doi.org/10.1002/bdm.2048" TargetMode="External"/><Relationship Id="rId121" Type="http://schemas.openxmlformats.org/officeDocument/2006/relationships/hyperlink" Target="https://doi.apa.org/doi/10.1037/pag0000161" TargetMode="External"/><Relationship Id="rId142" Type="http://schemas.openxmlformats.org/officeDocument/2006/relationships/hyperlink" Target="https://doi.org/10.1111/beer.12251" TargetMode="External"/><Relationship Id="rId163" Type="http://schemas.openxmlformats.org/officeDocument/2006/relationships/hyperlink" Target="https://doi.org/10.1007/s11211-018-0317-6" TargetMode="External"/><Relationship Id="rId184" Type="http://schemas.openxmlformats.org/officeDocument/2006/relationships/hyperlink" Target="https://doi.org/10.1080/09658211.2018.1464581" TargetMode="External"/><Relationship Id="rId189" Type="http://schemas.openxmlformats.org/officeDocument/2006/relationships/hyperlink" Target="https://doi.org/10.1177/0743915618824332" TargetMode="External"/><Relationship Id="rId3" Type="http://schemas.openxmlformats.org/officeDocument/2006/relationships/hyperlink" Target="https://doi.org/10.1080/0267257X.2018.1556225" TargetMode="External"/><Relationship Id="rId25" Type="http://schemas.openxmlformats.org/officeDocument/2006/relationships/hyperlink" Target="https://doi.org/10.1007/s13178-017-0290-0" TargetMode="External"/><Relationship Id="rId46" Type="http://schemas.openxmlformats.org/officeDocument/2006/relationships/hyperlink" Target="https://doi.org/10.1371/journal.pone.0201361" TargetMode="External"/><Relationship Id="rId67" Type="http://schemas.openxmlformats.org/officeDocument/2006/relationships/hyperlink" Target="https://doi-org.tilburguniversity.idm.oclc.org/10.1016/j.concog.2018.11.006" TargetMode="External"/><Relationship Id="rId116" Type="http://schemas.openxmlformats.org/officeDocument/2006/relationships/hyperlink" Target="https://doi.org/10.3389/fnins.2019.01286" TargetMode="External"/><Relationship Id="rId137" Type="http://schemas.openxmlformats.org/officeDocument/2006/relationships/hyperlink" Target="https://doi.apa.org/doi/10.1037/pspa0000168" TargetMode="External"/><Relationship Id="rId158" Type="http://schemas.openxmlformats.org/officeDocument/2006/relationships/hyperlink" Target="https://doi.org/10.1002/jts5.37" TargetMode="External"/><Relationship Id="rId20" Type="http://schemas.openxmlformats.org/officeDocument/2006/relationships/hyperlink" Target="https://doi.org/10.1016/j.jbtep.2018.01.005" TargetMode="External"/><Relationship Id="rId41" Type="http://schemas.openxmlformats.org/officeDocument/2006/relationships/hyperlink" Target="https://doi.org/10.1016/j.chb.2018.03.049" TargetMode="External"/><Relationship Id="rId62" Type="http://schemas.openxmlformats.org/officeDocument/2006/relationships/hyperlink" Target="https://doi.org/10.1016/j.leaqua.2018.01.002" TargetMode="External"/><Relationship Id="rId83" Type="http://schemas.openxmlformats.org/officeDocument/2006/relationships/hyperlink" Target="https://doi.apa.org/doi/10.1037/lhb0000181" TargetMode="External"/><Relationship Id="rId88" Type="http://schemas.openxmlformats.org/officeDocument/2006/relationships/hyperlink" Target="https://doi.org/10.1027/1864-9335/a000386" TargetMode="External"/><Relationship Id="rId111" Type="http://schemas.openxmlformats.org/officeDocument/2006/relationships/hyperlink" Target="https://doi.org/10.3389/fpsyg.2017.02134" TargetMode="External"/><Relationship Id="rId132" Type="http://schemas.openxmlformats.org/officeDocument/2006/relationships/hyperlink" Target="https://doi.org/10.1177%2F0956797617741894" TargetMode="External"/><Relationship Id="rId153" Type="http://schemas.openxmlformats.org/officeDocument/2006/relationships/hyperlink" Target="https://doi.org/10.1108/JRIM-05-2018-0065" TargetMode="External"/><Relationship Id="rId174" Type="http://schemas.openxmlformats.org/officeDocument/2006/relationships/hyperlink" Target="https://doi.org/10.1017/S0142716419000158" TargetMode="External"/><Relationship Id="rId179" Type="http://schemas.openxmlformats.org/officeDocument/2006/relationships/hyperlink" Target="https://doi.org/10.1111/bjso.12198" TargetMode="External"/><Relationship Id="rId195" Type="http://schemas.openxmlformats.org/officeDocument/2006/relationships/drawing" Target="../drawings/drawing1.xml"/><Relationship Id="rId190" Type="http://schemas.openxmlformats.org/officeDocument/2006/relationships/hyperlink" Target="https://doi.org/10.1037/pspp0000149" TargetMode="External"/><Relationship Id="rId15" Type="http://schemas.openxmlformats.org/officeDocument/2006/relationships/hyperlink" Target="https://doi.org/10.1037/xge0000444" TargetMode="External"/><Relationship Id="rId36" Type="http://schemas.openxmlformats.org/officeDocument/2006/relationships/hyperlink" Target="https://doi.org/10.1016/j.jbtep.2019.101494" TargetMode="External"/><Relationship Id="rId57" Type="http://schemas.openxmlformats.org/officeDocument/2006/relationships/hyperlink" Target="https://doi.org/10.1007/s10869-018-9597-y" TargetMode="External"/><Relationship Id="rId106" Type="http://schemas.openxmlformats.org/officeDocument/2006/relationships/hyperlink" Target="https://doi.org/10.7554/eLife.45160" TargetMode="External"/><Relationship Id="rId127" Type="http://schemas.openxmlformats.org/officeDocument/2006/relationships/hyperlink" Target="https://doi.org/10.1016/j.obhdp.2018.08.007" TargetMode="External"/><Relationship Id="rId10" Type="http://schemas.openxmlformats.org/officeDocument/2006/relationships/hyperlink" Target="https://doi.org/10.1016/j.brainres.2019.146308" TargetMode="External"/><Relationship Id="rId31" Type="http://schemas.openxmlformats.org/officeDocument/2006/relationships/hyperlink" Target="https://doi.org/10.1111/jasp.12566" TargetMode="External"/><Relationship Id="rId52" Type="http://schemas.openxmlformats.org/officeDocument/2006/relationships/hyperlink" Target="https://doi.org/10.3389/fpsyg.2019.01068" TargetMode="External"/><Relationship Id="rId73" Type="http://schemas.openxmlformats.org/officeDocument/2006/relationships/hyperlink" Target="https://doi.org/10.1177%2F1747021818769259" TargetMode="External"/><Relationship Id="rId78" Type="http://schemas.openxmlformats.org/officeDocument/2006/relationships/hyperlink" Target="https://doi.org/10.1080/02699931.2018.1549022" TargetMode="External"/><Relationship Id="rId94" Type="http://schemas.openxmlformats.org/officeDocument/2006/relationships/hyperlink" Target="https://doi.org/10.1177%2F1948550617722199" TargetMode="External"/><Relationship Id="rId99" Type="http://schemas.openxmlformats.org/officeDocument/2006/relationships/hyperlink" Target="https://doi.apa.org/doi/10.1037/pspi0000169" TargetMode="External"/><Relationship Id="rId101" Type="http://schemas.openxmlformats.org/officeDocument/2006/relationships/hyperlink" Target="http://dx.doi.org/10.1037/dev0000580" TargetMode="External"/><Relationship Id="rId122" Type="http://schemas.openxmlformats.org/officeDocument/2006/relationships/hyperlink" Target="https://doi.org/10.1111/bjdp.12297" TargetMode="External"/><Relationship Id="rId143" Type="http://schemas.openxmlformats.org/officeDocument/2006/relationships/hyperlink" Target="https://doi-org.tilburguniversity.idm.oclc.org/10.1016/j.obhdp.2018.07.001" TargetMode="External"/><Relationship Id="rId148" Type="http://schemas.openxmlformats.org/officeDocument/2006/relationships/hyperlink" Target="https://doi.org/10.1007/s10902-017-9931-5" TargetMode="External"/><Relationship Id="rId164" Type="http://schemas.openxmlformats.org/officeDocument/2006/relationships/hyperlink" Target="https://doi.org/10.1080/10508619.2016.1151117" TargetMode="External"/><Relationship Id="rId169" Type="http://schemas.openxmlformats.org/officeDocument/2006/relationships/hyperlink" Target="https://doi.org/10.1177%2F0361684316674721" TargetMode="External"/><Relationship Id="rId185" Type="http://schemas.openxmlformats.org/officeDocument/2006/relationships/hyperlink" Target="https://doi.org/10.1007/s00426-017-0948-5" TargetMode="External"/><Relationship Id="rId4" Type="http://schemas.openxmlformats.org/officeDocument/2006/relationships/hyperlink" Target="https://doi.org/10.3758/s13421-018-0824-6" TargetMode="External"/><Relationship Id="rId9" Type="http://schemas.openxmlformats.org/officeDocument/2006/relationships/hyperlink" Target="https://doi.org/10.3389/fpsyg.2019.00962" TargetMode="External"/><Relationship Id="rId180" Type="http://schemas.openxmlformats.org/officeDocument/2006/relationships/hyperlink" Target="https://doi.org/10.1111/cogs.12746" TargetMode="External"/><Relationship Id="rId26" Type="http://schemas.openxmlformats.org/officeDocument/2006/relationships/hyperlink" Target="https://doi.org/10.1177/0022022118774943" TargetMode="External"/><Relationship Id="rId47" Type="http://schemas.openxmlformats.org/officeDocument/2006/relationships/hyperlink" Target="https://doi.org/10.1371/journal.pone.0207670" TargetMode="External"/><Relationship Id="rId68" Type="http://schemas.openxmlformats.org/officeDocument/2006/relationships/hyperlink" Target="https://doi-org.tilburguniversity.idm.oclc.org/10.1016/j.jesp.2015.05.004" TargetMode="External"/><Relationship Id="rId89" Type="http://schemas.openxmlformats.org/officeDocument/2006/relationships/hyperlink" Target="https://doi.org/10.1007/s12671-020-01351-4" TargetMode="External"/><Relationship Id="rId112" Type="http://schemas.openxmlformats.org/officeDocument/2006/relationships/hyperlink" Target="https://doi.org/10.1016/j.jml.2017.05.005" TargetMode="External"/><Relationship Id="rId133" Type="http://schemas.openxmlformats.org/officeDocument/2006/relationships/hyperlink" Target="https://doi.apa.org/doi/10.1037/pspa0000136" TargetMode="External"/><Relationship Id="rId154" Type="http://schemas.openxmlformats.org/officeDocument/2006/relationships/hyperlink" Target="https://doi.org/10.1177%2F0146167218816327" TargetMode="External"/><Relationship Id="rId175" Type="http://schemas.openxmlformats.org/officeDocument/2006/relationships/hyperlink" Target="https://doi.org/10.1111/sode.12290" TargetMode="External"/><Relationship Id="rId16" Type="http://schemas.openxmlformats.org/officeDocument/2006/relationships/hyperlink" Target="https://doi.org/10.1111/desc.12918" TargetMode="External"/><Relationship Id="rId37" Type="http://schemas.openxmlformats.org/officeDocument/2006/relationships/hyperlink" Target="https://doi.org/10.3389/fpsyg.2019.00147" TargetMode="External"/><Relationship Id="rId58" Type="http://schemas.openxmlformats.org/officeDocument/2006/relationships/hyperlink" Target="https://doi.org/10.3389/fpsyg.2017.02200" TargetMode="External"/><Relationship Id="rId79" Type="http://schemas.openxmlformats.org/officeDocument/2006/relationships/hyperlink" Target="https://doi.org/10.1016/j.dcn.2019.100649" TargetMode="External"/><Relationship Id="rId102" Type="http://schemas.openxmlformats.org/officeDocument/2006/relationships/hyperlink" Target="https://doi.org/10.1016/j.cognition.2018.02.026" TargetMode="External"/><Relationship Id="rId123" Type="http://schemas.openxmlformats.org/officeDocument/2006/relationships/hyperlink" Target="https://doi.org/10.1016/j.jecp.2019.02.007" TargetMode="External"/><Relationship Id="rId144" Type="http://schemas.openxmlformats.org/officeDocument/2006/relationships/hyperlink" Target="https://doi.org/10.1017/S0142716418000437" TargetMode="External"/><Relationship Id="rId90" Type="http://schemas.openxmlformats.org/officeDocument/2006/relationships/hyperlink" Target="https://doi.org/10.1016/j.cognition.2019.05.006" TargetMode="External"/><Relationship Id="rId165" Type="http://schemas.openxmlformats.org/officeDocument/2006/relationships/hyperlink" Target="https://doi.org/10.1167/19.7.3" TargetMode="External"/><Relationship Id="rId186" Type="http://schemas.openxmlformats.org/officeDocument/2006/relationships/hyperlink" Target="https://doi.org/10.1016/j.biopsycho.2019.107735" TargetMode="External"/><Relationship Id="rId27" Type="http://schemas.openxmlformats.org/officeDocument/2006/relationships/hyperlink" Target="https://doi.org/10.1002/jocb.221" TargetMode="External"/><Relationship Id="rId48" Type="http://schemas.openxmlformats.org/officeDocument/2006/relationships/hyperlink" Target="https://doi.org/10.1002/ejsp.2345" TargetMode="External"/><Relationship Id="rId69" Type="http://schemas.openxmlformats.org/officeDocument/2006/relationships/hyperlink" Target="https://doi-org.tilburguniversity.idm.oclc.org/10.1016/j.leaqua.2015.07.004" TargetMode="External"/><Relationship Id="rId113" Type="http://schemas.openxmlformats.org/officeDocument/2006/relationships/hyperlink" Target="https://doi.org/10.1016/j.appet.2018.05.006" TargetMode="External"/><Relationship Id="rId134" Type="http://schemas.openxmlformats.org/officeDocument/2006/relationships/hyperlink" Target="https://doi.org/10.1016/j.joep.2019.102191" TargetMode="External"/><Relationship Id="rId80" Type="http://schemas.openxmlformats.org/officeDocument/2006/relationships/hyperlink" Target="https://doi.org/10.1037/neu0000457" TargetMode="External"/><Relationship Id="rId155" Type="http://schemas.openxmlformats.org/officeDocument/2006/relationships/hyperlink" Target="https://doi-org.tilburguniversity.idm.oclc.org/10.1016/j.dcn.2017.05.001" TargetMode="External"/><Relationship Id="rId176" Type="http://schemas.openxmlformats.org/officeDocument/2006/relationships/hyperlink" Target="https://doi.org/10.1002/ejsp.2548" TargetMode="External"/><Relationship Id="rId17" Type="http://schemas.openxmlformats.org/officeDocument/2006/relationships/hyperlink" Target="https://doi.org/10.1016/j.jarmac.2018.05.006" TargetMode="External"/><Relationship Id="rId38" Type="http://schemas.openxmlformats.org/officeDocument/2006/relationships/hyperlink" Target="https://doi.org/10.1177/1474704919863164" TargetMode="External"/><Relationship Id="rId59" Type="http://schemas.openxmlformats.org/officeDocument/2006/relationships/hyperlink" Target="https://doi.org/10.1037/xge0000399" TargetMode="External"/><Relationship Id="rId103" Type="http://schemas.openxmlformats.org/officeDocument/2006/relationships/hyperlink" Target="https://doi.org/10.1177%2F0956797619849666" TargetMode="External"/><Relationship Id="rId124" Type="http://schemas.openxmlformats.org/officeDocument/2006/relationships/hyperlink" Target="https://doi.org/10.3389/fpsyg.2018.01836" TargetMode="External"/><Relationship Id="rId70" Type="http://schemas.openxmlformats.org/officeDocument/2006/relationships/hyperlink" Target="https://doi.org/10.1177%2F2158244017712774" TargetMode="External"/><Relationship Id="rId91" Type="http://schemas.openxmlformats.org/officeDocument/2006/relationships/hyperlink" Target="https://doi.org/10.1177%2F0265407518809478" TargetMode="External"/><Relationship Id="rId145" Type="http://schemas.openxmlformats.org/officeDocument/2006/relationships/hyperlink" Target="https://doi.org/10.1080/02699931.2018.1532874" TargetMode="External"/><Relationship Id="rId166" Type="http://schemas.openxmlformats.org/officeDocument/2006/relationships/hyperlink" Target="https://doi.org/10.1037/xge0000538" TargetMode="External"/><Relationship Id="rId187" Type="http://schemas.openxmlformats.org/officeDocument/2006/relationships/hyperlink" Target="https://doi.org/10.3758/s13421-018-0808-6" TargetMode="External"/><Relationship Id="rId1" Type="http://schemas.openxmlformats.org/officeDocument/2006/relationships/hyperlink" Target="https://doi.org/10.1037/dev0000290" TargetMode="External"/><Relationship Id="rId28" Type="http://schemas.openxmlformats.org/officeDocument/2006/relationships/hyperlink" Target="https://doi.org/10.1177/1368430219889134" TargetMode="External"/><Relationship Id="rId49" Type="http://schemas.openxmlformats.org/officeDocument/2006/relationships/hyperlink" Target="https://doi.org/10.1037/dev0000533" TargetMode="External"/><Relationship Id="rId114" Type="http://schemas.openxmlformats.org/officeDocument/2006/relationships/hyperlink" Target="https://doi.org/10.5127%2Fjep.062317" TargetMode="External"/><Relationship Id="rId60" Type="http://schemas.openxmlformats.org/officeDocument/2006/relationships/hyperlink" Target="https://doi-org.tilburguniversity.idm.oclc.org/10.1016/j.jesp.2017.12.003" TargetMode="External"/><Relationship Id="rId81" Type="http://schemas.openxmlformats.org/officeDocument/2006/relationships/hyperlink" Target="https://doi.org/10.1016/j.actpsy.2018.08.008" TargetMode="External"/><Relationship Id="rId135" Type="http://schemas.openxmlformats.org/officeDocument/2006/relationships/hyperlink" Target="https://doi.org/10.1016/j.jesp.2018.05.004" TargetMode="External"/><Relationship Id="rId156" Type="http://schemas.openxmlformats.org/officeDocument/2006/relationships/hyperlink" Target="https://doi.org/10.1016/j.neuroimage.2018.12.002" TargetMode="External"/><Relationship Id="rId177" Type="http://schemas.openxmlformats.org/officeDocument/2006/relationships/hyperlink" Target="https://doi.org/10.1002/bdm.2001" TargetMode="External"/><Relationship Id="rId18" Type="http://schemas.openxmlformats.org/officeDocument/2006/relationships/hyperlink" Target="https://doi.org/10.1523/JNEUROSCI.0716-18.2018" TargetMode="External"/><Relationship Id="rId39" Type="http://schemas.openxmlformats.org/officeDocument/2006/relationships/hyperlink" Target="https://doi.org/10.3389/fnhum.2018.0017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977CF-B0AB-49A0-ABB4-C8841D0DC1AF}">
  <dimension ref="A1:AF198"/>
  <sheetViews>
    <sheetView tabSelected="1" zoomScaleNormal="100" workbookViewId="0">
      <pane xSplit="1" ySplit="1" topLeftCell="I185" activePane="bottomRight" state="frozen"/>
      <selection pane="topRight" activeCell="B1" sqref="B1"/>
      <selection pane="bottomLeft" activeCell="A2" sqref="A2"/>
      <selection pane="bottomRight" activeCell="V204" sqref="V204"/>
    </sheetView>
  </sheetViews>
  <sheetFormatPr defaultColWidth="7.7109375" defaultRowHeight="15" x14ac:dyDescent="0.25"/>
  <cols>
    <col min="1" max="1" width="4.28515625" bestFit="1" customWidth="1"/>
    <col min="2" max="2" width="59.7109375" customWidth="1"/>
    <col min="3" max="3" width="18.85546875" style="5" customWidth="1"/>
    <col min="4" max="4" width="14.7109375" style="5" customWidth="1"/>
    <col min="5" max="5" width="19.7109375" style="21" customWidth="1"/>
    <col min="6" max="6" width="9.85546875" style="22" customWidth="1"/>
    <col min="7" max="7" width="8.42578125" customWidth="1"/>
    <col min="8" max="8" width="43.85546875" style="13" customWidth="1"/>
    <col min="9" max="9" width="13.42578125" style="5" customWidth="1"/>
    <col min="10" max="10" width="13.7109375" style="5" customWidth="1"/>
    <col min="11" max="11" width="8.5703125" style="5" customWidth="1"/>
    <col min="12" max="13" width="11.42578125" style="47"/>
    <col min="14" max="14" width="11.42578125"/>
    <col min="15" max="15" width="5.85546875" bestFit="1" customWidth="1"/>
    <col min="17" max="17" width="17.5703125" customWidth="1"/>
    <col min="18" max="18" width="8.42578125" style="5" customWidth="1"/>
    <col min="19" max="19" width="8" style="5" customWidth="1"/>
    <col min="20" max="20" width="38.140625" style="21" customWidth="1"/>
    <col min="21" max="21" width="9.85546875" style="22" customWidth="1"/>
    <col min="22" max="22" width="23.7109375" style="13" customWidth="1"/>
    <col min="23" max="23" width="13.42578125" style="5" customWidth="1"/>
    <col min="24" max="24" width="13.7109375" style="5" customWidth="1"/>
    <col min="25" max="25" width="8.5703125" style="5" customWidth="1"/>
    <col min="28" max="28" width="9.42578125" bestFit="1" customWidth="1"/>
    <col min="29" max="29" width="5.85546875" bestFit="1" customWidth="1"/>
  </cols>
  <sheetData>
    <row r="1" spans="1:32" s="2" customFormat="1" x14ac:dyDescent="0.25">
      <c r="A1" s="1" t="s">
        <v>0</v>
      </c>
      <c r="B1" s="1" t="s">
        <v>677</v>
      </c>
      <c r="C1" s="1" t="s">
        <v>673</v>
      </c>
      <c r="D1" s="1" t="s">
        <v>674</v>
      </c>
      <c r="E1" s="1" t="s">
        <v>690</v>
      </c>
      <c r="F1" s="23" t="s">
        <v>691</v>
      </c>
      <c r="G1" s="1" t="s">
        <v>675</v>
      </c>
      <c r="H1" s="1" t="s">
        <v>692</v>
      </c>
      <c r="I1" s="1" t="s">
        <v>693</v>
      </c>
      <c r="J1" s="1" t="s">
        <v>694</v>
      </c>
      <c r="K1" s="2" t="s">
        <v>695</v>
      </c>
      <c r="L1" s="46" t="s">
        <v>696</v>
      </c>
      <c r="M1" s="46" t="s">
        <v>697</v>
      </c>
      <c r="N1" s="3" t="s">
        <v>698</v>
      </c>
      <c r="O1" s="2" t="s">
        <v>699</v>
      </c>
      <c r="P1" s="2" t="s">
        <v>700</v>
      </c>
      <c r="Q1" s="1" t="s">
        <v>676</v>
      </c>
      <c r="R1" s="1" t="s">
        <v>679</v>
      </c>
      <c r="S1" s="1" t="s">
        <v>678</v>
      </c>
      <c r="T1" s="1" t="s">
        <v>680</v>
      </c>
      <c r="U1" s="23" t="s">
        <v>681</v>
      </c>
      <c r="V1" s="1" t="s">
        <v>682</v>
      </c>
      <c r="W1" s="1" t="s">
        <v>683</v>
      </c>
      <c r="X1" s="1" t="s">
        <v>684</v>
      </c>
      <c r="Y1" s="2" t="s">
        <v>685</v>
      </c>
      <c r="Z1" s="2" t="s">
        <v>686</v>
      </c>
      <c r="AA1" s="2" t="s">
        <v>931</v>
      </c>
      <c r="AB1" s="2" t="s">
        <v>687</v>
      </c>
      <c r="AC1" s="2" t="s">
        <v>688</v>
      </c>
      <c r="AD1" s="2" t="s">
        <v>689</v>
      </c>
    </row>
    <row r="2" spans="1:32" x14ac:dyDescent="0.25">
      <c r="A2">
        <v>3</v>
      </c>
      <c r="B2" s="4" t="s">
        <v>1</v>
      </c>
      <c r="C2" s="5">
        <v>35</v>
      </c>
      <c r="D2" s="5">
        <v>295</v>
      </c>
      <c r="E2" t="s">
        <v>410</v>
      </c>
      <c r="F2">
        <v>5.3890000000000002</v>
      </c>
      <c r="G2" s="6">
        <v>44698</v>
      </c>
      <c r="H2" t="s">
        <v>704</v>
      </c>
      <c r="I2" s="10">
        <v>42590</v>
      </c>
      <c r="J2" s="10">
        <v>42664</v>
      </c>
      <c r="K2" s="5">
        <f>J2-I2</f>
        <v>74</v>
      </c>
      <c r="L2" s="47">
        <v>1</v>
      </c>
      <c r="M2" s="47">
        <v>81</v>
      </c>
      <c r="N2">
        <v>0.57142857142857095</v>
      </c>
      <c r="Q2" t="s">
        <v>2</v>
      </c>
      <c r="R2" s="5">
        <v>32</v>
      </c>
      <c r="S2" s="5">
        <v>24</v>
      </c>
      <c r="T2" s="7" t="s">
        <v>3</v>
      </c>
      <c r="U2" s="8">
        <v>3.0630000000000002</v>
      </c>
      <c r="V2" s="9" t="s">
        <v>4</v>
      </c>
      <c r="W2" s="5" t="s">
        <v>5</v>
      </c>
      <c r="X2" s="5" t="s">
        <v>5</v>
      </c>
      <c r="Y2" s="8" t="s">
        <v>5</v>
      </c>
      <c r="Z2">
        <v>0</v>
      </c>
      <c r="AA2">
        <v>32</v>
      </c>
    </row>
    <row r="3" spans="1:32" x14ac:dyDescent="0.25">
      <c r="A3">
        <v>4</v>
      </c>
      <c r="B3" s="4" t="s">
        <v>6</v>
      </c>
      <c r="C3" s="5">
        <v>38</v>
      </c>
      <c r="D3" s="5">
        <v>532</v>
      </c>
      <c r="E3" t="s">
        <v>410</v>
      </c>
      <c r="F3">
        <v>5.3890000000000002</v>
      </c>
      <c r="G3" s="6">
        <v>44698</v>
      </c>
      <c r="H3" t="s">
        <v>705</v>
      </c>
      <c r="I3" s="10">
        <v>43278</v>
      </c>
      <c r="J3" s="10">
        <v>43693</v>
      </c>
      <c r="K3" s="5">
        <f>J3-I3</f>
        <v>415</v>
      </c>
      <c r="L3" s="47">
        <v>1</v>
      </c>
      <c r="M3" s="47">
        <v>296</v>
      </c>
      <c r="N3">
        <v>1</v>
      </c>
      <c r="Q3" t="s">
        <v>7</v>
      </c>
      <c r="R3" s="5">
        <v>30</v>
      </c>
      <c r="S3" s="5">
        <v>35</v>
      </c>
      <c r="T3" s="7" t="s">
        <v>8</v>
      </c>
      <c r="U3" s="8">
        <v>2.415</v>
      </c>
      <c r="V3" s="9" t="s">
        <v>9</v>
      </c>
      <c r="W3" s="10">
        <v>43112</v>
      </c>
      <c r="X3" s="10">
        <v>43402</v>
      </c>
      <c r="Y3" s="8">
        <f>X3-W3</f>
        <v>290</v>
      </c>
      <c r="Z3">
        <v>0</v>
      </c>
      <c r="AA3">
        <v>206</v>
      </c>
    </row>
    <row r="4" spans="1:32" x14ac:dyDescent="0.25">
      <c r="A4">
        <v>5</v>
      </c>
      <c r="B4" s="4" t="s">
        <v>10</v>
      </c>
      <c r="C4" s="5">
        <v>4</v>
      </c>
      <c r="D4" s="5">
        <v>9</v>
      </c>
      <c r="E4" t="s">
        <v>233</v>
      </c>
      <c r="F4">
        <v>3.254</v>
      </c>
      <c r="G4" s="6">
        <v>44698</v>
      </c>
      <c r="H4" t="s">
        <v>706</v>
      </c>
      <c r="I4" s="10">
        <v>43239</v>
      </c>
      <c r="J4" s="10">
        <v>43609</v>
      </c>
      <c r="K4" s="5">
        <f>J4-I4</f>
        <v>370</v>
      </c>
      <c r="L4" s="47">
        <v>0</v>
      </c>
      <c r="M4" s="47">
        <v>530</v>
      </c>
      <c r="N4">
        <v>0</v>
      </c>
      <c r="Q4" t="s">
        <v>11</v>
      </c>
      <c r="R4" s="5">
        <v>1</v>
      </c>
      <c r="S4" s="5">
        <v>12</v>
      </c>
      <c r="T4" s="7" t="s">
        <v>12</v>
      </c>
      <c r="U4" s="11">
        <v>1.7190000000000001</v>
      </c>
      <c r="V4" s="9" t="s">
        <v>13</v>
      </c>
      <c r="W4" s="10">
        <v>43160</v>
      </c>
      <c r="X4" s="10">
        <v>43399</v>
      </c>
      <c r="Y4" s="8">
        <f>X4-W4</f>
        <v>239</v>
      </c>
      <c r="Z4">
        <v>0</v>
      </c>
      <c r="AA4">
        <v>221</v>
      </c>
    </row>
    <row r="5" spans="1:32" x14ac:dyDescent="0.25">
      <c r="A5">
        <v>7</v>
      </c>
      <c r="B5" s="4" t="s">
        <v>14</v>
      </c>
      <c r="C5" s="5">
        <v>83</v>
      </c>
      <c r="D5" s="5">
        <v>38</v>
      </c>
      <c r="E5" t="s">
        <v>233</v>
      </c>
      <c r="F5">
        <v>3.254</v>
      </c>
      <c r="G5" t="s">
        <v>640</v>
      </c>
      <c r="H5" t="s">
        <v>707</v>
      </c>
      <c r="I5" s="10">
        <v>42776</v>
      </c>
      <c r="J5" s="10">
        <v>42921</v>
      </c>
      <c r="K5" s="5">
        <f>J5-I5</f>
        <v>145</v>
      </c>
      <c r="L5" s="47">
        <v>0</v>
      </c>
      <c r="M5" s="47">
        <v>92</v>
      </c>
      <c r="N5">
        <v>0</v>
      </c>
      <c r="Q5" t="s">
        <v>638</v>
      </c>
      <c r="R5" s="5">
        <v>28</v>
      </c>
      <c r="S5" s="5">
        <v>14</v>
      </c>
      <c r="T5" s="7" t="s">
        <v>639</v>
      </c>
      <c r="U5" s="11">
        <v>2.444</v>
      </c>
      <c r="V5" s="20" t="s">
        <v>641</v>
      </c>
      <c r="W5" s="5" t="s">
        <v>5</v>
      </c>
      <c r="X5" s="5" t="s">
        <v>5</v>
      </c>
      <c r="Y5" s="8" t="s">
        <v>5</v>
      </c>
      <c r="Z5">
        <v>0</v>
      </c>
      <c r="AA5">
        <v>506</v>
      </c>
    </row>
    <row r="6" spans="1:32" x14ac:dyDescent="0.25">
      <c r="A6">
        <v>8</v>
      </c>
      <c r="B6" s="4" t="s">
        <v>15</v>
      </c>
      <c r="C6" s="5">
        <v>4</v>
      </c>
      <c r="D6" s="5">
        <v>7</v>
      </c>
      <c r="E6" t="s">
        <v>453</v>
      </c>
      <c r="F6">
        <v>3.91</v>
      </c>
      <c r="G6" s="6">
        <v>44698</v>
      </c>
      <c r="H6" t="s">
        <v>708</v>
      </c>
      <c r="I6" s="10" t="s">
        <v>5</v>
      </c>
      <c r="J6" s="10" t="s">
        <v>5</v>
      </c>
      <c r="K6" s="5" t="s">
        <v>5</v>
      </c>
      <c r="L6" s="47">
        <v>1</v>
      </c>
      <c r="M6" s="47">
        <v>732</v>
      </c>
      <c r="N6">
        <v>0.33333333333333298</v>
      </c>
      <c r="Q6" t="s">
        <v>16</v>
      </c>
      <c r="R6" s="5">
        <v>11</v>
      </c>
      <c r="S6" s="5">
        <v>5</v>
      </c>
      <c r="T6" s="7" t="s">
        <v>17</v>
      </c>
      <c r="U6" s="11">
        <v>1.694</v>
      </c>
      <c r="V6" s="9" t="s">
        <v>18</v>
      </c>
      <c r="W6" s="5" t="s">
        <v>5</v>
      </c>
      <c r="X6" s="5" t="s">
        <v>5</v>
      </c>
      <c r="Y6" s="8" t="s">
        <v>5</v>
      </c>
      <c r="Z6">
        <v>0</v>
      </c>
      <c r="AA6">
        <v>30</v>
      </c>
    </row>
    <row r="7" spans="1:32" x14ac:dyDescent="0.25">
      <c r="A7">
        <v>9</v>
      </c>
      <c r="B7" s="4" t="s">
        <v>19</v>
      </c>
      <c r="C7" s="5">
        <v>212</v>
      </c>
      <c r="D7" s="5">
        <v>1518</v>
      </c>
      <c r="E7" t="s">
        <v>410</v>
      </c>
      <c r="F7">
        <v>5.3890000000000002</v>
      </c>
      <c r="G7" s="6">
        <v>44698</v>
      </c>
      <c r="H7" t="s">
        <v>709</v>
      </c>
      <c r="I7" s="10">
        <v>42519</v>
      </c>
      <c r="J7" s="10">
        <v>42662</v>
      </c>
      <c r="K7" s="5">
        <f t="shared" ref="K7:K69" si="0">J7-I7</f>
        <v>143</v>
      </c>
      <c r="L7" s="47">
        <v>0</v>
      </c>
      <c r="M7" s="47">
        <v>120115</v>
      </c>
      <c r="N7">
        <v>0.25</v>
      </c>
      <c r="Q7" t="s">
        <v>20</v>
      </c>
      <c r="R7" s="5">
        <v>6</v>
      </c>
      <c r="S7" s="5">
        <v>1</v>
      </c>
      <c r="T7" s="7" t="s">
        <v>21</v>
      </c>
      <c r="U7" s="11" t="s">
        <v>5</v>
      </c>
      <c r="V7" s="9" t="s">
        <v>22</v>
      </c>
      <c r="W7" s="10">
        <v>42817</v>
      </c>
      <c r="X7" s="10">
        <v>42898</v>
      </c>
      <c r="Y7" s="8">
        <f t="shared" ref="Y7:Y17" si="1">X7-W7</f>
        <v>81</v>
      </c>
      <c r="Z7">
        <v>0</v>
      </c>
      <c r="AA7">
        <v>1239</v>
      </c>
    </row>
    <row r="8" spans="1:32" x14ac:dyDescent="0.25">
      <c r="A8">
        <v>11</v>
      </c>
      <c r="B8" s="4" t="s">
        <v>23</v>
      </c>
      <c r="C8" s="5">
        <v>17</v>
      </c>
      <c r="D8" s="5" t="s">
        <v>5</v>
      </c>
      <c r="E8" t="s">
        <v>434</v>
      </c>
      <c r="F8">
        <v>2.8319999999999999</v>
      </c>
      <c r="G8" s="6">
        <v>44698</v>
      </c>
      <c r="H8" t="s">
        <v>710</v>
      </c>
      <c r="I8" s="10">
        <v>42951</v>
      </c>
      <c r="J8" s="10">
        <v>43159</v>
      </c>
      <c r="K8" s="5">
        <f t="shared" si="0"/>
        <v>208</v>
      </c>
      <c r="L8" s="47">
        <v>0</v>
      </c>
      <c r="M8" s="47">
        <v>53</v>
      </c>
      <c r="N8">
        <v>0.55555555555555602</v>
      </c>
      <c r="Q8" t="s">
        <v>24</v>
      </c>
      <c r="R8" s="5">
        <v>2</v>
      </c>
      <c r="S8" s="5">
        <v>4</v>
      </c>
      <c r="T8" s="7" t="s">
        <v>25</v>
      </c>
      <c r="U8" s="8">
        <v>2.4729999999999999</v>
      </c>
      <c r="V8" s="9" t="s">
        <v>26</v>
      </c>
      <c r="W8" s="10">
        <v>43179</v>
      </c>
      <c r="X8" s="10">
        <v>43404</v>
      </c>
      <c r="Y8" s="8">
        <f t="shared" si="1"/>
        <v>225</v>
      </c>
      <c r="Z8">
        <v>1</v>
      </c>
      <c r="AA8">
        <v>260</v>
      </c>
    </row>
    <row r="9" spans="1:32" x14ac:dyDescent="0.25">
      <c r="A9">
        <v>12</v>
      </c>
      <c r="B9" s="4" t="s">
        <v>27</v>
      </c>
      <c r="C9" s="5">
        <v>20</v>
      </c>
      <c r="D9" s="5">
        <v>59</v>
      </c>
      <c r="E9" t="s">
        <v>410</v>
      </c>
      <c r="F9">
        <v>5.3890000000000002</v>
      </c>
      <c r="G9" s="6">
        <v>44698</v>
      </c>
      <c r="H9" t="s">
        <v>711</v>
      </c>
      <c r="I9" s="10">
        <v>42551</v>
      </c>
      <c r="J9" s="10">
        <v>42642</v>
      </c>
      <c r="K9" s="5">
        <f t="shared" si="0"/>
        <v>91</v>
      </c>
      <c r="L9" s="47">
        <v>0</v>
      </c>
      <c r="M9" s="47">
        <v>414</v>
      </c>
      <c r="N9">
        <v>0.375</v>
      </c>
      <c r="Q9" t="s">
        <v>28</v>
      </c>
      <c r="R9" s="5">
        <v>19</v>
      </c>
      <c r="S9" s="5">
        <v>175</v>
      </c>
      <c r="T9" s="7" t="s">
        <v>29</v>
      </c>
      <c r="U9" s="8">
        <v>1.718</v>
      </c>
      <c r="V9" s="9" t="s">
        <v>30</v>
      </c>
      <c r="W9" s="10">
        <v>42477</v>
      </c>
      <c r="X9" s="10">
        <v>42790</v>
      </c>
      <c r="Y9" s="8">
        <f t="shared" si="1"/>
        <v>313</v>
      </c>
      <c r="Z9">
        <v>0</v>
      </c>
      <c r="AA9">
        <v>306</v>
      </c>
    </row>
    <row r="10" spans="1:32" s="12" customFormat="1" x14ac:dyDescent="0.25">
      <c r="A10">
        <v>17</v>
      </c>
      <c r="B10" s="4" t="s">
        <v>31</v>
      </c>
      <c r="C10" s="5">
        <v>1</v>
      </c>
      <c r="D10" s="5">
        <v>0</v>
      </c>
      <c r="E10" t="s">
        <v>374</v>
      </c>
      <c r="F10">
        <v>2.7669999999999999</v>
      </c>
      <c r="G10" t="s">
        <v>640</v>
      </c>
      <c r="H10" t="s">
        <v>712</v>
      </c>
      <c r="I10" s="10">
        <v>43299</v>
      </c>
      <c r="J10" s="10">
        <v>43481</v>
      </c>
      <c r="K10" s="5">
        <f t="shared" si="0"/>
        <v>182</v>
      </c>
      <c r="L10" s="47">
        <v>1</v>
      </c>
      <c r="M10" s="47">
        <v>296</v>
      </c>
      <c r="N10">
        <v>0.11111111111111099</v>
      </c>
      <c r="O10"/>
      <c r="P10"/>
      <c r="Q10" t="s">
        <v>642</v>
      </c>
      <c r="R10" s="5">
        <v>0</v>
      </c>
      <c r="S10" s="5">
        <v>2</v>
      </c>
      <c r="T10" s="7" t="s">
        <v>42</v>
      </c>
      <c r="U10" s="11">
        <v>2.0670000000000002</v>
      </c>
      <c r="V10" s="9" t="s">
        <v>643</v>
      </c>
      <c r="W10" s="10">
        <v>43367</v>
      </c>
      <c r="X10" s="10">
        <v>43536</v>
      </c>
      <c r="Y10" s="8">
        <f t="shared" si="1"/>
        <v>169</v>
      </c>
      <c r="Z10">
        <v>0</v>
      </c>
      <c r="AA10">
        <v>93</v>
      </c>
      <c r="AB10"/>
      <c r="AC10"/>
      <c r="AD10"/>
      <c r="AE10"/>
      <c r="AF10"/>
    </row>
    <row r="11" spans="1:32" x14ac:dyDescent="0.25">
      <c r="A11">
        <v>18</v>
      </c>
      <c r="B11" s="4" t="s">
        <v>32</v>
      </c>
      <c r="C11" s="5">
        <v>2</v>
      </c>
      <c r="D11" s="5">
        <v>3</v>
      </c>
      <c r="E11" t="s">
        <v>410</v>
      </c>
      <c r="F11">
        <v>5.3890000000000002</v>
      </c>
      <c r="G11" s="6">
        <v>44699</v>
      </c>
      <c r="H11" t="s">
        <v>713</v>
      </c>
      <c r="I11" s="10">
        <v>42922</v>
      </c>
      <c r="J11" s="10">
        <v>43619</v>
      </c>
      <c r="K11" s="5">
        <f t="shared" si="0"/>
        <v>697</v>
      </c>
      <c r="L11" s="47">
        <v>1</v>
      </c>
      <c r="M11" s="47">
        <v>16</v>
      </c>
      <c r="N11">
        <v>0</v>
      </c>
      <c r="Q11" t="s">
        <v>33</v>
      </c>
      <c r="R11" s="5">
        <v>9</v>
      </c>
      <c r="S11" s="5">
        <v>21</v>
      </c>
      <c r="T11" s="7" t="s">
        <v>34</v>
      </c>
      <c r="U11" s="11">
        <v>5.0430000000000001</v>
      </c>
      <c r="V11" s="9" t="s">
        <v>35</v>
      </c>
      <c r="W11" s="10">
        <v>43370</v>
      </c>
      <c r="X11" s="10">
        <v>43456</v>
      </c>
      <c r="Y11" s="8">
        <f t="shared" si="1"/>
        <v>86</v>
      </c>
      <c r="Z11">
        <v>0</v>
      </c>
      <c r="AA11">
        <v>14</v>
      </c>
    </row>
    <row r="12" spans="1:32" x14ac:dyDescent="0.25">
      <c r="A12">
        <v>26</v>
      </c>
      <c r="B12" s="4" t="s">
        <v>36</v>
      </c>
      <c r="C12" s="5">
        <v>16</v>
      </c>
      <c r="D12" s="5">
        <v>2</v>
      </c>
      <c r="E12" t="s">
        <v>38</v>
      </c>
      <c r="F12">
        <v>1.591</v>
      </c>
      <c r="G12" s="6">
        <v>44699</v>
      </c>
      <c r="H12" t="s">
        <v>714</v>
      </c>
      <c r="I12" s="10">
        <v>42988</v>
      </c>
      <c r="J12" s="10">
        <v>43151</v>
      </c>
      <c r="K12" s="5">
        <f t="shared" si="0"/>
        <v>163</v>
      </c>
      <c r="L12" s="47">
        <v>0</v>
      </c>
      <c r="M12" s="47">
        <v>385</v>
      </c>
      <c r="N12">
        <v>0.14285714285714299</v>
      </c>
      <c r="Q12" t="s">
        <v>37</v>
      </c>
      <c r="R12" s="5">
        <v>6</v>
      </c>
      <c r="S12" s="5">
        <v>5</v>
      </c>
      <c r="T12" s="7" t="s">
        <v>38</v>
      </c>
      <c r="U12" s="11">
        <v>1.591</v>
      </c>
      <c r="V12" s="9" t="s">
        <v>39</v>
      </c>
      <c r="W12" s="10">
        <v>43054</v>
      </c>
      <c r="X12" s="10">
        <v>43291</v>
      </c>
      <c r="Y12" s="8">
        <f t="shared" si="1"/>
        <v>237</v>
      </c>
      <c r="Z12">
        <v>0</v>
      </c>
      <c r="AA12">
        <v>60</v>
      </c>
    </row>
    <row r="13" spans="1:32" x14ac:dyDescent="0.25">
      <c r="A13">
        <v>27</v>
      </c>
      <c r="B13" s="4" t="s">
        <v>40</v>
      </c>
      <c r="C13" s="5">
        <v>4</v>
      </c>
      <c r="D13" s="5">
        <v>69</v>
      </c>
      <c r="E13" t="s">
        <v>494</v>
      </c>
      <c r="F13">
        <v>2.3039999999999998</v>
      </c>
      <c r="G13" s="6">
        <v>44699</v>
      </c>
      <c r="H13" t="s">
        <v>715</v>
      </c>
      <c r="I13" s="10">
        <v>43068</v>
      </c>
      <c r="J13" s="10">
        <v>43403</v>
      </c>
      <c r="K13" s="5">
        <f t="shared" si="0"/>
        <v>335</v>
      </c>
      <c r="L13" s="47">
        <v>1</v>
      </c>
      <c r="M13" s="47">
        <v>232</v>
      </c>
      <c r="N13">
        <v>0</v>
      </c>
      <c r="Q13" t="s">
        <v>41</v>
      </c>
      <c r="R13" s="5">
        <v>0</v>
      </c>
      <c r="S13" s="5">
        <v>0</v>
      </c>
      <c r="T13" s="7" t="s">
        <v>42</v>
      </c>
      <c r="U13" s="8">
        <v>2.0670000000000002</v>
      </c>
      <c r="V13" s="9" t="s">
        <v>43</v>
      </c>
      <c r="W13" s="10">
        <v>43489</v>
      </c>
      <c r="X13" s="10">
        <v>43566</v>
      </c>
      <c r="Y13" s="8">
        <f t="shared" si="1"/>
        <v>77</v>
      </c>
      <c r="Z13">
        <v>1</v>
      </c>
      <c r="AA13">
        <v>24</v>
      </c>
    </row>
    <row r="14" spans="1:32" x14ac:dyDescent="0.25">
      <c r="A14">
        <v>33</v>
      </c>
      <c r="B14" s="4" t="s">
        <v>44</v>
      </c>
      <c r="C14" s="5">
        <v>5</v>
      </c>
      <c r="D14" s="5">
        <v>2</v>
      </c>
      <c r="E14" t="s">
        <v>182</v>
      </c>
      <c r="F14">
        <v>3.91</v>
      </c>
      <c r="G14" t="s">
        <v>640</v>
      </c>
      <c r="H14" t="s">
        <v>716</v>
      </c>
      <c r="I14" s="10">
        <v>43502</v>
      </c>
      <c r="J14" s="10">
        <v>43755</v>
      </c>
      <c r="K14" s="5">
        <f t="shared" si="0"/>
        <v>253</v>
      </c>
      <c r="L14" s="47">
        <v>1</v>
      </c>
      <c r="M14" s="47">
        <v>205</v>
      </c>
      <c r="N14">
        <v>0</v>
      </c>
      <c r="Q14" t="s">
        <v>644</v>
      </c>
      <c r="R14" s="5">
        <v>7</v>
      </c>
      <c r="S14" s="5">
        <v>0</v>
      </c>
      <c r="T14" s="7" t="s">
        <v>295</v>
      </c>
      <c r="U14" s="11">
        <v>2.3109999999999999</v>
      </c>
      <c r="V14" s="9" t="s">
        <v>645</v>
      </c>
      <c r="W14" s="10">
        <v>43529</v>
      </c>
      <c r="X14" s="10">
        <v>43574</v>
      </c>
      <c r="Y14" s="5">
        <f t="shared" si="1"/>
        <v>45</v>
      </c>
      <c r="Z14">
        <v>0</v>
      </c>
      <c r="AA14">
        <v>299</v>
      </c>
    </row>
    <row r="15" spans="1:32" x14ac:dyDescent="0.25">
      <c r="A15">
        <v>34</v>
      </c>
      <c r="B15" s="4" t="s">
        <v>46</v>
      </c>
      <c r="C15" s="5">
        <v>13</v>
      </c>
      <c r="D15" s="5">
        <v>2</v>
      </c>
      <c r="E15" t="s">
        <v>717</v>
      </c>
      <c r="F15">
        <v>3.6920000000000002</v>
      </c>
      <c r="G15" s="6">
        <v>44699</v>
      </c>
      <c r="H15" t="s">
        <v>718</v>
      </c>
      <c r="I15" s="10">
        <v>43066</v>
      </c>
      <c r="J15" s="10">
        <v>43304</v>
      </c>
      <c r="K15" s="5">
        <f t="shared" si="0"/>
        <v>238</v>
      </c>
      <c r="L15" s="47">
        <v>0</v>
      </c>
      <c r="M15" s="47">
        <v>40</v>
      </c>
      <c r="N15">
        <v>0</v>
      </c>
      <c r="Q15" t="s">
        <v>47</v>
      </c>
      <c r="R15" s="5">
        <v>2</v>
      </c>
      <c r="S15" s="5">
        <v>0</v>
      </c>
      <c r="T15" s="7" t="s">
        <v>48</v>
      </c>
      <c r="U15" s="11">
        <v>2.7330000000000001</v>
      </c>
      <c r="V15" s="9" t="s">
        <v>49</v>
      </c>
      <c r="W15" s="10">
        <v>43441</v>
      </c>
      <c r="X15" s="10">
        <v>43639</v>
      </c>
      <c r="Y15" s="8">
        <f t="shared" si="1"/>
        <v>198</v>
      </c>
      <c r="Z15">
        <v>0</v>
      </c>
      <c r="AA15">
        <v>40</v>
      </c>
    </row>
    <row r="16" spans="1:32" s="14" customFormat="1" x14ac:dyDescent="0.25">
      <c r="A16">
        <v>36</v>
      </c>
      <c r="B16" s="4" t="s">
        <v>50</v>
      </c>
      <c r="C16" s="5">
        <v>35</v>
      </c>
      <c r="D16" s="5">
        <v>19</v>
      </c>
      <c r="E16" t="s">
        <v>907</v>
      </c>
      <c r="F16">
        <v>1.2410000000000001</v>
      </c>
      <c r="G16" s="6">
        <v>44699</v>
      </c>
      <c r="H16" t="s">
        <v>719</v>
      </c>
      <c r="I16" s="10">
        <v>42743</v>
      </c>
      <c r="J16" s="10">
        <v>43119</v>
      </c>
      <c r="K16" s="5">
        <f t="shared" si="0"/>
        <v>376</v>
      </c>
      <c r="L16" s="47">
        <v>1</v>
      </c>
      <c r="M16" s="47">
        <v>271</v>
      </c>
      <c r="N16">
        <v>0.2</v>
      </c>
      <c r="O16"/>
      <c r="P16"/>
      <c r="Q16" t="s">
        <v>51</v>
      </c>
      <c r="R16" s="5">
        <v>4</v>
      </c>
      <c r="S16" s="5">
        <v>2</v>
      </c>
      <c r="T16" s="7" t="s">
        <v>8</v>
      </c>
      <c r="U16" s="8">
        <v>2.415</v>
      </c>
      <c r="V16" s="9" t="s">
        <v>52</v>
      </c>
      <c r="W16" s="10">
        <v>42489</v>
      </c>
      <c r="X16" s="10">
        <v>42766</v>
      </c>
      <c r="Y16" s="8">
        <f t="shared" si="1"/>
        <v>277</v>
      </c>
      <c r="Z16">
        <v>1</v>
      </c>
      <c r="AA16">
        <v>40</v>
      </c>
      <c r="AB16"/>
      <c r="AC16"/>
      <c r="AD16"/>
      <c r="AE16"/>
      <c r="AF16"/>
    </row>
    <row r="17" spans="1:32" x14ac:dyDescent="0.25">
      <c r="A17">
        <v>37</v>
      </c>
      <c r="B17" s="4" t="s">
        <v>53</v>
      </c>
      <c r="C17" s="5">
        <v>15</v>
      </c>
      <c r="D17" s="5">
        <v>12</v>
      </c>
      <c r="E17" t="s">
        <v>233</v>
      </c>
      <c r="F17">
        <v>3.254</v>
      </c>
      <c r="G17" s="6">
        <v>44699</v>
      </c>
      <c r="H17" t="s">
        <v>720</v>
      </c>
      <c r="I17" s="10">
        <v>43042</v>
      </c>
      <c r="J17" s="10">
        <v>43256</v>
      </c>
      <c r="K17" s="5">
        <f t="shared" si="0"/>
        <v>214</v>
      </c>
      <c r="L17" s="47">
        <v>1</v>
      </c>
      <c r="M17" s="47">
        <v>200</v>
      </c>
      <c r="N17">
        <v>0.85714285714285698</v>
      </c>
      <c r="Q17" t="s">
        <v>54</v>
      </c>
      <c r="R17" s="5">
        <v>4</v>
      </c>
      <c r="S17" s="5">
        <v>1</v>
      </c>
      <c r="T17" s="7" t="s">
        <v>8</v>
      </c>
      <c r="U17" s="8">
        <v>2.415</v>
      </c>
      <c r="V17" s="9" t="s">
        <v>55</v>
      </c>
      <c r="W17" s="10">
        <v>41835</v>
      </c>
      <c r="X17" s="10">
        <v>42731</v>
      </c>
      <c r="Y17" s="8">
        <f t="shared" si="1"/>
        <v>896</v>
      </c>
      <c r="Z17">
        <v>0</v>
      </c>
      <c r="AA17">
        <v>113</v>
      </c>
    </row>
    <row r="18" spans="1:32" x14ac:dyDescent="0.25">
      <c r="A18">
        <v>41</v>
      </c>
      <c r="B18" s="4" t="s">
        <v>56</v>
      </c>
      <c r="C18" s="5">
        <v>9</v>
      </c>
      <c r="D18" s="5">
        <v>0</v>
      </c>
      <c r="E18" t="s">
        <v>3</v>
      </c>
      <c r="F18">
        <v>3.0630000000000002</v>
      </c>
      <c r="G18" s="6">
        <v>44699</v>
      </c>
      <c r="H18" t="s">
        <v>721</v>
      </c>
      <c r="I18" s="10" t="s">
        <v>5</v>
      </c>
      <c r="J18" s="10" t="s">
        <v>5</v>
      </c>
      <c r="K18" s="5" t="s">
        <v>5</v>
      </c>
      <c r="L18" s="47">
        <v>1</v>
      </c>
      <c r="M18" s="47">
        <v>84</v>
      </c>
      <c r="N18">
        <v>1</v>
      </c>
      <c r="Q18" t="s">
        <v>57</v>
      </c>
      <c r="R18" s="5">
        <v>6</v>
      </c>
      <c r="S18" s="5">
        <v>7</v>
      </c>
      <c r="T18" s="7" t="s">
        <v>58</v>
      </c>
      <c r="U18" s="11">
        <v>4.891</v>
      </c>
      <c r="V18" s="9" t="s">
        <v>59</v>
      </c>
      <c r="W18" s="5" t="s">
        <v>5</v>
      </c>
      <c r="X18" s="5" t="s">
        <v>5</v>
      </c>
      <c r="Y18" s="8" t="s">
        <v>5</v>
      </c>
      <c r="Z18" s="4">
        <v>1</v>
      </c>
      <c r="AA18">
        <v>40</v>
      </c>
    </row>
    <row r="19" spans="1:32" x14ac:dyDescent="0.25">
      <c r="A19">
        <v>42</v>
      </c>
      <c r="B19" s="4" t="s">
        <v>60</v>
      </c>
      <c r="C19" s="5">
        <v>12</v>
      </c>
      <c r="D19" s="5">
        <v>1</v>
      </c>
      <c r="E19" t="s">
        <v>233</v>
      </c>
      <c r="F19">
        <v>3.254</v>
      </c>
      <c r="G19" s="6">
        <v>44699</v>
      </c>
      <c r="H19" t="s">
        <v>722</v>
      </c>
      <c r="I19" s="10">
        <v>42839</v>
      </c>
      <c r="J19" s="10">
        <v>42971</v>
      </c>
      <c r="K19" s="5">
        <f t="shared" si="0"/>
        <v>132</v>
      </c>
      <c r="L19" s="47">
        <v>0</v>
      </c>
      <c r="M19" s="47">
        <v>193</v>
      </c>
      <c r="N19">
        <v>0.5</v>
      </c>
      <c r="Q19" t="s">
        <v>61</v>
      </c>
      <c r="R19" s="5">
        <v>16</v>
      </c>
      <c r="S19" s="5" t="s">
        <v>5</v>
      </c>
      <c r="T19" s="7" t="s">
        <v>62</v>
      </c>
      <c r="U19" s="8">
        <v>3.169</v>
      </c>
      <c r="V19" s="9" t="s">
        <v>63</v>
      </c>
      <c r="W19" s="10">
        <v>42234</v>
      </c>
      <c r="X19" s="10">
        <v>43910</v>
      </c>
      <c r="Y19" s="8">
        <f t="shared" ref="Y19:Y26" si="2">X19-W19</f>
        <v>1676</v>
      </c>
      <c r="Z19">
        <v>0</v>
      </c>
      <c r="AA19">
        <v>270</v>
      </c>
    </row>
    <row r="20" spans="1:32" x14ac:dyDescent="0.25">
      <c r="A20">
        <v>43</v>
      </c>
      <c r="B20" s="4" t="s">
        <v>64</v>
      </c>
      <c r="C20" s="5">
        <v>25</v>
      </c>
      <c r="D20" s="5">
        <v>1</v>
      </c>
      <c r="E20" t="s">
        <v>182</v>
      </c>
      <c r="F20">
        <v>3.91</v>
      </c>
      <c r="G20" s="6">
        <v>44699</v>
      </c>
      <c r="H20" t="s">
        <v>723</v>
      </c>
      <c r="I20" s="10">
        <v>43448</v>
      </c>
      <c r="J20" s="10">
        <v>43578</v>
      </c>
      <c r="K20" s="5">
        <f t="shared" si="0"/>
        <v>130</v>
      </c>
      <c r="L20" s="47">
        <v>1</v>
      </c>
      <c r="M20" s="47">
        <v>264</v>
      </c>
      <c r="N20">
        <v>0.33333333333333298</v>
      </c>
      <c r="Q20" t="s">
        <v>65</v>
      </c>
      <c r="R20" s="5">
        <v>16</v>
      </c>
      <c r="S20" s="5">
        <v>0</v>
      </c>
      <c r="T20" s="7" t="s">
        <v>66</v>
      </c>
      <c r="U20" s="8">
        <v>3.722</v>
      </c>
      <c r="V20" s="9" t="s">
        <v>67</v>
      </c>
      <c r="W20" s="10">
        <v>43360</v>
      </c>
      <c r="X20" s="10">
        <v>43766</v>
      </c>
      <c r="Y20" s="8">
        <f t="shared" si="2"/>
        <v>406</v>
      </c>
      <c r="Z20">
        <v>0</v>
      </c>
      <c r="AA20">
        <v>136</v>
      </c>
    </row>
    <row r="21" spans="1:32" x14ac:dyDescent="0.25">
      <c r="A21">
        <v>44</v>
      </c>
      <c r="B21" s="4" t="s">
        <v>68</v>
      </c>
      <c r="C21" s="5">
        <v>16</v>
      </c>
      <c r="D21" s="5">
        <v>276</v>
      </c>
      <c r="E21" t="s">
        <v>410</v>
      </c>
      <c r="F21">
        <v>5.3890000000000002</v>
      </c>
      <c r="G21" s="6">
        <v>44699</v>
      </c>
      <c r="H21" t="s">
        <v>724</v>
      </c>
      <c r="I21" s="10">
        <v>43064</v>
      </c>
      <c r="J21" s="10">
        <v>43184</v>
      </c>
      <c r="K21" s="5">
        <f t="shared" si="0"/>
        <v>120</v>
      </c>
      <c r="L21" s="47">
        <v>0</v>
      </c>
      <c r="M21" s="47">
        <v>2898</v>
      </c>
      <c r="N21">
        <v>0.5</v>
      </c>
      <c r="Q21" t="s">
        <v>69</v>
      </c>
      <c r="R21" s="5">
        <v>17</v>
      </c>
      <c r="S21" s="5">
        <v>142</v>
      </c>
      <c r="T21" s="7" t="s">
        <v>70</v>
      </c>
      <c r="U21" s="11">
        <v>3.472</v>
      </c>
      <c r="V21" s="9" t="s">
        <v>71</v>
      </c>
      <c r="W21" s="10">
        <v>43122</v>
      </c>
      <c r="X21" s="10">
        <v>43241</v>
      </c>
      <c r="Y21" s="8">
        <f t="shared" si="2"/>
        <v>119</v>
      </c>
      <c r="Z21">
        <v>0</v>
      </c>
      <c r="AA21">
        <v>6185</v>
      </c>
    </row>
    <row r="22" spans="1:32" s="33" customFormat="1" x14ac:dyDescent="0.25">
      <c r="A22" s="33">
        <v>48</v>
      </c>
      <c r="B22" s="34" t="s">
        <v>72</v>
      </c>
      <c r="C22" s="35">
        <v>13</v>
      </c>
      <c r="D22" s="35">
        <v>12</v>
      </c>
      <c r="E22" s="33" t="s">
        <v>360</v>
      </c>
      <c r="F22" s="33">
        <v>3.294</v>
      </c>
      <c r="G22" s="36">
        <v>44888</v>
      </c>
      <c r="H22" s="33" t="s">
        <v>725</v>
      </c>
      <c r="I22" s="40">
        <v>42928</v>
      </c>
      <c r="J22" s="40">
        <v>43336</v>
      </c>
      <c r="K22" s="5">
        <f t="shared" si="0"/>
        <v>408</v>
      </c>
      <c r="L22" s="48">
        <v>1</v>
      </c>
      <c r="M22" s="48">
        <v>880</v>
      </c>
      <c r="N22" s="33">
        <v>0.66666666666666696</v>
      </c>
      <c r="Q22" s="33" t="s">
        <v>915</v>
      </c>
      <c r="R22" s="35">
        <v>36</v>
      </c>
      <c r="S22" s="35">
        <v>5</v>
      </c>
      <c r="T22" s="37" t="s">
        <v>17</v>
      </c>
      <c r="U22" s="38">
        <v>1.694</v>
      </c>
      <c r="V22" s="39" t="s">
        <v>916</v>
      </c>
      <c r="W22" s="40" t="s">
        <v>5</v>
      </c>
      <c r="X22" s="40" t="s">
        <v>5</v>
      </c>
      <c r="Y22" s="35" t="s">
        <v>5</v>
      </c>
      <c r="Z22" s="33">
        <v>0</v>
      </c>
      <c r="AA22" s="33">
        <v>33</v>
      </c>
    </row>
    <row r="23" spans="1:32" x14ac:dyDescent="0.25">
      <c r="A23">
        <v>49</v>
      </c>
      <c r="B23" s="4" t="s">
        <v>74</v>
      </c>
      <c r="C23" s="5">
        <v>11</v>
      </c>
      <c r="D23" s="5">
        <v>144</v>
      </c>
      <c r="E23" t="s">
        <v>410</v>
      </c>
      <c r="F23">
        <v>5.3890000000000002</v>
      </c>
      <c r="G23" s="6">
        <v>44699</v>
      </c>
      <c r="H23" t="s">
        <v>726</v>
      </c>
      <c r="I23" s="10">
        <v>42653</v>
      </c>
      <c r="J23" s="10">
        <v>42991</v>
      </c>
      <c r="K23" s="5">
        <f t="shared" si="0"/>
        <v>338</v>
      </c>
      <c r="L23" s="47">
        <v>1</v>
      </c>
      <c r="M23" s="47">
        <v>470</v>
      </c>
      <c r="N23">
        <v>0</v>
      </c>
      <c r="Q23" t="s">
        <v>75</v>
      </c>
      <c r="R23" s="5">
        <v>23</v>
      </c>
      <c r="S23" s="5">
        <v>363</v>
      </c>
      <c r="T23" s="7" t="s">
        <v>76</v>
      </c>
      <c r="U23" s="11">
        <v>5.6740000000000004</v>
      </c>
      <c r="V23" s="9" t="s">
        <v>77</v>
      </c>
      <c r="W23" s="10">
        <v>43178</v>
      </c>
      <c r="X23" s="10">
        <v>43266</v>
      </c>
      <c r="Y23" s="8">
        <f t="shared" si="2"/>
        <v>88</v>
      </c>
      <c r="Z23">
        <v>0</v>
      </c>
      <c r="AA23">
        <v>27</v>
      </c>
    </row>
    <row r="24" spans="1:32" x14ac:dyDescent="0.25">
      <c r="A24">
        <v>51</v>
      </c>
      <c r="B24" s="4" t="s">
        <v>78</v>
      </c>
      <c r="C24" s="5">
        <v>14</v>
      </c>
      <c r="D24" s="5">
        <v>9</v>
      </c>
      <c r="E24" t="s">
        <v>233</v>
      </c>
      <c r="F24">
        <v>3.254</v>
      </c>
      <c r="G24" s="6">
        <v>44699</v>
      </c>
      <c r="H24" t="s">
        <v>727</v>
      </c>
      <c r="I24" s="10">
        <v>42489</v>
      </c>
      <c r="J24" s="10">
        <v>42936</v>
      </c>
      <c r="K24" s="5">
        <f t="shared" si="0"/>
        <v>447</v>
      </c>
      <c r="L24" s="47">
        <v>1</v>
      </c>
      <c r="M24" s="47">
        <v>295</v>
      </c>
      <c r="N24">
        <v>0.5</v>
      </c>
      <c r="Q24" t="s">
        <v>79</v>
      </c>
      <c r="R24" s="5">
        <v>20</v>
      </c>
      <c r="S24" s="5">
        <v>22</v>
      </c>
      <c r="T24" s="7" t="s">
        <v>80</v>
      </c>
      <c r="U24" s="11">
        <v>2.74</v>
      </c>
      <c r="V24" s="9" t="s">
        <v>81</v>
      </c>
      <c r="W24" s="10">
        <v>43204</v>
      </c>
      <c r="X24" s="10">
        <v>43319</v>
      </c>
      <c r="Y24" s="8">
        <f t="shared" si="2"/>
        <v>115</v>
      </c>
      <c r="Z24">
        <v>0</v>
      </c>
      <c r="AA24">
        <v>60</v>
      </c>
    </row>
    <row r="25" spans="1:32" x14ac:dyDescent="0.25">
      <c r="A25">
        <v>52</v>
      </c>
      <c r="B25" s="4" t="s">
        <v>82</v>
      </c>
      <c r="C25" s="5">
        <v>23</v>
      </c>
      <c r="D25" s="5">
        <v>62</v>
      </c>
      <c r="E25" t="s">
        <v>410</v>
      </c>
      <c r="F25">
        <v>5.3890000000000002</v>
      </c>
      <c r="G25" s="6">
        <v>44699</v>
      </c>
      <c r="H25" t="s">
        <v>728</v>
      </c>
      <c r="I25" s="10">
        <v>43014</v>
      </c>
      <c r="J25" s="10">
        <v>43272</v>
      </c>
      <c r="K25" s="5">
        <f t="shared" si="0"/>
        <v>258</v>
      </c>
      <c r="L25" s="47">
        <v>1</v>
      </c>
      <c r="M25" s="47">
        <v>519</v>
      </c>
      <c r="N25">
        <v>0.70588235294117696</v>
      </c>
      <c r="Q25" t="s">
        <v>83</v>
      </c>
      <c r="R25" s="5">
        <v>7</v>
      </c>
      <c r="S25" s="5">
        <v>1</v>
      </c>
      <c r="T25" s="7" t="s">
        <v>84</v>
      </c>
      <c r="U25" s="11">
        <v>1.96</v>
      </c>
      <c r="V25" s="9" t="s">
        <v>85</v>
      </c>
      <c r="W25" s="10">
        <v>42795</v>
      </c>
      <c r="X25" s="10">
        <v>43115</v>
      </c>
      <c r="Y25" s="8">
        <f t="shared" si="2"/>
        <v>320</v>
      </c>
      <c r="Z25">
        <v>0</v>
      </c>
      <c r="AA25">
        <v>209</v>
      </c>
    </row>
    <row r="26" spans="1:32" s="14" customFormat="1" x14ac:dyDescent="0.25">
      <c r="A26">
        <v>56</v>
      </c>
      <c r="B26" s="4" t="s">
        <v>86</v>
      </c>
      <c r="C26" s="5">
        <v>3</v>
      </c>
      <c r="D26" s="5">
        <v>3</v>
      </c>
      <c r="E26" t="s">
        <v>140</v>
      </c>
      <c r="F26">
        <v>1.8779999999999999</v>
      </c>
      <c r="G26" s="6">
        <v>44699</v>
      </c>
      <c r="H26" t="s">
        <v>729</v>
      </c>
      <c r="I26" s="10" t="s">
        <v>5</v>
      </c>
      <c r="J26" s="10" t="s">
        <v>5</v>
      </c>
      <c r="K26" s="5" t="s">
        <v>5</v>
      </c>
      <c r="L26" s="47">
        <v>1</v>
      </c>
      <c r="M26" s="47">
        <v>464</v>
      </c>
      <c r="N26">
        <v>0.16666666666666699</v>
      </c>
      <c r="O26"/>
      <c r="P26"/>
      <c r="Q26" t="s">
        <v>87</v>
      </c>
      <c r="R26" s="5">
        <v>5</v>
      </c>
      <c r="S26" s="5">
        <v>0</v>
      </c>
      <c r="T26" s="7" t="s">
        <v>88</v>
      </c>
      <c r="U26" s="11">
        <v>0.97199999999999998</v>
      </c>
      <c r="V26" s="9" t="s">
        <v>89</v>
      </c>
      <c r="W26" s="10">
        <v>42984</v>
      </c>
      <c r="X26" s="10">
        <v>43367</v>
      </c>
      <c r="Y26" s="8">
        <f t="shared" si="2"/>
        <v>383</v>
      </c>
      <c r="Z26">
        <v>0</v>
      </c>
      <c r="AA26">
        <v>725</v>
      </c>
      <c r="AB26"/>
      <c r="AC26"/>
      <c r="AD26"/>
      <c r="AE26"/>
      <c r="AF26"/>
    </row>
    <row r="27" spans="1:32" x14ac:dyDescent="0.25">
      <c r="A27">
        <v>60</v>
      </c>
      <c r="B27" s="4" t="s">
        <v>90</v>
      </c>
      <c r="C27" s="5">
        <v>18</v>
      </c>
      <c r="D27" s="5">
        <v>1</v>
      </c>
      <c r="E27" t="s">
        <v>233</v>
      </c>
      <c r="F27">
        <v>3.254</v>
      </c>
      <c r="G27" s="6">
        <v>44699</v>
      </c>
      <c r="H27" t="s">
        <v>730</v>
      </c>
      <c r="I27" s="10">
        <v>42787</v>
      </c>
      <c r="J27" s="10">
        <v>42901</v>
      </c>
      <c r="K27" s="5">
        <f t="shared" si="0"/>
        <v>114</v>
      </c>
      <c r="L27" s="47">
        <v>1</v>
      </c>
      <c r="M27" s="47">
        <v>137</v>
      </c>
      <c r="N27">
        <v>0.5</v>
      </c>
      <c r="Q27" t="s">
        <v>91</v>
      </c>
      <c r="R27" s="5">
        <v>17</v>
      </c>
      <c r="S27" s="5">
        <v>2</v>
      </c>
      <c r="T27" s="7" t="s">
        <v>92</v>
      </c>
      <c r="U27" s="11">
        <v>1.2889999999999999</v>
      </c>
      <c r="V27" s="9" t="s">
        <v>93</v>
      </c>
      <c r="W27" s="5" t="s">
        <v>5</v>
      </c>
      <c r="X27" s="5" t="s">
        <v>5</v>
      </c>
      <c r="Y27" s="5" t="s">
        <v>5</v>
      </c>
      <c r="Z27">
        <v>0</v>
      </c>
      <c r="AA27">
        <v>87</v>
      </c>
    </row>
    <row r="28" spans="1:32" x14ac:dyDescent="0.25">
      <c r="A28">
        <v>61</v>
      </c>
      <c r="B28" s="4" t="s">
        <v>94</v>
      </c>
      <c r="C28" s="5">
        <v>2</v>
      </c>
      <c r="D28" s="5">
        <v>0</v>
      </c>
      <c r="E28" t="s">
        <v>233</v>
      </c>
      <c r="F28">
        <v>3.254</v>
      </c>
      <c r="G28" s="6">
        <v>44699</v>
      </c>
      <c r="H28" t="s">
        <v>731</v>
      </c>
      <c r="I28" s="10">
        <v>43168</v>
      </c>
      <c r="J28" s="10">
        <v>43625</v>
      </c>
      <c r="K28" s="5">
        <f t="shared" si="0"/>
        <v>457</v>
      </c>
      <c r="L28" s="47">
        <v>1</v>
      </c>
      <c r="M28" s="47">
        <v>259</v>
      </c>
      <c r="N28">
        <v>1</v>
      </c>
      <c r="Q28" t="s">
        <v>95</v>
      </c>
      <c r="R28" s="5">
        <v>1</v>
      </c>
      <c r="S28" s="5">
        <v>0</v>
      </c>
      <c r="T28" s="7" t="s">
        <v>96</v>
      </c>
      <c r="U28" s="11">
        <v>2.37</v>
      </c>
      <c r="V28" s="9" t="s">
        <v>97</v>
      </c>
      <c r="W28" s="5" t="s">
        <v>5</v>
      </c>
      <c r="X28" s="5" t="s">
        <v>5</v>
      </c>
      <c r="Y28" s="5" t="s">
        <v>5</v>
      </c>
      <c r="Z28">
        <v>0</v>
      </c>
      <c r="AA28">
        <v>180</v>
      </c>
    </row>
    <row r="29" spans="1:32" x14ac:dyDescent="0.25">
      <c r="A29">
        <v>65</v>
      </c>
      <c r="B29" s="4" t="s">
        <v>98</v>
      </c>
      <c r="C29" s="5">
        <v>17</v>
      </c>
      <c r="D29" s="5">
        <v>161</v>
      </c>
      <c r="E29" t="s">
        <v>410</v>
      </c>
      <c r="F29">
        <v>5.3890000000000002</v>
      </c>
      <c r="G29" s="6">
        <v>44699</v>
      </c>
      <c r="H29" t="s">
        <v>732</v>
      </c>
      <c r="I29" s="10">
        <v>42970</v>
      </c>
      <c r="J29" s="10">
        <v>43251</v>
      </c>
      <c r="K29" s="5">
        <f t="shared" si="0"/>
        <v>281</v>
      </c>
      <c r="L29" s="47">
        <v>1</v>
      </c>
      <c r="M29" s="47">
        <v>690</v>
      </c>
      <c r="N29">
        <v>1</v>
      </c>
      <c r="Q29" t="s">
        <v>99</v>
      </c>
      <c r="R29" s="5">
        <v>3</v>
      </c>
      <c r="S29" s="5">
        <v>14</v>
      </c>
      <c r="T29" s="7" t="s">
        <v>100</v>
      </c>
      <c r="U29" s="11">
        <v>2.8079999999999998</v>
      </c>
      <c r="V29" s="9" t="s">
        <v>101</v>
      </c>
      <c r="W29" s="5" t="s">
        <v>5</v>
      </c>
      <c r="X29" s="5" t="s">
        <v>5</v>
      </c>
      <c r="Y29" s="5" t="s">
        <v>5</v>
      </c>
      <c r="Z29">
        <v>1</v>
      </c>
      <c r="AA29">
        <v>440</v>
      </c>
    </row>
    <row r="30" spans="1:32" x14ac:dyDescent="0.25">
      <c r="A30">
        <v>72</v>
      </c>
      <c r="B30" s="4" t="s">
        <v>102</v>
      </c>
      <c r="C30" s="5">
        <v>17</v>
      </c>
      <c r="D30" s="5">
        <v>8</v>
      </c>
      <c r="E30" t="s">
        <v>42</v>
      </c>
      <c r="F30">
        <v>2.0670000000000002</v>
      </c>
      <c r="G30" s="6">
        <v>44699</v>
      </c>
      <c r="H30" t="s">
        <v>734</v>
      </c>
      <c r="I30" s="10">
        <v>43146</v>
      </c>
      <c r="J30" s="10">
        <v>43236</v>
      </c>
      <c r="K30" s="5">
        <f t="shared" si="0"/>
        <v>90</v>
      </c>
      <c r="L30" s="47">
        <v>1</v>
      </c>
      <c r="M30" s="47">
        <v>641</v>
      </c>
      <c r="N30">
        <v>0.45454545454545497</v>
      </c>
      <c r="Q30" t="s">
        <v>103</v>
      </c>
      <c r="R30" s="5">
        <v>23</v>
      </c>
      <c r="S30" s="5">
        <v>38</v>
      </c>
      <c r="T30" s="7" t="s">
        <v>104</v>
      </c>
      <c r="U30" s="11">
        <v>2.4049999999999998</v>
      </c>
      <c r="V30" s="9" t="s">
        <v>105</v>
      </c>
      <c r="W30" s="5" t="s">
        <v>5</v>
      </c>
      <c r="X30" s="5" t="s">
        <v>5</v>
      </c>
      <c r="Y30" s="5" t="s">
        <v>5</v>
      </c>
      <c r="Z30">
        <v>0</v>
      </c>
      <c r="AA30">
        <v>585</v>
      </c>
    </row>
    <row r="31" spans="1:32" x14ac:dyDescent="0.25">
      <c r="A31">
        <v>77</v>
      </c>
      <c r="B31" s="4" t="s">
        <v>106</v>
      </c>
      <c r="C31" s="5">
        <v>4</v>
      </c>
      <c r="D31" s="5">
        <v>59</v>
      </c>
      <c r="E31" t="s">
        <v>42</v>
      </c>
      <c r="F31">
        <v>2.0670000000000002</v>
      </c>
      <c r="G31" s="6">
        <v>44699</v>
      </c>
      <c r="H31" t="s">
        <v>735</v>
      </c>
      <c r="I31" s="10">
        <v>43333</v>
      </c>
      <c r="J31" s="10">
        <v>43402</v>
      </c>
      <c r="K31" s="5">
        <f t="shared" si="0"/>
        <v>69</v>
      </c>
      <c r="L31" s="47">
        <v>1</v>
      </c>
      <c r="M31" s="47">
        <v>314</v>
      </c>
      <c r="N31">
        <v>0</v>
      </c>
      <c r="Q31" t="s">
        <v>107</v>
      </c>
      <c r="R31" s="5">
        <v>26</v>
      </c>
      <c r="S31" s="5">
        <v>4</v>
      </c>
      <c r="T31" s="7" t="s">
        <v>108</v>
      </c>
      <c r="U31" s="11">
        <v>2.012</v>
      </c>
      <c r="V31" s="9" t="s">
        <v>109</v>
      </c>
      <c r="W31" s="5" t="s">
        <v>5</v>
      </c>
      <c r="X31" s="5" t="s">
        <v>5</v>
      </c>
      <c r="Y31" s="5" t="s">
        <v>5</v>
      </c>
      <c r="Z31">
        <v>0</v>
      </c>
      <c r="AA31">
        <v>199</v>
      </c>
    </row>
    <row r="32" spans="1:32" x14ac:dyDescent="0.25">
      <c r="A32">
        <v>79</v>
      </c>
      <c r="B32" s="4" t="s">
        <v>110</v>
      </c>
      <c r="C32" s="5">
        <v>3</v>
      </c>
      <c r="D32" s="5">
        <v>0</v>
      </c>
      <c r="E32" t="s">
        <v>374</v>
      </c>
      <c r="F32">
        <v>2.7669999999999999</v>
      </c>
      <c r="G32" s="6">
        <v>44699</v>
      </c>
      <c r="H32" t="s">
        <v>736</v>
      </c>
      <c r="I32" s="10">
        <v>43314</v>
      </c>
      <c r="J32" s="10">
        <v>43437</v>
      </c>
      <c r="K32" s="5">
        <f t="shared" si="0"/>
        <v>123</v>
      </c>
      <c r="L32" s="47">
        <v>0</v>
      </c>
      <c r="M32" s="47">
        <v>246</v>
      </c>
      <c r="N32">
        <v>0.47058823529411797</v>
      </c>
      <c r="Q32" t="s">
        <v>111</v>
      </c>
      <c r="R32" s="5">
        <v>10</v>
      </c>
      <c r="S32" s="5">
        <v>0</v>
      </c>
      <c r="T32" s="7" t="s">
        <v>112</v>
      </c>
      <c r="U32" s="11">
        <v>2.661</v>
      </c>
      <c r="V32" s="9" t="s">
        <v>113</v>
      </c>
      <c r="W32" s="5" t="s">
        <v>5</v>
      </c>
      <c r="X32" s="5" t="s">
        <v>5</v>
      </c>
      <c r="Y32" s="5" t="s">
        <v>5</v>
      </c>
      <c r="Z32">
        <v>0</v>
      </c>
      <c r="AA32">
        <v>315</v>
      </c>
    </row>
    <row r="33" spans="1:32" x14ac:dyDescent="0.25">
      <c r="A33">
        <v>80</v>
      </c>
      <c r="B33" s="4" t="s">
        <v>114</v>
      </c>
      <c r="C33" s="5">
        <v>4</v>
      </c>
      <c r="D33" s="5">
        <v>2</v>
      </c>
      <c r="E33" t="s">
        <v>42</v>
      </c>
      <c r="F33">
        <v>2.0670000000000002</v>
      </c>
      <c r="G33" t="s">
        <v>640</v>
      </c>
      <c r="H33" t="s">
        <v>737</v>
      </c>
      <c r="I33" s="10">
        <v>43266</v>
      </c>
      <c r="J33" s="10">
        <v>43430</v>
      </c>
      <c r="K33" s="5">
        <f t="shared" si="0"/>
        <v>164</v>
      </c>
      <c r="L33" s="47">
        <v>0</v>
      </c>
      <c r="M33" s="47">
        <v>171</v>
      </c>
      <c r="N33">
        <v>0.133333333333333</v>
      </c>
      <c r="Q33" t="s">
        <v>646</v>
      </c>
      <c r="R33" s="5">
        <v>14</v>
      </c>
      <c r="S33" s="5">
        <v>5</v>
      </c>
      <c r="T33" s="7" t="s">
        <v>553</v>
      </c>
      <c r="U33" s="11">
        <v>1.4119999999999999</v>
      </c>
      <c r="V33" s="24" t="s">
        <v>701</v>
      </c>
      <c r="W33" s="10">
        <v>43234</v>
      </c>
      <c r="X33" s="10">
        <v>43515</v>
      </c>
      <c r="Y33" s="8">
        <f>X33-W33</f>
        <v>281</v>
      </c>
      <c r="Z33">
        <v>0</v>
      </c>
      <c r="AA33">
        <v>40</v>
      </c>
    </row>
    <row r="34" spans="1:32" x14ac:dyDescent="0.25">
      <c r="A34">
        <v>82</v>
      </c>
      <c r="B34" s="4" t="s">
        <v>115</v>
      </c>
      <c r="C34" s="5">
        <v>19</v>
      </c>
      <c r="D34" s="5">
        <v>394</v>
      </c>
      <c r="E34" t="s">
        <v>233</v>
      </c>
      <c r="F34">
        <v>3.254</v>
      </c>
      <c r="G34" s="6">
        <v>44699</v>
      </c>
      <c r="H34" t="s">
        <v>738</v>
      </c>
      <c r="I34" s="10">
        <v>43263</v>
      </c>
      <c r="J34" s="10">
        <v>43552</v>
      </c>
      <c r="K34" s="5">
        <f t="shared" si="0"/>
        <v>289</v>
      </c>
      <c r="M34" s="47">
        <v>329</v>
      </c>
      <c r="N34">
        <v>0.54545454545454497</v>
      </c>
      <c r="Q34" t="s">
        <v>116</v>
      </c>
      <c r="R34" s="5">
        <v>11</v>
      </c>
      <c r="S34" s="5">
        <v>4</v>
      </c>
      <c r="T34" s="7" t="s">
        <v>117</v>
      </c>
      <c r="U34" s="11">
        <v>2.532</v>
      </c>
      <c r="V34" s="9" t="s">
        <v>118</v>
      </c>
      <c r="W34" s="5" t="s">
        <v>5</v>
      </c>
      <c r="X34" s="5" t="s">
        <v>5</v>
      </c>
      <c r="Y34" s="8" t="s">
        <v>5</v>
      </c>
      <c r="Z34">
        <v>1</v>
      </c>
      <c r="AA34">
        <v>557</v>
      </c>
    </row>
    <row r="35" spans="1:32" x14ac:dyDescent="0.25">
      <c r="A35" s="4">
        <v>85</v>
      </c>
      <c r="B35" s="4" t="s">
        <v>119</v>
      </c>
      <c r="C35" s="8">
        <v>10</v>
      </c>
      <c r="D35" s="8">
        <v>122</v>
      </c>
      <c r="E35" t="s">
        <v>410</v>
      </c>
      <c r="F35">
        <v>5.3890000000000002</v>
      </c>
      <c r="G35" s="6">
        <v>44699</v>
      </c>
      <c r="H35" t="s">
        <v>739</v>
      </c>
      <c r="I35" s="10">
        <v>42848</v>
      </c>
      <c r="J35" s="10">
        <v>43012</v>
      </c>
      <c r="K35" s="5">
        <f t="shared" si="0"/>
        <v>164</v>
      </c>
      <c r="L35" s="47">
        <v>0</v>
      </c>
      <c r="M35" s="47">
        <v>411</v>
      </c>
      <c r="N35">
        <v>0</v>
      </c>
      <c r="Q35" s="4" t="s">
        <v>120</v>
      </c>
      <c r="R35" s="8">
        <v>0</v>
      </c>
      <c r="S35" s="8">
        <v>0</v>
      </c>
      <c r="T35" s="7" t="s">
        <v>121</v>
      </c>
      <c r="U35" s="11">
        <v>2.8359999999999999</v>
      </c>
      <c r="V35" s="9" t="s">
        <v>122</v>
      </c>
      <c r="W35" s="8" t="s">
        <v>5</v>
      </c>
      <c r="X35" s="8" t="s">
        <v>5</v>
      </c>
      <c r="Y35" s="8" t="s">
        <v>5</v>
      </c>
      <c r="Z35">
        <v>0</v>
      </c>
      <c r="AA35">
        <v>60</v>
      </c>
    </row>
    <row r="36" spans="1:32" x14ac:dyDescent="0.25">
      <c r="A36">
        <v>97</v>
      </c>
      <c r="B36" s="4" t="s">
        <v>123</v>
      </c>
      <c r="C36" s="5">
        <v>3</v>
      </c>
      <c r="D36" s="5">
        <v>2</v>
      </c>
      <c r="E36" t="s">
        <v>351</v>
      </c>
      <c r="F36">
        <v>1.88</v>
      </c>
      <c r="G36" s="6">
        <v>44699</v>
      </c>
      <c r="H36" t="s">
        <v>740</v>
      </c>
      <c r="I36" s="10">
        <v>43079</v>
      </c>
      <c r="J36" s="10">
        <v>43391</v>
      </c>
      <c r="K36" s="5">
        <f t="shared" si="0"/>
        <v>312</v>
      </c>
      <c r="L36" s="47">
        <v>0</v>
      </c>
      <c r="M36" s="47">
        <v>165</v>
      </c>
      <c r="N36">
        <v>0</v>
      </c>
      <c r="Q36" t="s">
        <v>124</v>
      </c>
      <c r="R36" s="5">
        <v>6</v>
      </c>
      <c r="S36" s="5" t="s">
        <v>5</v>
      </c>
      <c r="T36" s="7" t="s">
        <v>62</v>
      </c>
      <c r="U36" s="8">
        <v>3.169</v>
      </c>
      <c r="V36" s="9" t="s">
        <v>125</v>
      </c>
      <c r="W36" s="5" t="s">
        <v>5</v>
      </c>
      <c r="X36" s="5" t="s">
        <v>5</v>
      </c>
      <c r="Y36" s="8" t="s">
        <v>5</v>
      </c>
      <c r="Z36">
        <v>1</v>
      </c>
      <c r="AA36">
        <v>110</v>
      </c>
    </row>
    <row r="37" spans="1:32" x14ac:dyDescent="0.25">
      <c r="A37">
        <v>99</v>
      </c>
      <c r="B37" s="4" t="s">
        <v>126</v>
      </c>
      <c r="C37" s="5">
        <v>14</v>
      </c>
      <c r="D37" s="5">
        <v>54</v>
      </c>
      <c r="E37" t="s">
        <v>233</v>
      </c>
      <c r="F37">
        <v>3.294</v>
      </c>
      <c r="G37" s="6">
        <v>44699</v>
      </c>
      <c r="H37" t="s">
        <v>741</v>
      </c>
      <c r="I37" s="10">
        <v>43280</v>
      </c>
      <c r="J37" s="10">
        <v>43412</v>
      </c>
      <c r="K37" s="5">
        <f t="shared" si="0"/>
        <v>132</v>
      </c>
      <c r="L37" s="47">
        <v>1</v>
      </c>
      <c r="M37" s="47">
        <v>1295</v>
      </c>
      <c r="N37">
        <v>0.5</v>
      </c>
      <c r="Q37" t="s">
        <v>127</v>
      </c>
      <c r="R37" s="5">
        <v>1</v>
      </c>
      <c r="S37" s="5">
        <v>4</v>
      </c>
      <c r="T37" s="7" t="s">
        <v>128</v>
      </c>
      <c r="U37" s="11">
        <v>1.5369999999999999</v>
      </c>
      <c r="V37" s="9" t="s">
        <v>129</v>
      </c>
      <c r="W37" s="10">
        <v>43263</v>
      </c>
      <c r="X37" s="10">
        <v>43431</v>
      </c>
      <c r="Y37" s="8">
        <f>X37-W37</f>
        <v>168</v>
      </c>
      <c r="Z37">
        <v>1</v>
      </c>
      <c r="AA37">
        <v>501</v>
      </c>
    </row>
    <row r="38" spans="1:32" s="15" customFormat="1" x14ac:dyDescent="0.25">
      <c r="A38">
        <v>100</v>
      </c>
      <c r="B38" s="4" t="s">
        <v>130</v>
      </c>
      <c r="C38" s="5">
        <v>8</v>
      </c>
      <c r="D38" s="5">
        <v>1</v>
      </c>
      <c r="E38" t="s">
        <v>410</v>
      </c>
      <c r="F38">
        <v>5.3890000000000002</v>
      </c>
      <c r="G38" s="6">
        <v>44699</v>
      </c>
      <c r="H38" t="s">
        <v>742</v>
      </c>
      <c r="I38" s="10">
        <v>42564</v>
      </c>
      <c r="J38" s="10">
        <v>43090</v>
      </c>
      <c r="K38" s="5">
        <f t="shared" si="0"/>
        <v>526</v>
      </c>
      <c r="L38" s="47">
        <v>1</v>
      </c>
      <c r="M38" s="47">
        <v>399</v>
      </c>
      <c r="N38">
        <v>0</v>
      </c>
      <c r="O38"/>
      <c r="P38"/>
      <c r="Q38" t="s">
        <v>131</v>
      </c>
      <c r="R38" s="5">
        <v>68</v>
      </c>
      <c r="S38" s="5">
        <v>286</v>
      </c>
      <c r="T38" s="7" t="s">
        <v>132</v>
      </c>
      <c r="U38" s="11">
        <v>7.5250000000000004</v>
      </c>
      <c r="V38" s="9" t="s">
        <v>133</v>
      </c>
      <c r="W38" s="5" t="s">
        <v>5</v>
      </c>
      <c r="X38" s="5" t="s">
        <v>5</v>
      </c>
      <c r="Y38" s="8" t="s">
        <v>5</v>
      </c>
      <c r="Z38" s="4">
        <v>0</v>
      </c>
      <c r="AA38">
        <v>108</v>
      </c>
      <c r="AB38"/>
      <c r="AC38"/>
      <c r="AD38"/>
      <c r="AE38" s="4"/>
      <c r="AF38" s="4"/>
    </row>
    <row r="39" spans="1:32" x14ac:dyDescent="0.25">
      <c r="A39">
        <v>104</v>
      </c>
      <c r="B39" s="4" t="s">
        <v>134</v>
      </c>
      <c r="C39" s="5">
        <v>46</v>
      </c>
      <c r="D39" s="5">
        <v>5</v>
      </c>
      <c r="E39" t="s">
        <v>233</v>
      </c>
      <c r="F39">
        <v>3.294</v>
      </c>
      <c r="G39" s="6">
        <v>44699</v>
      </c>
      <c r="H39" t="s">
        <v>743</v>
      </c>
      <c r="I39" s="10">
        <v>43223</v>
      </c>
      <c r="J39" s="10">
        <v>43266</v>
      </c>
      <c r="K39" s="5">
        <f t="shared" si="0"/>
        <v>43</v>
      </c>
      <c r="L39" s="47">
        <v>1</v>
      </c>
      <c r="M39" s="47">
        <v>801</v>
      </c>
      <c r="N39">
        <v>0.125</v>
      </c>
      <c r="Q39" t="s">
        <v>135</v>
      </c>
      <c r="R39" s="5">
        <v>77</v>
      </c>
      <c r="S39" s="5">
        <v>42</v>
      </c>
      <c r="T39" s="7" t="s">
        <v>136</v>
      </c>
      <c r="U39" s="11">
        <v>2.1629999999999998</v>
      </c>
      <c r="V39" s="9" t="s">
        <v>137</v>
      </c>
      <c r="W39" s="5" t="s">
        <v>5</v>
      </c>
      <c r="X39" s="5" t="s">
        <v>5</v>
      </c>
      <c r="Y39" s="8" t="s">
        <v>5</v>
      </c>
      <c r="Z39">
        <v>0</v>
      </c>
      <c r="AA39">
        <v>498</v>
      </c>
    </row>
    <row r="40" spans="1:32" s="14" customFormat="1" x14ac:dyDescent="0.25">
      <c r="A40">
        <v>105</v>
      </c>
      <c r="B40" s="4" t="s">
        <v>138</v>
      </c>
      <c r="C40" s="5">
        <v>14</v>
      </c>
      <c r="D40" s="5">
        <v>17</v>
      </c>
      <c r="E40" t="s">
        <v>374</v>
      </c>
      <c r="F40">
        <v>2.7669999999999999</v>
      </c>
      <c r="G40" s="6">
        <v>44699</v>
      </c>
      <c r="H40" t="s">
        <v>744</v>
      </c>
      <c r="I40" s="10">
        <v>43038</v>
      </c>
      <c r="J40" s="10">
        <v>43134</v>
      </c>
      <c r="K40" s="5">
        <f t="shared" si="0"/>
        <v>96</v>
      </c>
      <c r="L40" s="47">
        <v>0</v>
      </c>
      <c r="M40" s="47">
        <v>580</v>
      </c>
      <c r="N40">
        <v>0</v>
      </c>
      <c r="O40"/>
      <c r="P40"/>
      <c r="Q40" t="s">
        <v>139</v>
      </c>
      <c r="R40" s="5">
        <v>8</v>
      </c>
      <c r="S40" s="5">
        <v>14</v>
      </c>
      <c r="T40" s="7" t="s">
        <v>140</v>
      </c>
      <c r="U40" s="11">
        <v>1.8779999999999999</v>
      </c>
      <c r="V40" s="9" t="s">
        <v>141</v>
      </c>
      <c r="W40" s="5" t="s">
        <v>5</v>
      </c>
      <c r="X40" s="5" t="s">
        <v>5</v>
      </c>
      <c r="Y40" s="8" t="s">
        <v>5</v>
      </c>
      <c r="Z40">
        <v>0</v>
      </c>
      <c r="AA40">
        <v>314</v>
      </c>
      <c r="AB40"/>
      <c r="AC40"/>
      <c r="AD40"/>
      <c r="AE40"/>
      <c r="AF40"/>
    </row>
    <row r="41" spans="1:32" x14ac:dyDescent="0.25">
      <c r="A41">
        <v>114</v>
      </c>
      <c r="B41" s="4" t="s">
        <v>142</v>
      </c>
      <c r="C41" s="5">
        <v>26</v>
      </c>
      <c r="D41" s="5">
        <v>391</v>
      </c>
      <c r="E41" t="s">
        <v>410</v>
      </c>
      <c r="F41">
        <v>5.3890000000000002</v>
      </c>
      <c r="G41" s="6">
        <v>44699</v>
      </c>
      <c r="H41" t="s">
        <v>745</v>
      </c>
      <c r="I41" s="10">
        <v>42824</v>
      </c>
      <c r="J41" s="10">
        <v>43013</v>
      </c>
      <c r="K41" s="5">
        <f t="shared" si="0"/>
        <v>189</v>
      </c>
      <c r="L41" s="47">
        <v>0</v>
      </c>
      <c r="M41" s="47">
        <v>150</v>
      </c>
      <c r="N41">
        <v>0.33333333333333298</v>
      </c>
      <c r="Q41" t="s">
        <v>143</v>
      </c>
      <c r="R41" s="5">
        <v>1</v>
      </c>
      <c r="S41" s="5">
        <v>0</v>
      </c>
      <c r="T41" s="7" t="s">
        <v>144</v>
      </c>
      <c r="U41" s="11" t="s">
        <v>5</v>
      </c>
      <c r="V41" s="9" t="s">
        <v>145</v>
      </c>
      <c r="W41" s="10">
        <v>43395</v>
      </c>
      <c r="X41" s="10">
        <v>43445</v>
      </c>
      <c r="Y41" s="8">
        <f t="shared" ref="Y41:Y47" si="3">X41-W41</f>
        <v>50</v>
      </c>
      <c r="Z41">
        <v>0</v>
      </c>
      <c r="AA41">
        <v>267</v>
      </c>
    </row>
    <row r="42" spans="1:32" s="33" customFormat="1" x14ac:dyDescent="0.25">
      <c r="A42" s="33">
        <v>118</v>
      </c>
      <c r="B42" s="34" t="s">
        <v>146</v>
      </c>
      <c r="C42" s="35">
        <v>5</v>
      </c>
      <c r="D42" s="35">
        <v>8</v>
      </c>
      <c r="E42" s="33" t="s">
        <v>84</v>
      </c>
      <c r="F42" s="33">
        <v>1.96</v>
      </c>
      <c r="G42" s="36">
        <v>44888</v>
      </c>
      <c r="H42" s="33" t="s">
        <v>746</v>
      </c>
      <c r="I42" s="40">
        <v>43208</v>
      </c>
      <c r="J42" s="40">
        <v>43429</v>
      </c>
      <c r="K42" s="5">
        <f t="shared" si="0"/>
        <v>221</v>
      </c>
      <c r="L42" s="48">
        <v>1</v>
      </c>
      <c r="M42" s="48">
        <v>75</v>
      </c>
      <c r="N42" s="33">
        <v>0.11764705882352899</v>
      </c>
      <c r="Q42" s="33" t="s">
        <v>917</v>
      </c>
      <c r="R42" s="35">
        <v>5</v>
      </c>
      <c r="S42" s="35">
        <v>4</v>
      </c>
      <c r="T42" s="33" t="s">
        <v>84</v>
      </c>
      <c r="U42" s="33">
        <v>1.96</v>
      </c>
      <c r="V42" s="41" t="s">
        <v>918</v>
      </c>
      <c r="W42" s="40">
        <v>43328</v>
      </c>
      <c r="X42" s="40">
        <v>43683</v>
      </c>
      <c r="Y42" s="42">
        <f t="shared" si="3"/>
        <v>355</v>
      </c>
      <c r="Z42" s="33">
        <v>1</v>
      </c>
      <c r="AA42" s="33">
        <v>36</v>
      </c>
    </row>
    <row r="43" spans="1:32" x14ac:dyDescent="0.25">
      <c r="A43">
        <v>119</v>
      </c>
      <c r="B43" s="4" t="s">
        <v>147</v>
      </c>
      <c r="C43" s="5">
        <v>7</v>
      </c>
      <c r="D43" s="5">
        <v>0</v>
      </c>
      <c r="E43" t="s">
        <v>25</v>
      </c>
      <c r="F43">
        <v>2.4729999999999999</v>
      </c>
      <c r="G43" s="6">
        <v>44699</v>
      </c>
      <c r="H43" t="s">
        <v>747</v>
      </c>
      <c r="I43" s="10">
        <v>43291</v>
      </c>
      <c r="J43" s="10">
        <v>43396</v>
      </c>
      <c r="K43" s="5">
        <f t="shared" si="0"/>
        <v>105</v>
      </c>
      <c r="L43" s="47">
        <v>1</v>
      </c>
      <c r="M43" s="47">
        <v>60</v>
      </c>
      <c r="N43">
        <v>0</v>
      </c>
      <c r="Q43" t="s">
        <v>148</v>
      </c>
      <c r="R43" s="5">
        <v>19</v>
      </c>
      <c r="S43" s="5">
        <v>2</v>
      </c>
      <c r="T43" s="7" t="s">
        <v>42</v>
      </c>
      <c r="U43" s="8">
        <v>2.0670000000000002</v>
      </c>
      <c r="V43" s="9" t="s">
        <v>149</v>
      </c>
      <c r="W43" s="10">
        <v>43514</v>
      </c>
      <c r="X43" s="10">
        <v>43625</v>
      </c>
      <c r="Y43" s="8">
        <f t="shared" si="3"/>
        <v>111</v>
      </c>
      <c r="Z43">
        <v>0</v>
      </c>
      <c r="AA43">
        <v>40</v>
      </c>
    </row>
    <row r="44" spans="1:32" x14ac:dyDescent="0.25">
      <c r="A44">
        <v>121</v>
      </c>
      <c r="B44" s="4" t="s">
        <v>150</v>
      </c>
      <c r="C44" s="5">
        <v>14</v>
      </c>
      <c r="D44" s="5">
        <v>14</v>
      </c>
      <c r="E44" t="s">
        <v>374</v>
      </c>
      <c r="F44">
        <v>2.7669999999999999</v>
      </c>
      <c r="G44" s="6">
        <v>44699</v>
      </c>
      <c r="H44" t="s">
        <v>748</v>
      </c>
      <c r="I44" s="10">
        <v>43286</v>
      </c>
      <c r="J44" s="10">
        <v>43350</v>
      </c>
      <c r="K44" s="5">
        <f t="shared" si="0"/>
        <v>64</v>
      </c>
      <c r="L44" s="47">
        <v>1</v>
      </c>
      <c r="M44" s="47">
        <v>165</v>
      </c>
      <c r="N44">
        <v>0</v>
      </c>
      <c r="Q44" t="s">
        <v>151</v>
      </c>
      <c r="R44" s="5">
        <v>6</v>
      </c>
      <c r="S44" s="5">
        <v>4</v>
      </c>
      <c r="T44" s="7" t="s">
        <v>152</v>
      </c>
      <c r="U44" s="11">
        <v>1.427</v>
      </c>
      <c r="V44" s="9" t="s">
        <v>153</v>
      </c>
      <c r="W44" s="10">
        <v>43541</v>
      </c>
      <c r="X44" s="10">
        <v>43629</v>
      </c>
      <c r="Y44" s="8">
        <f t="shared" si="3"/>
        <v>88</v>
      </c>
      <c r="Z44">
        <v>1</v>
      </c>
      <c r="AA44">
        <v>125</v>
      </c>
    </row>
    <row r="45" spans="1:32" x14ac:dyDescent="0.25">
      <c r="A45">
        <v>127</v>
      </c>
      <c r="B45" s="4" t="s">
        <v>154</v>
      </c>
      <c r="C45" s="5">
        <v>4</v>
      </c>
      <c r="D45" s="5">
        <v>2</v>
      </c>
      <c r="E45" t="s">
        <v>374</v>
      </c>
      <c r="F45">
        <v>2.7669999999999999</v>
      </c>
      <c r="G45" s="6">
        <v>44699</v>
      </c>
      <c r="H45" t="s">
        <v>749</v>
      </c>
      <c r="I45" s="10">
        <v>43308</v>
      </c>
      <c r="J45" s="10">
        <v>43404</v>
      </c>
      <c r="K45" s="5">
        <f t="shared" si="0"/>
        <v>96</v>
      </c>
      <c r="L45" s="47">
        <v>1</v>
      </c>
      <c r="M45" s="47">
        <v>46</v>
      </c>
      <c r="N45">
        <v>0.14285714285714299</v>
      </c>
      <c r="Q45" t="s">
        <v>155</v>
      </c>
      <c r="R45" s="5">
        <v>2</v>
      </c>
      <c r="S45" s="5">
        <v>4</v>
      </c>
      <c r="T45" s="7" t="s">
        <v>156</v>
      </c>
      <c r="U45" s="11">
        <v>2.673</v>
      </c>
      <c r="V45" s="9" t="s">
        <v>157</v>
      </c>
      <c r="W45" s="10">
        <v>43132</v>
      </c>
      <c r="X45" s="10">
        <v>43203</v>
      </c>
      <c r="Y45" s="8">
        <f t="shared" si="3"/>
        <v>71</v>
      </c>
      <c r="Z45">
        <v>0</v>
      </c>
      <c r="AA45">
        <v>65</v>
      </c>
    </row>
    <row r="46" spans="1:32" s="14" customFormat="1" x14ac:dyDescent="0.25">
      <c r="A46">
        <v>133</v>
      </c>
      <c r="B46" s="4" t="s">
        <v>158</v>
      </c>
      <c r="C46" s="5">
        <v>5</v>
      </c>
      <c r="D46" s="5">
        <v>4</v>
      </c>
      <c r="E46" t="s">
        <v>360</v>
      </c>
      <c r="F46">
        <v>3.294</v>
      </c>
      <c r="G46" s="6">
        <v>44699</v>
      </c>
      <c r="H46" t="s">
        <v>751</v>
      </c>
      <c r="I46" s="10">
        <v>43175</v>
      </c>
      <c r="J46" s="10">
        <v>43319</v>
      </c>
      <c r="K46" s="5">
        <f t="shared" si="0"/>
        <v>144</v>
      </c>
      <c r="L46" s="47">
        <v>1</v>
      </c>
      <c r="M46" s="47">
        <v>412</v>
      </c>
      <c r="N46">
        <v>0</v>
      </c>
      <c r="O46"/>
      <c r="P46"/>
      <c r="Q46" t="s">
        <v>159</v>
      </c>
      <c r="R46" s="5">
        <v>5</v>
      </c>
      <c r="S46" s="5">
        <v>0</v>
      </c>
      <c r="T46" s="7" t="s">
        <v>80</v>
      </c>
      <c r="U46" s="11">
        <v>2.74</v>
      </c>
      <c r="V46" s="18" t="s">
        <v>160</v>
      </c>
      <c r="W46" s="10">
        <v>43307</v>
      </c>
      <c r="X46" s="10">
        <v>43395</v>
      </c>
      <c r="Y46" s="8">
        <f t="shared" si="3"/>
        <v>88</v>
      </c>
      <c r="Z46">
        <v>0</v>
      </c>
      <c r="AA46">
        <v>202</v>
      </c>
      <c r="AB46"/>
      <c r="AC46"/>
      <c r="AD46"/>
      <c r="AE46"/>
      <c r="AF46"/>
    </row>
    <row r="47" spans="1:32" x14ac:dyDescent="0.25">
      <c r="A47">
        <v>134</v>
      </c>
      <c r="B47" s="4" t="s">
        <v>161</v>
      </c>
      <c r="C47" s="5">
        <v>38</v>
      </c>
      <c r="D47" s="5">
        <v>269</v>
      </c>
      <c r="E47" t="s">
        <v>410</v>
      </c>
      <c r="F47">
        <v>5.3890000000000002</v>
      </c>
      <c r="G47" s="6">
        <v>44699</v>
      </c>
      <c r="H47" t="s">
        <v>752</v>
      </c>
      <c r="I47" s="10">
        <v>42447</v>
      </c>
      <c r="J47" s="10">
        <v>42993</v>
      </c>
      <c r="K47" s="5">
        <f t="shared" si="0"/>
        <v>546</v>
      </c>
      <c r="L47" s="47">
        <v>1</v>
      </c>
      <c r="M47" s="47">
        <v>500</v>
      </c>
      <c r="N47">
        <v>1</v>
      </c>
      <c r="Q47" t="s">
        <v>162</v>
      </c>
      <c r="R47" s="5">
        <v>29</v>
      </c>
      <c r="S47" s="5">
        <v>21</v>
      </c>
      <c r="T47" s="7" t="s">
        <v>163</v>
      </c>
      <c r="U47" s="11">
        <v>5.0030000000000001</v>
      </c>
      <c r="V47" s="9" t="s">
        <v>164</v>
      </c>
      <c r="W47" s="10">
        <v>42870</v>
      </c>
      <c r="X47" s="10">
        <v>43188</v>
      </c>
      <c r="Y47" s="8">
        <f t="shared" si="3"/>
        <v>318</v>
      </c>
      <c r="Z47">
        <v>0</v>
      </c>
      <c r="AA47">
        <v>172</v>
      </c>
    </row>
    <row r="48" spans="1:32" x14ac:dyDescent="0.25">
      <c r="A48">
        <v>141</v>
      </c>
      <c r="B48" s="4" t="s">
        <v>165</v>
      </c>
      <c r="C48" s="5">
        <v>7</v>
      </c>
      <c r="D48" s="5">
        <v>21</v>
      </c>
      <c r="E48" t="s">
        <v>410</v>
      </c>
      <c r="F48">
        <v>5.3890000000000002</v>
      </c>
      <c r="G48" s="6">
        <v>44699</v>
      </c>
      <c r="H48" t="s">
        <v>753</v>
      </c>
      <c r="I48" s="10">
        <v>43132</v>
      </c>
      <c r="J48" s="10">
        <v>43312</v>
      </c>
      <c r="K48" s="5">
        <f t="shared" si="0"/>
        <v>180</v>
      </c>
      <c r="L48" s="47">
        <v>0</v>
      </c>
      <c r="M48" s="47">
        <v>1232</v>
      </c>
      <c r="N48">
        <v>1</v>
      </c>
      <c r="Q48" t="s">
        <v>166</v>
      </c>
      <c r="R48" s="5">
        <v>7</v>
      </c>
      <c r="S48" s="5" t="s">
        <v>5</v>
      </c>
      <c r="T48" s="7" t="s">
        <v>136</v>
      </c>
      <c r="U48" s="11">
        <v>2.1629999999999998</v>
      </c>
      <c r="V48" s="9" t="s">
        <v>167</v>
      </c>
      <c r="W48" s="5" t="s">
        <v>5</v>
      </c>
      <c r="X48" s="5" t="s">
        <v>5</v>
      </c>
      <c r="Y48" s="8" t="s">
        <v>5</v>
      </c>
      <c r="Z48">
        <v>0</v>
      </c>
      <c r="AA48">
        <v>116</v>
      </c>
    </row>
    <row r="49" spans="1:30" x14ac:dyDescent="0.25">
      <c r="A49">
        <v>149</v>
      </c>
      <c r="B49" s="4" t="s">
        <v>168</v>
      </c>
      <c r="C49" s="5">
        <v>40</v>
      </c>
      <c r="D49" s="5">
        <v>85</v>
      </c>
      <c r="E49" t="s">
        <v>613</v>
      </c>
      <c r="F49">
        <v>3.0670000000000002</v>
      </c>
      <c r="G49" s="6">
        <v>44699</v>
      </c>
      <c r="H49" t="s">
        <v>754</v>
      </c>
      <c r="I49" s="10">
        <v>43115</v>
      </c>
      <c r="J49" s="10">
        <v>43176</v>
      </c>
      <c r="K49" s="5">
        <f t="shared" si="0"/>
        <v>61</v>
      </c>
      <c r="L49" s="47">
        <v>0</v>
      </c>
      <c r="M49" s="47">
        <v>157</v>
      </c>
      <c r="N49">
        <v>5.8823529411764698E-2</v>
      </c>
      <c r="Q49" t="s">
        <v>169</v>
      </c>
      <c r="R49" s="5">
        <v>27</v>
      </c>
      <c r="S49" s="5">
        <v>25</v>
      </c>
      <c r="T49" s="7" t="s">
        <v>170</v>
      </c>
      <c r="U49" s="11">
        <v>3.6840000000000002</v>
      </c>
      <c r="V49" s="9" t="s">
        <v>171</v>
      </c>
      <c r="W49" s="10">
        <v>42852</v>
      </c>
      <c r="X49" s="10">
        <v>43047</v>
      </c>
      <c r="Y49" s="8">
        <f t="shared" ref="Y49:Y61" si="4">X49-W49</f>
        <v>195</v>
      </c>
      <c r="Z49">
        <v>0</v>
      </c>
      <c r="AA49">
        <v>52</v>
      </c>
    </row>
    <row r="50" spans="1:30" x14ac:dyDescent="0.25">
      <c r="A50" s="25">
        <v>150</v>
      </c>
      <c r="B50" s="4" t="s">
        <v>172</v>
      </c>
      <c r="C50" s="27">
        <v>10</v>
      </c>
      <c r="D50" s="27">
        <v>9</v>
      </c>
      <c r="E50" s="25" t="s">
        <v>410</v>
      </c>
      <c r="F50" s="25">
        <v>5.3890000000000002</v>
      </c>
      <c r="G50" s="28">
        <v>44880</v>
      </c>
      <c r="H50" s="25" t="s">
        <v>755</v>
      </c>
      <c r="I50" s="30">
        <v>42845</v>
      </c>
      <c r="J50" s="30">
        <v>43241</v>
      </c>
      <c r="K50" s="5">
        <f t="shared" si="0"/>
        <v>396</v>
      </c>
      <c r="L50" s="49">
        <v>0</v>
      </c>
      <c r="M50" s="49">
        <v>2078</v>
      </c>
      <c r="N50" s="25">
        <v>1</v>
      </c>
      <c r="O50" s="25"/>
      <c r="P50" s="25"/>
      <c r="Q50" s="25" t="s">
        <v>908</v>
      </c>
      <c r="R50" s="27">
        <v>11</v>
      </c>
      <c r="S50" s="27">
        <v>1</v>
      </c>
      <c r="T50" s="7" t="s">
        <v>872</v>
      </c>
      <c r="U50" s="8">
        <v>1.895</v>
      </c>
      <c r="V50" s="29" t="s">
        <v>909</v>
      </c>
      <c r="W50" s="30">
        <v>42992</v>
      </c>
      <c r="X50" s="30">
        <v>43200</v>
      </c>
      <c r="Y50" s="8">
        <f t="shared" si="4"/>
        <v>208</v>
      </c>
      <c r="Z50" s="8">
        <v>0</v>
      </c>
      <c r="AA50" s="8">
        <v>710</v>
      </c>
      <c r="AB50" s="25"/>
      <c r="AC50" s="25"/>
      <c r="AD50" s="25"/>
    </row>
    <row r="51" spans="1:30" x14ac:dyDescent="0.25">
      <c r="A51">
        <v>152</v>
      </c>
      <c r="B51" s="4" t="s">
        <v>173</v>
      </c>
      <c r="C51" s="5">
        <v>10</v>
      </c>
      <c r="D51" s="5">
        <v>18</v>
      </c>
      <c r="E51" t="s">
        <v>410</v>
      </c>
      <c r="F51">
        <v>5.3890000000000002</v>
      </c>
      <c r="G51" s="6">
        <v>44699</v>
      </c>
      <c r="H51" t="s">
        <v>756</v>
      </c>
      <c r="I51" s="10">
        <v>43226</v>
      </c>
      <c r="J51" s="10">
        <v>43599</v>
      </c>
      <c r="K51" s="5">
        <f t="shared" si="0"/>
        <v>373</v>
      </c>
      <c r="L51" s="47">
        <v>1</v>
      </c>
      <c r="M51" s="47">
        <v>33</v>
      </c>
      <c r="N51">
        <v>0.375</v>
      </c>
      <c r="Q51" t="s">
        <v>174</v>
      </c>
      <c r="R51">
        <v>4</v>
      </c>
      <c r="S51" s="5" t="s">
        <v>5</v>
      </c>
      <c r="T51" s="7" t="s">
        <v>175</v>
      </c>
      <c r="U51" s="11">
        <v>1.44</v>
      </c>
      <c r="V51" s="9" t="s">
        <v>176</v>
      </c>
      <c r="W51" s="10">
        <v>43477</v>
      </c>
      <c r="X51" s="10">
        <v>43557</v>
      </c>
      <c r="Y51" s="8">
        <f t="shared" si="4"/>
        <v>80</v>
      </c>
      <c r="Z51">
        <v>0</v>
      </c>
      <c r="AA51">
        <v>27</v>
      </c>
    </row>
    <row r="52" spans="1:30" x14ac:dyDescent="0.25">
      <c r="A52">
        <v>153</v>
      </c>
      <c r="B52" s="4" t="s">
        <v>177</v>
      </c>
      <c r="C52" s="5">
        <v>28</v>
      </c>
      <c r="D52" s="5">
        <v>28</v>
      </c>
      <c r="E52" t="s">
        <v>410</v>
      </c>
      <c r="F52">
        <v>5.3890000000000002</v>
      </c>
      <c r="G52" s="6">
        <v>44699</v>
      </c>
      <c r="H52" t="s">
        <v>757</v>
      </c>
      <c r="I52" s="10">
        <v>41831</v>
      </c>
      <c r="J52" s="10">
        <v>42418</v>
      </c>
      <c r="K52" s="5">
        <f t="shared" si="0"/>
        <v>587</v>
      </c>
      <c r="L52" s="47">
        <v>1</v>
      </c>
      <c r="M52" s="47">
        <v>272</v>
      </c>
      <c r="N52">
        <v>1</v>
      </c>
      <c r="Q52" t="s">
        <v>178</v>
      </c>
      <c r="R52" s="5">
        <v>2</v>
      </c>
      <c r="S52" s="5">
        <v>10</v>
      </c>
      <c r="T52" s="7" t="s">
        <v>73</v>
      </c>
      <c r="U52" s="8">
        <v>2.6520000000000001</v>
      </c>
      <c r="V52" s="9" t="s">
        <v>179</v>
      </c>
      <c r="W52" s="10">
        <v>42339</v>
      </c>
      <c r="X52" s="10">
        <v>42543</v>
      </c>
      <c r="Y52" s="8">
        <f t="shared" si="4"/>
        <v>204</v>
      </c>
      <c r="Z52">
        <v>0</v>
      </c>
      <c r="AA52">
        <v>93</v>
      </c>
    </row>
    <row r="53" spans="1:30" x14ac:dyDescent="0.25">
      <c r="A53">
        <v>154</v>
      </c>
      <c r="B53" s="4" t="s">
        <v>180</v>
      </c>
      <c r="C53" s="5">
        <v>10</v>
      </c>
      <c r="D53" s="5">
        <v>2</v>
      </c>
      <c r="E53" t="s">
        <v>182</v>
      </c>
      <c r="F53">
        <v>3.91</v>
      </c>
      <c r="G53" s="6">
        <v>44699</v>
      </c>
      <c r="H53" t="s">
        <v>758</v>
      </c>
      <c r="I53" s="10">
        <v>42979</v>
      </c>
      <c r="J53" s="10">
        <v>43146</v>
      </c>
      <c r="K53" s="5">
        <f t="shared" si="0"/>
        <v>167</v>
      </c>
      <c r="L53" s="47">
        <v>0</v>
      </c>
      <c r="M53" s="47">
        <v>68</v>
      </c>
      <c r="N53">
        <v>0.11764705882352899</v>
      </c>
      <c r="Q53" t="s">
        <v>181</v>
      </c>
      <c r="R53" s="5">
        <v>8</v>
      </c>
      <c r="S53" s="5">
        <v>0</v>
      </c>
      <c r="T53" s="7" t="s">
        <v>182</v>
      </c>
      <c r="U53" s="11">
        <v>3.91</v>
      </c>
      <c r="V53" s="9" t="s">
        <v>183</v>
      </c>
      <c r="W53" s="10">
        <v>42900</v>
      </c>
      <c r="X53" s="10">
        <v>42947</v>
      </c>
      <c r="Y53" s="8">
        <f t="shared" si="4"/>
        <v>47</v>
      </c>
      <c r="Z53">
        <v>0</v>
      </c>
      <c r="AA53">
        <v>1118</v>
      </c>
    </row>
    <row r="54" spans="1:30" x14ac:dyDescent="0.25">
      <c r="A54">
        <v>155</v>
      </c>
      <c r="B54" s="4" t="s">
        <v>184</v>
      </c>
      <c r="C54" s="5">
        <v>1</v>
      </c>
      <c r="D54" s="5">
        <v>0</v>
      </c>
      <c r="E54" t="s">
        <v>233</v>
      </c>
      <c r="F54">
        <v>3.294</v>
      </c>
      <c r="G54" s="6">
        <v>44699</v>
      </c>
      <c r="H54" t="s">
        <v>759</v>
      </c>
      <c r="I54" s="10">
        <v>43088</v>
      </c>
      <c r="J54" s="10">
        <v>43218</v>
      </c>
      <c r="K54" s="5">
        <f t="shared" si="0"/>
        <v>130</v>
      </c>
      <c r="L54" s="47">
        <v>1</v>
      </c>
      <c r="M54" s="47">
        <v>502</v>
      </c>
      <c r="N54">
        <v>0.33333333333333298</v>
      </c>
      <c r="Q54" t="s">
        <v>185</v>
      </c>
      <c r="R54" s="5">
        <v>6</v>
      </c>
      <c r="S54" s="5">
        <v>0</v>
      </c>
      <c r="T54" s="7" t="s">
        <v>80</v>
      </c>
      <c r="U54" s="11">
        <v>2.74</v>
      </c>
      <c r="V54" s="31" t="s">
        <v>186</v>
      </c>
      <c r="W54" s="10">
        <v>43027</v>
      </c>
      <c r="X54" s="10">
        <v>43294</v>
      </c>
      <c r="Y54" s="8">
        <f t="shared" si="4"/>
        <v>267</v>
      </c>
      <c r="Z54">
        <v>0</v>
      </c>
      <c r="AA54">
        <v>100</v>
      </c>
    </row>
    <row r="55" spans="1:30" x14ac:dyDescent="0.25">
      <c r="A55">
        <v>156</v>
      </c>
      <c r="B55" s="4" t="s">
        <v>187</v>
      </c>
      <c r="C55" s="5">
        <v>8</v>
      </c>
      <c r="D55" s="5">
        <v>30</v>
      </c>
      <c r="E55" t="s">
        <v>410</v>
      </c>
      <c r="F55">
        <v>5.3890000000000002</v>
      </c>
      <c r="G55" s="6">
        <v>44699</v>
      </c>
      <c r="H55" t="s">
        <v>760</v>
      </c>
      <c r="I55" s="10">
        <v>42048</v>
      </c>
      <c r="J55" s="10">
        <v>42969</v>
      </c>
      <c r="K55" s="5">
        <f t="shared" si="0"/>
        <v>921</v>
      </c>
      <c r="L55" s="47">
        <v>0</v>
      </c>
      <c r="M55" s="47">
        <v>86</v>
      </c>
      <c r="N55">
        <v>1</v>
      </c>
      <c r="Q55" t="s">
        <v>188</v>
      </c>
      <c r="R55" s="5">
        <v>8</v>
      </c>
      <c r="S55" s="5">
        <v>0</v>
      </c>
      <c r="T55" s="7" t="s">
        <v>80</v>
      </c>
      <c r="U55" s="11">
        <v>2.74</v>
      </c>
      <c r="V55" s="18" t="s">
        <v>189</v>
      </c>
      <c r="W55" s="10">
        <v>43305</v>
      </c>
      <c r="X55" s="10">
        <v>43409</v>
      </c>
      <c r="Y55" s="8">
        <f t="shared" si="4"/>
        <v>104</v>
      </c>
      <c r="Z55">
        <v>0</v>
      </c>
      <c r="AA55">
        <v>89</v>
      </c>
    </row>
    <row r="56" spans="1:30" x14ac:dyDescent="0.25">
      <c r="A56">
        <v>157</v>
      </c>
      <c r="B56" s="4" t="s">
        <v>190</v>
      </c>
      <c r="C56" s="5">
        <v>4</v>
      </c>
      <c r="D56" s="5">
        <v>0</v>
      </c>
      <c r="E56" t="s">
        <v>233</v>
      </c>
      <c r="F56">
        <v>3.294</v>
      </c>
      <c r="G56" s="6">
        <v>44699</v>
      </c>
      <c r="H56" t="s">
        <v>761</v>
      </c>
      <c r="I56" s="10">
        <v>43014</v>
      </c>
      <c r="J56" s="10">
        <v>43318</v>
      </c>
      <c r="K56" s="5">
        <f t="shared" si="0"/>
        <v>304</v>
      </c>
      <c r="L56" s="47">
        <v>1</v>
      </c>
      <c r="M56" s="47">
        <v>973</v>
      </c>
      <c r="N56">
        <v>0.33333333333333298</v>
      </c>
      <c r="Q56" t="s">
        <v>191</v>
      </c>
      <c r="R56" s="5">
        <v>2</v>
      </c>
      <c r="S56" s="5">
        <v>16</v>
      </c>
      <c r="T56" s="7" t="s">
        <v>8</v>
      </c>
      <c r="U56" s="8">
        <v>2.415</v>
      </c>
      <c r="V56" s="9" t="s">
        <v>192</v>
      </c>
      <c r="W56" s="10">
        <v>42079</v>
      </c>
      <c r="X56" s="10">
        <v>43018</v>
      </c>
      <c r="Y56" s="8">
        <f t="shared" si="4"/>
        <v>939</v>
      </c>
      <c r="Z56">
        <v>0</v>
      </c>
      <c r="AA56">
        <v>85</v>
      </c>
    </row>
    <row r="57" spans="1:30" x14ac:dyDescent="0.25">
      <c r="A57">
        <v>159</v>
      </c>
      <c r="B57" s="4" t="s">
        <v>193</v>
      </c>
      <c r="C57" s="5">
        <v>21</v>
      </c>
      <c r="D57" s="5">
        <v>166</v>
      </c>
      <c r="E57" t="s">
        <v>410</v>
      </c>
      <c r="F57">
        <v>5.3890000000000002</v>
      </c>
      <c r="G57" s="6">
        <v>44699</v>
      </c>
      <c r="H57" t="s">
        <v>762</v>
      </c>
      <c r="I57" s="10">
        <v>42858</v>
      </c>
      <c r="J57" s="10">
        <v>43038</v>
      </c>
      <c r="K57" s="5">
        <f t="shared" si="0"/>
        <v>180</v>
      </c>
      <c r="L57" s="47">
        <v>0</v>
      </c>
      <c r="M57" s="47">
        <v>90</v>
      </c>
      <c r="N57">
        <v>0.33333333333333298</v>
      </c>
      <c r="Q57" t="s">
        <v>194</v>
      </c>
      <c r="R57" s="5">
        <v>13</v>
      </c>
      <c r="S57" s="5">
        <v>189</v>
      </c>
      <c r="T57" s="7" t="s">
        <v>3</v>
      </c>
      <c r="U57" s="8">
        <v>3.0630000000000002</v>
      </c>
      <c r="V57" s="18" t="s">
        <v>195</v>
      </c>
      <c r="W57" s="10">
        <v>42954</v>
      </c>
      <c r="X57" s="10">
        <v>43124</v>
      </c>
      <c r="Y57" s="8">
        <f t="shared" si="4"/>
        <v>170</v>
      </c>
      <c r="Z57">
        <v>0</v>
      </c>
      <c r="AA57">
        <v>354</v>
      </c>
    </row>
    <row r="58" spans="1:30" x14ac:dyDescent="0.25">
      <c r="A58">
        <v>162</v>
      </c>
      <c r="B58" s="4" t="s">
        <v>196</v>
      </c>
      <c r="C58" s="5">
        <v>20</v>
      </c>
      <c r="D58" s="5">
        <v>55</v>
      </c>
      <c r="E58" t="s">
        <v>410</v>
      </c>
      <c r="F58">
        <v>5.3890000000000002</v>
      </c>
      <c r="G58" s="6">
        <v>44699</v>
      </c>
      <c r="H58" t="s">
        <v>763</v>
      </c>
      <c r="I58" s="10">
        <v>42922</v>
      </c>
      <c r="J58" s="10">
        <v>43421</v>
      </c>
      <c r="K58" s="5">
        <f t="shared" si="0"/>
        <v>499</v>
      </c>
      <c r="L58" s="47">
        <v>1</v>
      </c>
      <c r="M58" s="47">
        <v>104</v>
      </c>
      <c r="N58">
        <v>0.33333333333333298</v>
      </c>
      <c r="Q58" t="s">
        <v>197</v>
      </c>
      <c r="R58" s="5">
        <v>8</v>
      </c>
      <c r="S58" s="5">
        <v>5</v>
      </c>
      <c r="T58" s="7" t="s">
        <v>198</v>
      </c>
      <c r="U58" s="16">
        <v>2.2189999999999999</v>
      </c>
      <c r="V58" s="9" t="s">
        <v>199</v>
      </c>
      <c r="W58" s="10">
        <v>43579</v>
      </c>
      <c r="X58" s="10">
        <v>43689</v>
      </c>
      <c r="Y58" s="8">
        <f t="shared" si="4"/>
        <v>110</v>
      </c>
      <c r="Z58">
        <v>1</v>
      </c>
      <c r="AA58">
        <v>110</v>
      </c>
    </row>
    <row r="59" spans="1:30" s="33" customFormat="1" x14ac:dyDescent="0.25">
      <c r="A59" s="33">
        <v>164</v>
      </c>
      <c r="B59" s="34" t="s">
        <v>200</v>
      </c>
      <c r="C59" s="35">
        <v>8</v>
      </c>
      <c r="D59" s="35">
        <v>61</v>
      </c>
      <c r="E59" s="33" t="s">
        <v>410</v>
      </c>
      <c r="F59" s="33">
        <v>5.3890000000000002</v>
      </c>
      <c r="G59" s="36">
        <v>44888</v>
      </c>
      <c r="H59" s="33" t="s">
        <v>764</v>
      </c>
      <c r="I59" s="40">
        <v>41483</v>
      </c>
      <c r="J59" s="40">
        <v>42096</v>
      </c>
      <c r="K59" s="5">
        <f t="shared" si="0"/>
        <v>613</v>
      </c>
      <c r="L59" s="48">
        <v>0</v>
      </c>
      <c r="M59" s="48">
        <v>996</v>
      </c>
      <c r="N59" s="33">
        <v>0.5</v>
      </c>
      <c r="Q59" s="33" t="s">
        <v>919</v>
      </c>
      <c r="R59" s="35">
        <v>12</v>
      </c>
      <c r="S59" s="35">
        <v>0</v>
      </c>
      <c r="T59" s="37" t="s">
        <v>920</v>
      </c>
      <c r="U59" s="38">
        <v>1.69</v>
      </c>
      <c r="V59" s="41" t="s">
        <v>921</v>
      </c>
      <c r="W59" s="40">
        <v>41862</v>
      </c>
      <c r="X59" s="40">
        <v>42203</v>
      </c>
      <c r="Y59" s="42">
        <f t="shared" si="4"/>
        <v>341</v>
      </c>
      <c r="Z59" s="33">
        <v>0</v>
      </c>
      <c r="AA59" s="33">
        <v>143</v>
      </c>
    </row>
    <row r="60" spans="1:30" x14ac:dyDescent="0.25">
      <c r="A60">
        <v>165</v>
      </c>
      <c r="B60" s="4" t="s">
        <v>201</v>
      </c>
      <c r="C60" s="5">
        <v>4</v>
      </c>
      <c r="D60" s="5">
        <v>0</v>
      </c>
      <c r="E60" t="s">
        <v>233</v>
      </c>
      <c r="F60">
        <v>3.294</v>
      </c>
      <c r="G60" s="6">
        <v>44699</v>
      </c>
      <c r="H60" t="s">
        <v>765</v>
      </c>
      <c r="I60" s="10">
        <v>43549</v>
      </c>
      <c r="J60" s="10">
        <v>43711</v>
      </c>
      <c r="K60" s="5">
        <f t="shared" si="0"/>
        <v>162</v>
      </c>
      <c r="L60" s="47">
        <v>1</v>
      </c>
      <c r="M60" s="47">
        <v>29</v>
      </c>
      <c r="N60">
        <v>0.25</v>
      </c>
      <c r="Q60" t="s">
        <v>202</v>
      </c>
      <c r="R60" s="5">
        <v>31</v>
      </c>
      <c r="S60" s="5">
        <v>92</v>
      </c>
      <c r="T60" s="7" t="s">
        <v>62</v>
      </c>
      <c r="U60" s="8">
        <v>3.169</v>
      </c>
      <c r="V60" s="9" t="s">
        <v>203</v>
      </c>
      <c r="W60" s="10">
        <v>43039</v>
      </c>
      <c r="X60" s="10">
        <v>43512</v>
      </c>
      <c r="Y60" s="8">
        <f t="shared" si="4"/>
        <v>473</v>
      </c>
      <c r="Z60">
        <v>1</v>
      </c>
      <c r="AA60">
        <v>125</v>
      </c>
    </row>
    <row r="61" spans="1:30" x14ac:dyDescent="0.25">
      <c r="A61">
        <v>173</v>
      </c>
      <c r="B61" s="4" t="s">
        <v>204</v>
      </c>
      <c r="C61" s="5">
        <v>7</v>
      </c>
      <c r="D61" s="5">
        <v>15</v>
      </c>
      <c r="E61" t="s">
        <v>410</v>
      </c>
      <c r="F61">
        <v>5.3890000000000002</v>
      </c>
      <c r="G61" s="6">
        <v>44699</v>
      </c>
      <c r="H61" t="s">
        <v>766</v>
      </c>
      <c r="I61" s="10">
        <v>43377</v>
      </c>
      <c r="J61" s="10">
        <v>43603</v>
      </c>
      <c r="K61" s="5">
        <f t="shared" si="0"/>
        <v>226</v>
      </c>
      <c r="L61" s="47">
        <v>1</v>
      </c>
      <c r="M61" s="47">
        <v>36</v>
      </c>
      <c r="N61">
        <v>0.44444444444444398</v>
      </c>
      <c r="Q61" t="s">
        <v>205</v>
      </c>
      <c r="R61" s="5">
        <v>4</v>
      </c>
      <c r="S61" s="5">
        <v>1</v>
      </c>
      <c r="T61" s="7" t="s">
        <v>42</v>
      </c>
      <c r="U61" s="8">
        <v>2.0670000000000002</v>
      </c>
      <c r="V61" s="9" t="s">
        <v>206</v>
      </c>
      <c r="W61" s="10">
        <v>43474</v>
      </c>
      <c r="X61" s="10">
        <v>43579</v>
      </c>
      <c r="Y61" s="8">
        <f t="shared" si="4"/>
        <v>105</v>
      </c>
      <c r="Z61">
        <v>0</v>
      </c>
      <c r="AA61">
        <v>241</v>
      </c>
    </row>
    <row r="62" spans="1:30" x14ac:dyDescent="0.25">
      <c r="A62">
        <v>174</v>
      </c>
      <c r="B62" s="4" t="s">
        <v>207</v>
      </c>
      <c r="C62" s="5">
        <v>10</v>
      </c>
      <c r="D62" s="5">
        <v>518</v>
      </c>
      <c r="E62" t="s">
        <v>216</v>
      </c>
      <c r="F62">
        <v>6.335</v>
      </c>
      <c r="G62" s="6">
        <v>44699</v>
      </c>
      <c r="H62" t="s">
        <v>767</v>
      </c>
      <c r="I62" s="10">
        <v>43151</v>
      </c>
      <c r="J62" s="10">
        <v>43183</v>
      </c>
      <c r="K62" s="5">
        <f t="shared" si="0"/>
        <v>32</v>
      </c>
      <c r="L62" s="47">
        <v>1</v>
      </c>
      <c r="M62" s="47">
        <v>500</v>
      </c>
      <c r="N62">
        <v>0.71428571428571397</v>
      </c>
      <c r="Q62" t="s">
        <v>208</v>
      </c>
      <c r="R62" s="5">
        <v>1</v>
      </c>
      <c r="S62" s="5">
        <v>0</v>
      </c>
      <c r="T62" s="7" t="s">
        <v>140</v>
      </c>
      <c r="U62" s="11">
        <v>1.8779999999999999</v>
      </c>
      <c r="V62" s="9" t="s">
        <v>209</v>
      </c>
      <c r="W62" s="5" t="s">
        <v>5</v>
      </c>
      <c r="X62" s="5" t="s">
        <v>5</v>
      </c>
      <c r="Y62" s="8" t="s">
        <v>5</v>
      </c>
      <c r="Z62">
        <v>0</v>
      </c>
      <c r="AA62">
        <v>209</v>
      </c>
    </row>
    <row r="63" spans="1:30" x14ac:dyDescent="0.25">
      <c r="A63">
        <v>175</v>
      </c>
      <c r="B63" s="4" t="s">
        <v>210</v>
      </c>
      <c r="C63" s="5">
        <v>124</v>
      </c>
      <c r="D63" s="5">
        <v>231</v>
      </c>
      <c r="E63" t="s">
        <v>410</v>
      </c>
      <c r="F63">
        <v>5.3890000000000002</v>
      </c>
      <c r="G63" s="6">
        <v>44699</v>
      </c>
      <c r="H63" t="s">
        <v>768</v>
      </c>
      <c r="I63" s="10">
        <v>43287</v>
      </c>
      <c r="J63" s="10">
        <v>43433</v>
      </c>
      <c r="K63" s="5">
        <f t="shared" si="0"/>
        <v>146</v>
      </c>
      <c r="L63" s="47">
        <v>1</v>
      </c>
      <c r="M63" s="47">
        <v>1559</v>
      </c>
      <c r="N63">
        <v>0</v>
      </c>
      <c r="Q63" t="s">
        <v>211</v>
      </c>
      <c r="R63" s="5">
        <v>2</v>
      </c>
      <c r="S63" s="5">
        <v>6</v>
      </c>
      <c r="T63" s="7" t="s">
        <v>212</v>
      </c>
      <c r="U63" s="8">
        <v>1.7609999999999999</v>
      </c>
      <c r="V63" s="32" t="s">
        <v>213</v>
      </c>
      <c r="W63" s="10">
        <v>43287</v>
      </c>
      <c r="X63" s="10">
        <v>43374</v>
      </c>
      <c r="Y63" s="8">
        <f>X63-W63</f>
        <v>87</v>
      </c>
      <c r="Z63">
        <v>0</v>
      </c>
      <c r="AA63">
        <v>100</v>
      </c>
    </row>
    <row r="64" spans="1:30" x14ac:dyDescent="0.25">
      <c r="A64">
        <v>177</v>
      </c>
      <c r="B64" s="4" t="s">
        <v>214</v>
      </c>
      <c r="C64" s="5">
        <v>73</v>
      </c>
      <c r="D64" s="5">
        <v>153</v>
      </c>
      <c r="E64" t="s">
        <v>410</v>
      </c>
      <c r="F64">
        <v>5.3890000000000002</v>
      </c>
      <c r="G64" s="6">
        <v>44699</v>
      </c>
      <c r="H64" t="s">
        <v>769</v>
      </c>
      <c r="I64" s="10">
        <v>42302</v>
      </c>
      <c r="J64" s="10">
        <v>42479</v>
      </c>
      <c r="K64" s="5">
        <f t="shared" si="0"/>
        <v>177</v>
      </c>
      <c r="L64" s="47">
        <v>0</v>
      </c>
      <c r="M64" s="47">
        <v>205</v>
      </c>
      <c r="N64">
        <v>0</v>
      </c>
      <c r="Q64" t="s">
        <v>215</v>
      </c>
      <c r="R64" s="5">
        <v>26</v>
      </c>
      <c r="S64" s="5">
        <v>34</v>
      </c>
      <c r="T64" s="7" t="s">
        <v>216</v>
      </c>
      <c r="U64" s="8">
        <v>6.335</v>
      </c>
      <c r="V64" s="9" t="s">
        <v>217</v>
      </c>
      <c r="W64" s="5" t="s">
        <v>5</v>
      </c>
      <c r="X64" s="5" t="s">
        <v>5</v>
      </c>
      <c r="Y64" s="8" t="s">
        <v>5</v>
      </c>
      <c r="Z64">
        <v>0</v>
      </c>
      <c r="AA64">
        <v>959</v>
      </c>
    </row>
    <row r="65" spans="1:27" x14ac:dyDescent="0.25">
      <c r="A65">
        <v>178</v>
      </c>
      <c r="B65" s="4" t="s">
        <v>218</v>
      </c>
      <c r="C65" s="5">
        <v>5</v>
      </c>
      <c r="D65" s="5">
        <v>36</v>
      </c>
      <c r="E65" t="s">
        <v>410</v>
      </c>
      <c r="F65">
        <v>5.3890000000000002</v>
      </c>
      <c r="G65" s="6">
        <v>44699</v>
      </c>
      <c r="H65" t="s">
        <v>770</v>
      </c>
      <c r="I65" s="10">
        <v>43244</v>
      </c>
      <c r="J65" s="10">
        <v>43636</v>
      </c>
      <c r="K65" s="5">
        <f t="shared" si="0"/>
        <v>392</v>
      </c>
      <c r="L65" s="47">
        <v>1</v>
      </c>
      <c r="M65" s="47">
        <v>60</v>
      </c>
      <c r="N65">
        <v>0.2</v>
      </c>
      <c r="Q65" t="s">
        <v>219</v>
      </c>
      <c r="R65" s="5">
        <v>13</v>
      </c>
      <c r="S65" s="5">
        <v>1</v>
      </c>
      <c r="T65" s="7" t="s">
        <v>216</v>
      </c>
      <c r="U65" s="8">
        <v>6.335</v>
      </c>
      <c r="V65" s="9" t="s">
        <v>220</v>
      </c>
      <c r="W65" s="10">
        <v>43129</v>
      </c>
      <c r="X65" s="10">
        <v>43466</v>
      </c>
      <c r="Y65" s="8">
        <f>X65-W65</f>
        <v>337</v>
      </c>
      <c r="Z65">
        <v>0</v>
      </c>
      <c r="AA65">
        <v>1145</v>
      </c>
    </row>
    <row r="66" spans="1:27" x14ac:dyDescent="0.25">
      <c r="A66">
        <v>183</v>
      </c>
      <c r="B66" s="4" t="s">
        <v>221</v>
      </c>
      <c r="C66" s="5">
        <v>7</v>
      </c>
      <c r="D66" s="5">
        <v>33</v>
      </c>
      <c r="E66" t="s">
        <v>410</v>
      </c>
      <c r="F66">
        <v>5.3890000000000002</v>
      </c>
      <c r="G66" s="6">
        <v>44699</v>
      </c>
      <c r="H66" t="s">
        <v>771</v>
      </c>
      <c r="I66" s="10">
        <v>42939</v>
      </c>
      <c r="J66" s="10">
        <v>43488</v>
      </c>
      <c r="K66" s="5">
        <f t="shared" si="0"/>
        <v>549</v>
      </c>
      <c r="L66" s="47">
        <v>0</v>
      </c>
      <c r="M66" s="47">
        <v>996</v>
      </c>
      <c r="N66">
        <v>1</v>
      </c>
      <c r="Q66" t="s">
        <v>222</v>
      </c>
      <c r="R66" s="5">
        <v>3</v>
      </c>
      <c r="S66" s="5">
        <v>0</v>
      </c>
      <c r="T66" s="7" t="s">
        <v>223</v>
      </c>
      <c r="U66" s="8">
        <v>3.2890000000000001</v>
      </c>
      <c r="V66" s="9" t="s">
        <v>224</v>
      </c>
      <c r="W66" s="5" t="s">
        <v>5</v>
      </c>
      <c r="X66" s="5" t="s">
        <v>5</v>
      </c>
      <c r="Y66" s="8" t="s">
        <v>5</v>
      </c>
      <c r="Z66">
        <v>0</v>
      </c>
      <c r="AA66">
        <v>309</v>
      </c>
    </row>
    <row r="67" spans="1:27" x14ac:dyDescent="0.25">
      <c r="A67">
        <v>186</v>
      </c>
      <c r="B67" s="4" t="s">
        <v>225</v>
      </c>
      <c r="C67" s="5">
        <v>15</v>
      </c>
      <c r="D67" s="5">
        <v>33</v>
      </c>
      <c r="E67" t="s">
        <v>410</v>
      </c>
      <c r="F67">
        <v>5.3890000000000002</v>
      </c>
      <c r="G67" s="6">
        <v>44699</v>
      </c>
      <c r="H67" t="s">
        <v>772</v>
      </c>
      <c r="I67" s="10">
        <v>42275</v>
      </c>
      <c r="J67" s="10">
        <v>42706</v>
      </c>
      <c r="K67" s="5">
        <f t="shared" si="0"/>
        <v>431</v>
      </c>
      <c r="L67" s="47">
        <v>0</v>
      </c>
      <c r="M67" s="47">
        <v>155</v>
      </c>
      <c r="N67">
        <v>0.25</v>
      </c>
      <c r="Q67" t="s">
        <v>226</v>
      </c>
      <c r="R67" s="5">
        <v>18</v>
      </c>
      <c r="S67" s="5">
        <v>35</v>
      </c>
      <c r="T67" s="7" t="s">
        <v>42</v>
      </c>
      <c r="U67" s="8">
        <v>2.0670000000000002</v>
      </c>
      <c r="V67" s="9" t="s">
        <v>227</v>
      </c>
      <c r="W67" s="10">
        <v>43010</v>
      </c>
      <c r="X67" s="10">
        <v>43073</v>
      </c>
      <c r="Y67" s="8">
        <f>X67-W67</f>
        <v>63</v>
      </c>
      <c r="Z67">
        <v>1</v>
      </c>
      <c r="AA67">
        <v>58</v>
      </c>
    </row>
    <row r="68" spans="1:27" x14ac:dyDescent="0.25">
      <c r="A68">
        <v>191</v>
      </c>
      <c r="B68" s="4" t="s">
        <v>228</v>
      </c>
      <c r="C68" s="5">
        <v>41</v>
      </c>
      <c r="D68" s="5">
        <v>182</v>
      </c>
      <c r="E68" t="s">
        <v>410</v>
      </c>
      <c r="F68">
        <v>5.3890000000000002</v>
      </c>
      <c r="G68" s="6">
        <v>44699</v>
      </c>
      <c r="H68" t="s">
        <v>773</v>
      </c>
      <c r="I68" s="10">
        <v>42781</v>
      </c>
      <c r="J68" s="10">
        <v>43056</v>
      </c>
      <c r="K68" s="5">
        <f t="shared" si="0"/>
        <v>275</v>
      </c>
      <c r="L68" s="47">
        <v>0</v>
      </c>
      <c r="M68" s="47">
        <v>404</v>
      </c>
      <c r="N68">
        <v>1</v>
      </c>
      <c r="Q68" t="s">
        <v>229</v>
      </c>
      <c r="R68" s="5">
        <v>50</v>
      </c>
      <c r="S68" s="5">
        <v>6</v>
      </c>
      <c r="T68" s="7" t="s">
        <v>62</v>
      </c>
      <c r="U68" s="8">
        <v>3.169</v>
      </c>
      <c r="V68" s="9" t="s">
        <v>230</v>
      </c>
      <c r="W68" s="5" t="s">
        <v>5</v>
      </c>
      <c r="X68" s="5" t="s">
        <v>5</v>
      </c>
      <c r="Y68" s="8" t="s">
        <v>5</v>
      </c>
      <c r="Z68">
        <v>0</v>
      </c>
      <c r="AA68">
        <v>364</v>
      </c>
    </row>
    <row r="69" spans="1:27" x14ac:dyDescent="0.25">
      <c r="A69">
        <v>192</v>
      </c>
      <c r="B69" s="4" t="s">
        <v>231</v>
      </c>
      <c r="C69" s="5">
        <v>29</v>
      </c>
      <c r="D69" s="5">
        <v>166</v>
      </c>
      <c r="E69" t="s">
        <v>410</v>
      </c>
      <c r="F69">
        <v>5.3890000000000002</v>
      </c>
      <c r="G69" s="6">
        <v>44699</v>
      </c>
      <c r="H69" t="s">
        <v>774</v>
      </c>
      <c r="I69" s="10">
        <v>42353</v>
      </c>
      <c r="J69" s="10">
        <v>43228</v>
      </c>
      <c r="K69" s="5">
        <f t="shared" si="0"/>
        <v>875</v>
      </c>
      <c r="L69" s="47">
        <v>1</v>
      </c>
      <c r="M69" s="47">
        <v>126</v>
      </c>
      <c r="N69">
        <v>0.2</v>
      </c>
      <c r="Q69" t="s">
        <v>232</v>
      </c>
      <c r="R69" s="5">
        <v>10</v>
      </c>
      <c r="S69" s="5">
        <v>1</v>
      </c>
      <c r="T69" s="7" t="s">
        <v>233</v>
      </c>
      <c r="U69" s="8">
        <v>3.2410000000000001</v>
      </c>
      <c r="V69" s="9" t="s">
        <v>234</v>
      </c>
      <c r="W69" s="10">
        <v>42800</v>
      </c>
      <c r="X69" s="10">
        <v>43073</v>
      </c>
      <c r="Y69" s="8">
        <f>X69-W69</f>
        <v>273</v>
      </c>
      <c r="Z69">
        <v>1</v>
      </c>
      <c r="AA69">
        <v>213</v>
      </c>
    </row>
    <row r="70" spans="1:27" x14ac:dyDescent="0.25">
      <c r="A70">
        <v>194</v>
      </c>
      <c r="B70" s="4" t="s">
        <v>235</v>
      </c>
      <c r="C70" s="5">
        <v>18</v>
      </c>
      <c r="D70" s="5">
        <v>157</v>
      </c>
      <c r="E70" t="s">
        <v>410</v>
      </c>
      <c r="F70">
        <v>5.3890000000000002</v>
      </c>
      <c r="G70" t="s">
        <v>640</v>
      </c>
      <c r="H70" t="s">
        <v>775</v>
      </c>
      <c r="I70" s="10">
        <v>43052</v>
      </c>
      <c r="J70" s="10">
        <v>43217</v>
      </c>
      <c r="K70" s="5">
        <f t="shared" ref="K70:K132" si="5">J70-I70</f>
        <v>165</v>
      </c>
      <c r="L70" s="47">
        <v>0</v>
      </c>
      <c r="M70" s="47">
        <v>32</v>
      </c>
      <c r="N70">
        <v>1</v>
      </c>
      <c r="Q70" t="s">
        <v>640</v>
      </c>
      <c r="R70" s="5">
        <v>13</v>
      </c>
      <c r="S70" s="5">
        <v>181</v>
      </c>
      <c r="T70" s="7" t="s">
        <v>653</v>
      </c>
      <c r="U70" s="11">
        <v>1.552</v>
      </c>
      <c r="V70" s="9" t="s">
        <v>654</v>
      </c>
      <c r="W70" s="10">
        <v>42782</v>
      </c>
      <c r="X70" s="10">
        <v>43142</v>
      </c>
      <c r="Y70" s="8">
        <f>X70-W70</f>
        <v>360</v>
      </c>
      <c r="Z70">
        <v>0</v>
      </c>
      <c r="AA70">
        <v>32</v>
      </c>
    </row>
    <row r="71" spans="1:27" x14ac:dyDescent="0.25">
      <c r="A71">
        <v>196</v>
      </c>
      <c r="B71" s="4" t="s">
        <v>237</v>
      </c>
      <c r="C71" s="5">
        <v>14</v>
      </c>
      <c r="D71" s="5">
        <v>151</v>
      </c>
      <c r="E71" t="s">
        <v>410</v>
      </c>
      <c r="F71">
        <v>5.3890000000000002</v>
      </c>
      <c r="G71" s="6">
        <v>44699</v>
      </c>
      <c r="H71" t="s">
        <v>776</v>
      </c>
      <c r="I71" s="10">
        <v>42870</v>
      </c>
      <c r="J71" s="10">
        <v>43005</v>
      </c>
      <c r="K71" s="5">
        <f t="shared" si="5"/>
        <v>135</v>
      </c>
      <c r="L71" s="47">
        <v>0</v>
      </c>
      <c r="M71" s="47">
        <v>621</v>
      </c>
      <c r="N71">
        <v>0.375</v>
      </c>
      <c r="Q71" t="s">
        <v>238</v>
      </c>
      <c r="R71" s="5">
        <v>58</v>
      </c>
      <c r="S71" s="5">
        <v>62</v>
      </c>
      <c r="T71" s="7" t="s">
        <v>239</v>
      </c>
      <c r="U71" s="11">
        <v>3.8109999999999999</v>
      </c>
      <c r="V71" s="9" t="s">
        <v>240</v>
      </c>
      <c r="W71" s="5" t="s">
        <v>5</v>
      </c>
      <c r="X71" s="5" t="s">
        <v>5</v>
      </c>
      <c r="Y71" s="8" t="s">
        <v>5</v>
      </c>
      <c r="Z71">
        <v>0</v>
      </c>
      <c r="AA71">
        <v>53</v>
      </c>
    </row>
    <row r="72" spans="1:27" s="33" customFormat="1" x14ac:dyDescent="0.25">
      <c r="A72" s="33">
        <v>198</v>
      </c>
      <c r="B72" s="34" t="s">
        <v>241</v>
      </c>
      <c r="C72" s="35">
        <v>34</v>
      </c>
      <c r="D72" s="35">
        <v>533</v>
      </c>
      <c r="E72" s="33" t="s">
        <v>410</v>
      </c>
      <c r="F72" s="33">
        <v>5.3890000000000002</v>
      </c>
      <c r="G72" s="36">
        <v>44888</v>
      </c>
      <c r="H72" s="33" t="s">
        <v>777</v>
      </c>
      <c r="I72" s="40">
        <v>43335</v>
      </c>
      <c r="J72" s="40">
        <v>43675</v>
      </c>
      <c r="K72" s="5">
        <f t="shared" si="5"/>
        <v>340</v>
      </c>
      <c r="L72" s="48">
        <v>1</v>
      </c>
      <c r="M72" s="48">
        <v>147</v>
      </c>
      <c r="N72" s="33">
        <v>0.8</v>
      </c>
      <c r="Q72" s="33" t="s">
        <v>922</v>
      </c>
      <c r="R72" s="35">
        <v>52</v>
      </c>
      <c r="S72" s="35">
        <v>144</v>
      </c>
      <c r="T72" s="37" t="s">
        <v>923</v>
      </c>
      <c r="U72" s="38">
        <v>2.4780000000000002</v>
      </c>
      <c r="V72" s="41" t="s">
        <v>924</v>
      </c>
      <c r="W72" s="40" t="s">
        <v>5</v>
      </c>
      <c r="X72" s="40" t="s">
        <v>5</v>
      </c>
      <c r="Y72" s="42" t="s">
        <v>5</v>
      </c>
      <c r="Z72" s="33">
        <v>0</v>
      </c>
      <c r="AA72" s="33">
        <v>401</v>
      </c>
    </row>
    <row r="73" spans="1:27" x14ac:dyDescent="0.25">
      <c r="A73">
        <v>203</v>
      </c>
      <c r="B73" s="4" t="s">
        <v>242</v>
      </c>
      <c r="C73" s="5">
        <v>16</v>
      </c>
      <c r="D73" s="5">
        <v>94</v>
      </c>
      <c r="E73" t="s">
        <v>410</v>
      </c>
      <c r="F73">
        <v>5.3890000000000002</v>
      </c>
      <c r="G73" s="6">
        <v>44699</v>
      </c>
      <c r="H73" t="s">
        <v>778</v>
      </c>
      <c r="I73" s="10">
        <v>43003</v>
      </c>
      <c r="J73" s="10">
        <v>43254</v>
      </c>
      <c r="K73" s="5">
        <f t="shared" si="5"/>
        <v>251</v>
      </c>
      <c r="L73" s="47">
        <v>0</v>
      </c>
      <c r="M73" s="48">
        <v>82</v>
      </c>
      <c r="N73">
        <v>0.35294117647058798</v>
      </c>
      <c r="Q73" t="s">
        <v>243</v>
      </c>
      <c r="R73" s="5">
        <v>9</v>
      </c>
      <c r="S73" s="5">
        <v>2</v>
      </c>
      <c r="T73" s="7" t="s">
        <v>244</v>
      </c>
      <c r="U73" s="11">
        <v>6.6420000000000003</v>
      </c>
      <c r="V73" s="9" t="s">
        <v>245</v>
      </c>
      <c r="W73" s="10">
        <v>42814</v>
      </c>
      <c r="X73" s="10">
        <v>43116</v>
      </c>
      <c r="Y73" s="8">
        <f t="shared" ref="Y73:Y78" si="6">X73-W73</f>
        <v>302</v>
      </c>
      <c r="Z73">
        <v>0</v>
      </c>
      <c r="AA73">
        <v>276</v>
      </c>
    </row>
    <row r="74" spans="1:27" x14ac:dyDescent="0.25">
      <c r="A74">
        <v>207</v>
      </c>
      <c r="B74" s="4" t="s">
        <v>246</v>
      </c>
      <c r="C74" s="5">
        <v>2</v>
      </c>
      <c r="D74" s="5">
        <v>53</v>
      </c>
      <c r="E74" t="s">
        <v>378</v>
      </c>
      <c r="F74">
        <v>4.3849999999999998</v>
      </c>
      <c r="G74" s="6">
        <v>44699</v>
      </c>
      <c r="H74" t="s">
        <v>779</v>
      </c>
      <c r="I74" s="10" t="s">
        <v>5</v>
      </c>
      <c r="J74" s="10" t="s">
        <v>5</v>
      </c>
      <c r="K74" s="5" t="s">
        <v>5</v>
      </c>
      <c r="L74" s="47">
        <v>1</v>
      </c>
      <c r="M74" s="47">
        <v>283</v>
      </c>
      <c r="N74">
        <v>0.44444444444444398</v>
      </c>
      <c r="Q74" t="s">
        <v>247</v>
      </c>
      <c r="R74" s="5">
        <v>2</v>
      </c>
      <c r="S74" s="5">
        <v>28</v>
      </c>
      <c r="T74" s="7" t="s">
        <v>248</v>
      </c>
      <c r="U74" s="11">
        <v>4.141</v>
      </c>
      <c r="V74" s="9" t="s">
        <v>249</v>
      </c>
      <c r="W74" s="10">
        <v>43134</v>
      </c>
      <c r="X74" s="10">
        <v>43143</v>
      </c>
      <c r="Y74" s="8">
        <f t="shared" si="6"/>
        <v>9</v>
      </c>
      <c r="Z74">
        <v>0</v>
      </c>
      <c r="AA74">
        <v>735</v>
      </c>
    </row>
    <row r="75" spans="1:27" x14ac:dyDescent="0.25">
      <c r="A75">
        <v>209</v>
      </c>
      <c r="B75" s="4" t="s">
        <v>250</v>
      </c>
      <c r="C75" s="5">
        <v>3</v>
      </c>
      <c r="D75" s="5">
        <v>6</v>
      </c>
      <c r="E75" t="s">
        <v>42</v>
      </c>
      <c r="F75">
        <v>2.0670000000000002</v>
      </c>
      <c r="G75" s="6">
        <v>44699</v>
      </c>
      <c r="H75" t="s">
        <v>781</v>
      </c>
      <c r="I75" s="10">
        <v>43381</v>
      </c>
      <c r="J75" s="10">
        <v>43462</v>
      </c>
      <c r="K75" s="5">
        <f t="shared" si="5"/>
        <v>81</v>
      </c>
      <c r="L75" s="47">
        <v>1</v>
      </c>
      <c r="M75" s="47">
        <v>120</v>
      </c>
      <c r="N75">
        <v>0</v>
      </c>
      <c r="Q75" t="s">
        <v>251</v>
      </c>
      <c r="R75" s="5">
        <v>4</v>
      </c>
      <c r="S75" s="5" t="s">
        <v>5</v>
      </c>
      <c r="T75" s="7" t="s">
        <v>252</v>
      </c>
      <c r="U75" s="11">
        <v>0.61</v>
      </c>
      <c r="V75" s="9" t="s">
        <v>253</v>
      </c>
      <c r="W75" s="10">
        <v>43193</v>
      </c>
      <c r="X75" s="10">
        <v>43440</v>
      </c>
      <c r="Y75" s="8">
        <f t="shared" si="6"/>
        <v>247</v>
      </c>
      <c r="Z75">
        <v>0</v>
      </c>
      <c r="AA75">
        <v>20</v>
      </c>
    </row>
    <row r="76" spans="1:27" x14ac:dyDescent="0.25">
      <c r="A76">
        <v>210</v>
      </c>
      <c r="B76" s="4" t="s">
        <v>254</v>
      </c>
      <c r="C76" s="5">
        <v>14</v>
      </c>
      <c r="D76" s="5">
        <v>323</v>
      </c>
      <c r="E76" t="s">
        <v>733</v>
      </c>
      <c r="F76">
        <v>5.415</v>
      </c>
      <c r="G76" s="6">
        <v>44699</v>
      </c>
      <c r="H76" t="s">
        <v>782</v>
      </c>
      <c r="I76" s="10">
        <v>43333</v>
      </c>
      <c r="J76" s="10">
        <v>43515</v>
      </c>
      <c r="K76" s="5">
        <f t="shared" si="5"/>
        <v>182</v>
      </c>
      <c r="L76" s="47">
        <v>1</v>
      </c>
      <c r="M76" s="47">
        <v>1004</v>
      </c>
      <c r="N76">
        <v>0.53846153846153799</v>
      </c>
      <c r="Q76" t="s">
        <v>255</v>
      </c>
      <c r="R76" s="5">
        <v>37</v>
      </c>
      <c r="S76" s="5">
        <v>1</v>
      </c>
      <c r="T76" s="7" t="s">
        <v>8</v>
      </c>
      <c r="U76" s="8">
        <v>2.415</v>
      </c>
      <c r="V76" s="9" t="s">
        <v>256</v>
      </c>
      <c r="W76" s="10">
        <v>43143</v>
      </c>
      <c r="X76" s="10">
        <v>43550</v>
      </c>
      <c r="Y76" s="8">
        <f t="shared" si="6"/>
        <v>407</v>
      </c>
      <c r="Z76">
        <v>0</v>
      </c>
      <c r="AA76">
        <v>433</v>
      </c>
    </row>
    <row r="77" spans="1:27" x14ac:dyDescent="0.25">
      <c r="A77">
        <v>211</v>
      </c>
      <c r="B77" s="4" t="s">
        <v>257</v>
      </c>
      <c r="C77" s="5">
        <v>6</v>
      </c>
      <c r="D77" s="5">
        <v>34</v>
      </c>
      <c r="E77" t="s">
        <v>378</v>
      </c>
      <c r="F77">
        <v>4.3849999999999998</v>
      </c>
      <c r="G77" t="s">
        <v>640</v>
      </c>
      <c r="H77" t="s">
        <v>783</v>
      </c>
      <c r="I77" s="10" t="s">
        <v>5</v>
      </c>
      <c r="J77" s="10" t="s">
        <v>5</v>
      </c>
      <c r="K77" s="5" t="s">
        <v>5</v>
      </c>
      <c r="L77" s="47">
        <v>1</v>
      </c>
      <c r="M77" s="47">
        <v>827</v>
      </c>
      <c r="N77">
        <v>0</v>
      </c>
      <c r="Q77" t="s">
        <v>650</v>
      </c>
      <c r="R77" s="5">
        <v>7</v>
      </c>
      <c r="S77" s="5">
        <v>331</v>
      </c>
      <c r="T77" s="7" t="s">
        <v>651</v>
      </c>
      <c r="U77" s="11">
        <v>1.7969999999999999</v>
      </c>
      <c r="V77" s="9" t="s">
        <v>652</v>
      </c>
      <c r="W77" s="10">
        <v>42892</v>
      </c>
      <c r="X77" s="10">
        <v>43086</v>
      </c>
      <c r="Y77" s="5">
        <f t="shared" si="6"/>
        <v>194</v>
      </c>
      <c r="Z77">
        <v>1</v>
      </c>
      <c r="AA77">
        <v>100</v>
      </c>
    </row>
    <row r="78" spans="1:27" x14ac:dyDescent="0.25">
      <c r="A78">
        <v>215</v>
      </c>
      <c r="B78" s="4" t="s">
        <v>259</v>
      </c>
      <c r="C78" s="5">
        <v>45</v>
      </c>
      <c r="D78" s="5">
        <v>86</v>
      </c>
      <c r="E78" t="s">
        <v>410</v>
      </c>
      <c r="F78">
        <v>5.3890000000000002</v>
      </c>
      <c r="G78" s="6">
        <v>44699</v>
      </c>
      <c r="H78" t="s">
        <v>784</v>
      </c>
      <c r="I78" s="10">
        <v>42871</v>
      </c>
      <c r="J78" s="10">
        <v>43058</v>
      </c>
      <c r="K78" s="5">
        <f t="shared" si="5"/>
        <v>187</v>
      </c>
      <c r="L78" s="47">
        <v>0</v>
      </c>
      <c r="M78" s="47">
        <v>43</v>
      </c>
      <c r="N78">
        <v>0.125</v>
      </c>
      <c r="Q78" t="s">
        <v>260</v>
      </c>
      <c r="R78" s="5">
        <v>45</v>
      </c>
      <c r="S78" s="5">
        <v>23</v>
      </c>
      <c r="T78" s="7" t="s">
        <v>261</v>
      </c>
      <c r="U78" s="11">
        <v>2.0499999999999998</v>
      </c>
      <c r="V78" s="9" t="s">
        <v>262</v>
      </c>
      <c r="W78" s="10">
        <v>42781</v>
      </c>
      <c r="X78" s="10">
        <v>43116</v>
      </c>
      <c r="Y78" s="8">
        <f t="shared" si="6"/>
        <v>335</v>
      </c>
      <c r="Z78">
        <v>0</v>
      </c>
      <c r="AA78">
        <v>66</v>
      </c>
    </row>
    <row r="79" spans="1:27" x14ac:dyDescent="0.25">
      <c r="A79">
        <v>220</v>
      </c>
      <c r="B79" s="4" t="s">
        <v>263</v>
      </c>
      <c r="C79" s="5">
        <v>17</v>
      </c>
      <c r="D79" s="5">
        <v>16</v>
      </c>
      <c r="E79" t="s">
        <v>233</v>
      </c>
      <c r="F79">
        <v>3.254</v>
      </c>
      <c r="G79" t="s">
        <v>640</v>
      </c>
      <c r="H79" t="s">
        <v>785</v>
      </c>
      <c r="I79" s="10">
        <v>43123</v>
      </c>
      <c r="J79" s="10">
        <v>43265</v>
      </c>
      <c r="K79" s="5">
        <f t="shared" si="5"/>
        <v>142</v>
      </c>
      <c r="L79" s="47">
        <v>0</v>
      </c>
      <c r="M79" s="47">
        <v>943</v>
      </c>
      <c r="N79">
        <v>0.23529411764705899</v>
      </c>
      <c r="Q79" t="s">
        <v>647</v>
      </c>
      <c r="R79" s="5">
        <v>7</v>
      </c>
      <c r="S79" s="5">
        <v>54</v>
      </c>
      <c r="T79" s="7" t="s">
        <v>648</v>
      </c>
      <c r="U79" s="11">
        <v>1.7789999999999999</v>
      </c>
      <c r="V79" s="20" t="s">
        <v>649</v>
      </c>
      <c r="W79" s="5" t="s">
        <v>5</v>
      </c>
      <c r="X79" s="5" t="s">
        <v>5</v>
      </c>
      <c r="Y79" s="5" t="s">
        <v>5</v>
      </c>
      <c r="Z79">
        <v>0</v>
      </c>
      <c r="AA79">
        <v>523</v>
      </c>
    </row>
    <row r="80" spans="1:27" x14ac:dyDescent="0.25">
      <c r="A80">
        <v>221</v>
      </c>
      <c r="B80" s="4" t="s">
        <v>264</v>
      </c>
      <c r="C80" s="5">
        <v>10</v>
      </c>
      <c r="D80" s="5">
        <v>13</v>
      </c>
      <c r="E80" t="s">
        <v>410</v>
      </c>
      <c r="F80">
        <v>5.3890000000000002</v>
      </c>
      <c r="G80" s="6">
        <v>44699</v>
      </c>
      <c r="H80" t="s">
        <v>786</v>
      </c>
      <c r="I80" s="10">
        <v>43255</v>
      </c>
      <c r="J80" s="10">
        <v>43455</v>
      </c>
      <c r="K80" s="5">
        <f t="shared" si="5"/>
        <v>200</v>
      </c>
      <c r="L80" s="47">
        <v>0</v>
      </c>
      <c r="M80" s="47">
        <v>315</v>
      </c>
      <c r="N80">
        <v>0</v>
      </c>
      <c r="Q80" t="s">
        <v>265</v>
      </c>
      <c r="R80" s="5">
        <v>7</v>
      </c>
      <c r="S80" s="5">
        <v>4</v>
      </c>
      <c r="T80" s="7" t="s">
        <v>266</v>
      </c>
      <c r="U80" s="11">
        <v>2.044</v>
      </c>
      <c r="V80" s="9" t="s">
        <v>267</v>
      </c>
      <c r="W80" s="10">
        <v>43320</v>
      </c>
      <c r="X80" s="10">
        <v>43420</v>
      </c>
      <c r="Y80" s="8">
        <f>X80-W80</f>
        <v>100</v>
      </c>
      <c r="Z80">
        <v>1</v>
      </c>
      <c r="AA80">
        <v>143</v>
      </c>
    </row>
    <row r="81" spans="1:32" x14ac:dyDescent="0.25">
      <c r="A81">
        <v>222</v>
      </c>
      <c r="B81" s="4" t="s">
        <v>268</v>
      </c>
      <c r="C81" s="5">
        <v>48</v>
      </c>
      <c r="D81" s="5">
        <v>75</v>
      </c>
      <c r="E81" t="s">
        <v>410</v>
      </c>
      <c r="F81">
        <v>5.3890000000000002</v>
      </c>
      <c r="G81" s="6">
        <v>44699</v>
      </c>
      <c r="H81" t="s">
        <v>787</v>
      </c>
      <c r="I81" s="10">
        <v>41963</v>
      </c>
      <c r="J81" s="10">
        <v>42016</v>
      </c>
      <c r="K81" s="5">
        <f t="shared" si="5"/>
        <v>53</v>
      </c>
      <c r="L81" s="47">
        <v>1</v>
      </c>
      <c r="M81" s="47">
        <v>40</v>
      </c>
      <c r="N81">
        <v>1</v>
      </c>
      <c r="Q81" t="s">
        <v>269</v>
      </c>
      <c r="R81" s="5">
        <v>29</v>
      </c>
      <c r="S81" s="5">
        <v>3</v>
      </c>
      <c r="T81" s="7" t="s">
        <v>233</v>
      </c>
      <c r="U81" s="8">
        <v>3.2410000000000001</v>
      </c>
      <c r="V81" s="9" t="s">
        <v>270</v>
      </c>
      <c r="W81" s="10">
        <v>41851</v>
      </c>
      <c r="X81" s="10">
        <v>42131</v>
      </c>
      <c r="Y81" s="8">
        <f>X81-W81</f>
        <v>280</v>
      </c>
      <c r="Z81">
        <v>0</v>
      </c>
      <c r="AA81">
        <v>97</v>
      </c>
    </row>
    <row r="82" spans="1:32" s="14" customFormat="1" x14ac:dyDescent="0.25">
      <c r="A82">
        <v>225</v>
      </c>
      <c r="B82" s="4" t="s">
        <v>271</v>
      </c>
      <c r="C82" s="5">
        <v>18</v>
      </c>
      <c r="D82" s="5">
        <v>27</v>
      </c>
      <c r="E82" t="s">
        <v>410</v>
      </c>
      <c r="F82">
        <v>5.3890000000000002</v>
      </c>
      <c r="G82" s="6">
        <v>44699</v>
      </c>
      <c r="H82" t="s">
        <v>788</v>
      </c>
      <c r="I82" s="10">
        <v>42016</v>
      </c>
      <c r="J82" s="10">
        <v>42027</v>
      </c>
      <c r="K82" s="5">
        <f t="shared" si="5"/>
        <v>11</v>
      </c>
      <c r="L82" s="47">
        <v>0</v>
      </c>
      <c r="M82" s="47">
        <v>373</v>
      </c>
      <c r="N82">
        <v>1</v>
      </c>
      <c r="O82"/>
      <c r="P82"/>
      <c r="Q82" t="s">
        <v>272</v>
      </c>
      <c r="R82" s="5">
        <v>9</v>
      </c>
      <c r="S82" s="5">
        <v>1</v>
      </c>
      <c r="T82" s="7" t="s">
        <v>244</v>
      </c>
      <c r="U82" s="11">
        <v>6.6420000000000003</v>
      </c>
      <c r="V82" s="9" t="s">
        <v>273</v>
      </c>
      <c r="W82" s="10">
        <v>41731</v>
      </c>
      <c r="X82" s="10">
        <v>42201</v>
      </c>
      <c r="Y82" s="8">
        <f>X82-W82</f>
        <v>470</v>
      </c>
      <c r="Z82">
        <v>1</v>
      </c>
      <c r="AA82">
        <v>673</v>
      </c>
      <c r="AB82"/>
      <c r="AC82"/>
      <c r="AD82"/>
      <c r="AE82"/>
      <c r="AF82"/>
    </row>
    <row r="83" spans="1:32" x14ac:dyDescent="0.25">
      <c r="A83">
        <v>229</v>
      </c>
      <c r="B83" s="4" t="s">
        <v>274</v>
      </c>
      <c r="C83" s="5">
        <v>116</v>
      </c>
      <c r="D83" s="5">
        <v>22</v>
      </c>
      <c r="E83" t="s">
        <v>378</v>
      </c>
      <c r="F83">
        <v>4.3849999999999998</v>
      </c>
      <c r="G83" s="6">
        <v>44699</v>
      </c>
      <c r="H83" t="s">
        <v>789</v>
      </c>
      <c r="I83" s="10" t="s">
        <v>5</v>
      </c>
      <c r="J83" s="10" t="s">
        <v>5</v>
      </c>
      <c r="K83" s="5" t="s">
        <v>5</v>
      </c>
      <c r="L83" s="47">
        <v>0</v>
      </c>
      <c r="M83" s="47">
        <v>324</v>
      </c>
      <c r="N83">
        <v>0</v>
      </c>
      <c r="Q83" t="s">
        <v>275</v>
      </c>
      <c r="R83" s="5">
        <v>44</v>
      </c>
      <c r="S83" s="5">
        <v>32</v>
      </c>
      <c r="T83" s="7" t="s">
        <v>276</v>
      </c>
      <c r="U83" s="11">
        <v>0.71499999999999997</v>
      </c>
      <c r="V83" s="9" t="s">
        <v>277</v>
      </c>
      <c r="W83" s="5" t="s">
        <v>5</v>
      </c>
      <c r="X83" s="5" t="s">
        <v>5</v>
      </c>
      <c r="Y83" s="5" t="s">
        <v>5</v>
      </c>
      <c r="Z83">
        <v>0</v>
      </c>
      <c r="AA83">
        <v>9770</v>
      </c>
    </row>
    <row r="84" spans="1:32" x14ac:dyDescent="0.25">
      <c r="A84">
        <v>232</v>
      </c>
      <c r="B84" s="4" t="s">
        <v>278</v>
      </c>
      <c r="C84" s="5">
        <v>20</v>
      </c>
      <c r="D84" s="5">
        <v>75</v>
      </c>
      <c r="E84" t="s">
        <v>410</v>
      </c>
      <c r="F84">
        <v>5.3890000000000002</v>
      </c>
      <c r="G84" s="6">
        <v>44699</v>
      </c>
      <c r="H84" t="s">
        <v>790</v>
      </c>
      <c r="I84" s="10">
        <v>42893</v>
      </c>
      <c r="J84" s="10">
        <v>43325</v>
      </c>
      <c r="K84" s="5">
        <f t="shared" si="5"/>
        <v>432</v>
      </c>
      <c r="L84" s="47">
        <v>0</v>
      </c>
      <c r="M84" s="47">
        <v>43</v>
      </c>
      <c r="N84">
        <v>1</v>
      </c>
      <c r="Q84" t="s">
        <v>279</v>
      </c>
      <c r="R84" s="5">
        <v>3</v>
      </c>
      <c r="S84" s="5">
        <v>1</v>
      </c>
      <c r="T84" s="7" t="s">
        <v>280</v>
      </c>
      <c r="U84" s="11">
        <v>1.893</v>
      </c>
      <c r="V84" s="9" t="s">
        <v>281</v>
      </c>
      <c r="W84" s="5" t="s">
        <v>5</v>
      </c>
      <c r="X84" s="5" t="s">
        <v>5</v>
      </c>
      <c r="Y84" s="5" t="s">
        <v>5</v>
      </c>
      <c r="Z84">
        <v>0</v>
      </c>
      <c r="AA84">
        <v>24</v>
      </c>
    </row>
    <row r="85" spans="1:32" x14ac:dyDescent="0.25">
      <c r="A85">
        <v>233</v>
      </c>
      <c r="B85" s="4" t="s">
        <v>282</v>
      </c>
      <c r="C85" s="5">
        <v>4</v>
      </c>
      <c r="D85" s="5">
        <v>0</v>
      </c>
      <c r="E85" t="s">
        <v>212</v>
      </c>
      <c r="F85">
        <v>1.7609999999999999</v>
      </c>
      <c r="G85" s="6">
        <v>44699</v>
      </c>
      <c r="H85" t="s">
        <v>791</v>
      </c>
      <c r="I85" s="10">
        <v>43235</v>
      </c>
      <c r="J85" s="10">
        <v>43356</v>
      </c>
      <c r="K85" s="5">
        <f t="shared" si="5"/>
        <v>121</v>
      </c>
      <c r="L85" s="47">
        <v>1</v>
      </c>
      <c r="M85" s="47">
        <v>15</v>
      </c>
      <c r="N85">
        <v>0.66666666666666696</v>
      </c>
      <c r="Q85" t="s">
        <v>283</v>
      </c>
      <c r="R85" s="5">
        <v>20</v>
      </c>
      <c r="S85" s="5">
        <v>9</v>
      </c>
      <c r="T85" s="7" t="s">
        <v>284</v>
      </c>
      <c r="U85" s="11">
        <v>1.38</v>
      </c>
      <c r="V85" s="9" t="s">
        <v>285</v>
      </c>
      <c r="W85" s="10">
        <v>42864</v>
      </c>
      <c r="X85" s="10">
        <v>43206</v>
      </c>
      <c r="Y85" s="8">
        <f t="shared" ref="Y85:Y94" si="7">X85-W85</f>
        <v>342</v>
      </c>
      <c r="Z85">
        <v>1</v>
      </c>
      <c r="AA85">
        <v>71</v>
      </c>
    </row>
    <row r="86" spans="1:32" x14ac:dyDescent="0.25">
      <c r="A86">
        <v>235</v>
      </c>
      <c r="B86" s="4" t="s">
        <v>286</v>
      </c>
      <c r="C86" s="5">
        <v>3</v>
      </c>
      <c r="D86" s="5">
        <v>0</v>
      </c>
      <c r="E86" t="s">
        <v>288</v>
      </c>
      <c r="F86">
        <v>2.077</v>
      </c>
      <c r="G86" s="6">
        <v>44699</v>
      </c>
      <c r="H86" t="s">
        <v>792</v>
      </c>
      <c r="I86" s="10">
        <v>42810</v>
      </c>
      <c r="J86" s="10">
        <v>43201</v>
      </c>
      <c r="K86" s="5">
        <f t="shared" si="5"/>
        <v>391</v>
      </c>
      <c r="L86" s="47">
        <v>1</v>
      </c>
      <c r="M86" s="47">
        <v>473</v>
      </c>
      <c r="N86">
        <v>1</v>
      </c>
      <c r="Q86" t="s">
        <v>287</v>
      </c>
      <c r="R86" s="5">
        <v>6</v>
      </c>
      <c r="S86" s="5">
        <v>0</v>
      </c>
      <c r="T86" s="7" t="s">
        <v>288</v>
      </c>
      <c r="U86" s="8">
        <v>2.077</v>
      </c>
      <c r="V86" s="9" t="s">
        <v>289</v>
      </c>
      <c r="W86" s="10">
        <v>42810</v>
      </c>
      <c r="X86" s="10">
        <v>43152</v>
      </c>
      <c r="Y86" s="8">
        <f t="shared" si="7"/>
        <v>342</v>
      </c>
      <c r="Z86">
        <v>0</v>
      </c>
      <c r="AA86">
        <v>442</v>
      </c>
    </row>
    <row r="87" spans="1:32" x14ac:dyDescent="0.25">
      <c r="A87">
        <v>236</v>
      </c>
      <c r="B87" s="4" t="s">
        <v>290</v>
      </c>
      <c r="C87" s="5">
        <v>12</v>
      </c>
      <c r="D87" s="5">
        <v>25</v>
      </c>
      <c r="E87" t="s">
        <v>410</v>
      </c>
      <c r="F87">
        <v>5.3890000000000002</v>
      </c>
      <c r="G87" s="6">
        <v>44699</v>
      </c>
      <c r="H87" t="s">
        <v>793</v>
      </c>
      <c r="I87" s="10">
        <v>42544</v>
      </c>
      <c r="J87" s="10">
        <v>42898</v>
      </c>
      <c r="K87" s="5">
        <f t="shared" si="5"/>
        <v>354</v>
      </c>
      <c r="L87" s="47">
        <v>0</v>
      </c>
      <c r="M87" s="47">
        <v>175</v>
      </c>
      <c r="N87">
        <v>0.54545454545454497</v>
      </c>
      <c r="Q87" t="s">
        <v>291</v>
      </c>
      <c r="R87" s="5">
        <v>8</v>
      </c>
      <c r="S87" s="5">
        <v>5</v>
      </c>
      <c r="T87" s="7" t="s">
        <v>292</v>
      </c>
      <c r="U87" s="11">
        <v>2.69</v>
      </c>
      <c r="V87" s="9" t="s">
        <v>293</v>
      </c>
      <c r="W87" s="10">
        <v>42578</v>
      </c>
      <c r="X87" s="10">
        <v>42858</v>
      </c>
      <c r="Y87" s="8">
        <f t="shared" si="7"/>
        <v>280</v>
      </c>
      <c r="Z87">
        <v>0</v>
      </c>
      <c r="AA87">
        <v>31</v>
      </c>
    </row>
    <row r="88" spans="1:32" x14ac:dyDescent="0.25">
      <c r="A88">
        <v>237</v>
      </c>
      <c r="B88" s="4" t="s">
        <v>294</v>
      </c>
      <c r="C88" s="5">
        <v>4</v>
      </c>
      <c r="D88" s="5">
        <v>2</v>
      </c>
      <c r="E88" t="s">
        <v>233</v>
      </c>
      <c r="F88">
        <v>3.254</v>
      </c>
      <c r="G88" t="s">
        <v>640</v>
      </c>
      <c r="H88" t="s">
        <v>794</v>
      </c>
      <c r="I88" s="10">
        <v>43010</v>
      </c>
      <c r="J88" s="10">
        <v>43473</v>
      </c>
      <c r="K88" s="5">
        <f t="shared" si="5"/>
        <v>463</v>
      </c>
      <c r="L88" s="47">
        <v>1</v>
      </c>
      <c r="M88" s="47">
        <v>974</v>
      </c>
      <c r="N88">
        <v>0.16666666666666699</v>
      </c>
      <c r="Q88" t="s">
        <v>655</v>
      </c>
      <c r="R88" s="5">
        <v>12</v>
      </c>
      <c r="S88" s="5">
        <v>28</v>
      </c>
      <c r="T88" s="7" t="s">
        <v>8</v>
      </c>
      <c r="U88" s="11">
        <v>2.415</v>
      </c>
      <c r="V88" s="9" t="s">
        <v>656</v>
      </c>
      <c r="W88" s="10">
        <v>43016</v>
      </c>
      <c r="X88" s="10">
        <v>43367</v>
      </c>
      <c r="Y88" s="8">
        <f t="shared" si="7"/>
        <v>351</v>
      </c>
      <c r="Z88">
        <v>0</v>
      </c>
      <c r="AA88">
        <v>82</v>
      </c>
    </row>
    <row r="89" spans="1:32" x14ac:dyDescent="0.25">
      <c r="A89">
        <v>238</v>
      </c>
      <c r="B89" s="4" t="s">
        <v>296</v>
      </c>
      <c r="C89" s="5">
        <v>9</v>
      </c>
      <c r="D89" s="5">
        <v>1</v>
      </c>
      <c r="E89" t="s">
        <v>42</v>
      </c>
      <c r="F89">
        <v>2.0670000000000002</v>
      </c>
      <c r="G89" s="6">
        <v>44699</v>
      </c>
      <c r="H89" t="s">
        <v>795</v>
      </c>
      <c r="I89" s="10">
        <v>43343</v>
      </c>
      <c r="J89" s="10">
        <v>43405</v>
      </c>
      <c r="K89" s="5">
        <f t="shared" si="5"/>
        <v>62</v>
      </c>
      <c r="L89" s="47">
        <v>1</v>
      </c>
      <c r="M89" s="47">
        <v>184</v>
      </c>
      <c r="N89">
        <v>0</v>
      </c>
      <c r="Q89" t="s">
        <v>297</v>
      </c>
      <c r="R89" s="5">
        <v>14</v>
      </c>
      <c r="S89" s="5">
        <v>4</v>
      </c>
      <c r="T89" s="7" t="s">
        <v>298</v>
      </c>
      <c r="U89" s="11">
        <v>1.9159999999999999</v>
      </c>
      <c r="V89" s="9" t="s">
        <v>299</v>
      </c>
      <c r="W89" s="10">
        <v>42852</v>
      </c>
      <c r="X89" s="10">
        <v>43188</v>
      </c>
      <c r="Y89" s="8">
        <f t="shared" si="7"/>
        <v>336</v>
      </c>
      <c r="Z89">
        <v>0</v>
      </c>
      <c r="AA89">
        <v>270</v>
      </c>
    </row>
    <row r="90" spans="1:32" x14ac:dyDescent="0.25">
      <c r="A90">
        <v>241</v>
      </c>
      <c r="B90" s="4" t="s">
        <v>300</v>
      </c>
      <c r="C90" s="5">
        <v>21</v>
      </c>
      <c r="D90" s="5">
        <v>175</v>
      </c>
      <c r="E90" t="s">
        <v>410</v>
      </c>
      <c r="F90">
        <v>5.3890000000000002</v>
      </c>
      <c r="G90" s="6">
        <v>44699</v>
      </c>
      <c r="H90" t="s">
        <v>796</v>
      </c>
      <c r="I90" s="10">
        <v>43255</v>
      </c>
      <c r="J90" s="10">
        <v>43419</v>
      </c>
      <c r="K90" s="5">
        <f t="shared" si="5"/>
        <v>164</v>
      </c>
      <c r="L90" s="47">
        <v>0</v>
      </c>
      <c r="M90" s="47">
        <v>32</v>
      </c>
      <c r="N90">
        <v>0</v>
      </c>
      <c r="Q90" t="s">
        <v>301</v>
      </c>
      <c r="R90" s="5">
        <v>37</v>
      </c>
      <c r="S90" s="5">
        <v>20</v>
      </c>
      <c r="T90" s="7" t="s">
        <v>302</v>
      </c>
      <c r="U90" s="11">
        <v>7.08</v>
      </c>
      <c r="V90" s="17" t="s">
        <v>303</v>
      </c>
      <c r="W90" s="10">
        <v>43493</v>
      </c>
      <c r="X90" s="10">
        <v>43546</v>
      </c>
      <c r="Y90" s="8">
        <f t="shared" si="7"/>
        <v>53</v>
      </c>
      <c r="Z90">
        <v>0</v>
      </c>
      <c r="AA90">
        <v>28</v>
      </c>
    </row>
    <row r="91" spans="1:32" s="33" customFormat="1" x14ac:dyDescent="0.25">
      <c r="A91" s="33">
        <v>245</v>
      </c>
      <c r="B91" s="34" t="s">
        <v>304</v>
      </c>
      <c r="C91" s="35">
        <v>25</v>
      </c>
      <c r="D91" s="35">
        <v>9</v>
      </c>
      <c r="E91" s="33" t="s">
        <v>212</v>
      </c>
      <c r="F91" s="33">
        <v>1.7609999999999999</v>
      </c>
      <c r="G91" s="36">
        <v>44888</v>
      </c>
      <c r="H91" s="33" t="s">
        <v>797</v>
      </c>
      <c r="I91" s="40">
        <v>43077</v>
      </c>
      <c r="J91" s="40">
        <v>43167</v>
      </c>
      <c r="K91" s="5">
        <f t="shared" si="5"/>
        <v>90</v>
      </c>
      <c r="L91" s="48">
        <v>1</v>
      </c>
      <c r="M91" s="48">
        <v>313</v>
      </c>
      <c r="N91" s="33">
        <v>0.625</v>
      </c>
      <c r="Q91" s="33" t="s">
        <v>925</v>
      </c>
      <c r="R91" s="35">
        <v>52</v>
      </c>
      <c r="S91" s="35" t="s">
        <v>5</v>
      </c>
      <c r="T91" s="37" t="s">
        <v>216</v>
      </c>
      <c r="U91" s="42">
        <v>6.335</v>
      </c>
      <c r="V91" s="43" t="s">
        <v>926</v>
      </c>
      <c r="W91" s="40">
        <v>42713</v>
      </c>
      <c r="X91" s="40">
        <v>42850</v>
      </c>
      <c r="Y91" s="42">
        <f t="shared" si="7"/>
        <v>137</v>
      </c>
      <c r="Z91" s="33">
        <v>0</v>
      </c>
      <c r="AA91" s="33">
        <v>1380</v>
      </c>
    </row>
    <row r="92" spans="1:32" x14ac:dyDescent="0.25">
      <c r="A92">
        <v>250</v>
      </c>
      <c r="B92" s="4" t="s">
        <v>305</v>
      </c>
      <c r="C92" s="5">
        <v>11</v>
      </c>
      <c r="D92" s="5">
        <v>1</v>
      </c>
      <c r="E92" t="s">
        <v>798</v>
      </c>
      <c r="F92">
        <v>3.1309999999999998</v>
      </c>
      <c r="G92" s="6">
        <v>44700</v>
      </c>
      <c r="H92" t="s">
        <v>799</v>
      </c>
      <c r="I92" s="10">
        <v>43153</v>
      </c>
      <c r="J92" s="10">
        <v>43364</v>
      </c>
      <c r="K92" s="5">
        <f t="shared" si="5"/>
        <v>211</v>
      </c>
      <c r="L92" s="47">
        <v>0</v>
      </c>
      <c r="M92" s="47">
        <v>400</v>
      </c>
      <c r="N92">
        <v>0.33333333333333298</v>
      </c>
      <c r="Q92" t="s">
        <v>306</v>
      </c>
      <c r="R92" s="5">
        <v>9</v>
      </c>
      <c r="S92" s="5">
        <v>0</v>
      </c>
      <c r="T92" s="7" t="s">
        <v>307</v>
      </c>
      <c r="U92" s="11">
        <v>2.528</v>
      </c>
      <c r="V92" s="17" t="s">
        <v>308</v>
      </c>
      <c r="W92" s="10">
        <v>43340</v>
      </c>
      <c r="X92" s="10">
        <v>43551</v>
      </c>
      <c r="Y92" s="8">
        <f t="shared" si="7"/>
        <v>211</v>
      </c>
      <c r="Z92">
        <v>0</v>
      </c>
      <c r="AA92">
        <v>307</v>
      </c>
    </row>
    <row r="93" spans="1:32" x14ac:dyDescent="0.25">
      <c r="A93">
        <v>254</v>
      </c>
      <c r="B93" s="4" t="s">
        <v>309</v>
      </c>
      <c r="C93" s="5">
        <v>14</v>
      </c>
      <c r="D93" s="5">
        <v>360</v>
      </c>
      <c r="E93" t="s">
        <v>410</v>
      </c>
      <c r="F93">
        <v>5.3890000000000002</v>
      </c>
      <c r="G93" s="6">
        <v>44700</v>
      </c>
      <c r="H93" t="s">
        <v>800</v>
      </c>
      <c r="I93" s="10">
        <v>43601</v>
      </c>
      <c r="J93" s="10">
        <v>43713</v>
      </c>
      <c r="K93" s="5">
        <f t="shared" si="5"/>
        <v>112</v>
      </c>
      <c r="L93" s="47">
        <v>0</v>
      </c>
      <c r="M93" s="47">
        <v>325</v>
      </c>
      <c r="N93">
        <v>1</v>
      </c>
      <c r="Q93" t="s">
        <v>310</v>
      </c>
      <c r="R93" s="5">
        <v>3</v>
      </c>
      <c r="S93" s="5">
        <v>0</v>
      </c>
      <c r="T93" s="7" t="s">
        <v>25</v>
      </c>
      <c r="U93" s="8">
        <v>2.4729999999999999</v>
      </c>
      <c r="V93" s="9" t="s">
        <v>311</v>
      </c>
      <c r="W93" s="10">
        <v>43257</v>
      </c>
      <c r="X93" s="10">
        <v>43355</v>
      </c>
      <c r="Y93" s="8">
        <f t="shared" si="7"/>
        <v>98</v>
      </c>
      <c r="Z93">
        <v>1</v>
      </c>
      <c r="AA93">
        <v>40</v>
      </c>
    </row>
    <row r="94" spans="1:32" x14ac:dyDescent="0.25">
      <c r="A94">
        <v>255</v>
      </c>
      <c r="B94" s="4" t="s">
        <v>312</v>
      </c>
      <c r="C94" s="5">
        <v>13</v>
      </c>
      <c r="D94" s="5">
        <v>21</v>
      </c>
      <c r="E94" t="s">
        <v>66</v>
      </c>
      <c r="F94">
        <v>3.722</v>
      </c>
      <c r="G94" s="6">
        <v>44700</v>
      </c>
      <c r="H94" t="s">
        <v>801</v>
      </c>
      <c r="I94" s="10">
        <v>43175</v>
      </c>
      <c r="J94" s="10">
        <v>43416</v>
      </c>
      <c r="K94" s="5">
        <f t="shared" si="5"/>
        <v>241</v>
      </c>
      <c r="L94" s="47">
        <v>0</v>
      </c>
      <c r="M94" s="47">
        <v>72</v>
      </c>
      <c r="N94">
        <v>0.77777777777777801</v>
      </c>
      <c r="Q94" t="s">
        <v>313</v>
      </c>
      <c r="R94" s="5">
        <v>8</v>
      </c>
      <c r="S94" s="5">
        <v>11</v>
      </c>
      <c r="T94" s="7" t="s">
        <v>314</v>
      </c>
      <c r="U94" s="11">
        <v>4.9660000000000002</v>
      </c>
      <c r="V94" s="9" t="s">
        <v>315</v>
      </c>
      <c r="W94" s="10">
        <v>43455</v>
      </c>
      <c r="X94" s="10">
        <v>43580</v>
      </c>
      <c r="Y94" s="8">
        <f t="shared" si="7"/>
        <v>125</v>
      </c>
      <c r="Z94">
        <v>0</v>
      </c>
      <c r="AA94">
        <v>48</v>
      </c>
    </row>
    <row r="95" spans="1:32" x14ac:dyDescent="0.25">
      <c r="A95">
        <v>260</v>
      </c>
      <c r="B95" s="4" t="s">
        <v>316</v>
      </c>
      <c r="C95" s="5">
        <v>28</v>
      </c>
      <c r="D95" s="5">
        <v>76</v>
      </c>
      <c r="E95" t="s">
        <v>410</v>
      </c>
      <c r="F95">
        <v>5.3890000000000002</v>
      </c>
      <c r="G95" s="6">
        <v>44700</v>
      </c>
      <c r="H95" t="s">
        <v>802</v>
      </c>
      <c r="I95" s="10">
        <v>42115</v>
      </c>
      <c r="J95" s="10">
        <v>43131</v>
      </c>
      <c r="K95" s="5">
        <f t="shared" si="5"/>
        <v>1016</v>
      </c>
      <c r="L95" s="47">
        <v>0</v>
      </c>
      <c r="M95" s="47">
        <v>55</v>
      </c>
      <c r="N95">
        <v>1</v>
      </c>
      <c r="Q95" t="s">
        <v>317</v>
      </c>
      <c r="R95" s="5">
        <v>14</v>
      </c>
      <c r="S95" s="5">
        <v>12</v>
      </c>
      <c r="T95" s="7" t="s">
        <v>318</v>
      </c>
      <c r="U95" s="11">
        <v>2.5059999999999998</v>
      </c>
      <c r="V95" s="17" t="s">
        <v>319</v>
      </c>
      <c r="W95" s="5" t="s">
        <v>5</v>
      </c>
      <c r="X95" s="5" t="s">
        <v>5</v>
      </c>
      <c r="Y95" s="8" t="s">
        <v>5</v>
      </c>
      <c r="Z95">
        <v>0</v>
      </c>
      <c r="AA95">
        <v>48</v>
      </c>
    </row>
    <row r="96" spans="1:32" x14ac:dyDescent="0.25">
      <c r="A96">
        <v>262</v>
      </c>
      <c r="B96" s="4" t="s">
        <v>320</v>
      </c>
      <c r="C96" s="5">
        <v>11</v>
      </c>
      <c r="D96" s="5">
        <v>78</v>
      </c>
      <c r="E96" t="s">
        <v>182</v>
      </c>
      <c r="F96">
        <v>3.91</v>
      </c>
      <c r="G96" s="6">
        <v>44700</v>
      </c>
      <c r="H96" t="s">
        <v>803</v>
      </c>
      <c r="I96" s="10">
        <v>43112</v>
      </c>
      <c r="J96" s="10">
        <v>43343</v>
      </c>
      <c r="K96" s="5">
        <f t="shared" si="5"/>
        <v>231</v>
      </c>
      <c r="L96" s="47">
        <v>0</v>
      </c>
      <c r="M96" s="47">
        <v>157</v>
      </c>
      <c r="N96">
        <v>0.53846153846153799</v>
      </c>
      <c r="Q96" t="s">
        <v>914</v>
      </c>
      <c r="R96" s="5">
        <v>11</v>
      </c>
      <c r="S96" s="5">
        <v>59</v>
      </c>
      <c r="T96" s="7" t="s">
        <v>912</v>
      </c>
      <c r="U96" s="8">
        <v>2.7629999999999999</v>
      </c>
      <c r="V96" s="31" t="s">
        <v>913</v>
      </c>
      <c r="W96" s="10">
        <v>43222</v>
      </c>
      <c r="X96" s="10">
        <v>43670</v>
      </c>
      <c r="Y96" s="8">
        <f>X96-W96</f>
        <v>448</v>
      </c>
      <c r="Z96">
        <v>1</v>
      </c>
      <c r="AA96">
        <v>100</v>
      </c>
    </row>
    <row r="97" spans="1:32" x14ac:dyDescent="0.25">
      <c r="A97">
        <v>263</v>
      </c>
      <c r="B97" s="4" t="s">
        <v>321</v>
      </c>
      <c r="C97" s="5">
        <v>3</v>
      </c>
      <c r="D97" s="5">
        <v>62</v>
      </c>
      <c r="E97" t="s">
        <v>233</v>
      </c>
      <c r="F97">
        <v>3.254</v>
      </c>
      <c r="G97" s="6">
        <v>44700</v>
      </c>
      <c r="H97" t="s">
        <v>804</v>
      </c>
      <c r="I97" s="10">
        <v>42990</v>
      </c>
      <c r="J97" s="10">
        <v>43129</v>
      </c>
      <c r="K97" s="5">
        <f t="shared" si="5"/>
        <v>139</v>
      </c>
      <c r="L97" s="47">
        <v>1</v>
      </c>
      <c r="M97" s="47">
        <v>216</v>
      </c>
      <c r="N97">
        <v>1</v>
      </c>
      <c r="Q97" t="s">
        <v>322</v>
      </c>
      <c r="R97" s="5">
        <v>0</v>
      </c>
      <c r="S97" s="5">
        <v>2</v>
      </c>
      <c r="T97" s="7" t="s">
        <v>284</v>
      </c>
      <c r="U97" s="11">
        <v>1.38</v>
      </c>
      <c r="V97" s="9" t="s">
        <v>323</v>
      </c>
      <c r="W97" s="10">
        <v>42800</v>
      </c>
      <c r="X97" s="10">
        <v>43322</v>
      </c>
      <c r="Y97" s="8">
        <f>X97-W97</f>
        <v>522</v>
      </c>
      <c r="Z97">
        <v>1</v>
      </c>
      <c r="AA97">
        <v>89</v>
      </c>
    </row>
    <row r="98" spans="1:32" s="14" customFormat="1" x14ac:dyDescent="0.25">
      <c r="A98">
        <v>264</v>
      </c>
      <c r="B98" s="4" t="s">
        <v>324</v>
      </c>
      <c r="C98" s="5">
        <v>7</v>
      </c>
      <c r="D98" s="5">
        <v>1</v>
      </c>
      <c r="E98" t="s">
        <v>212</v>
      </c>
      <c r="F98">
        <v>1.7609999999999999</v>
      </c>
      <c r="G98" s="6">
        <v>44700</v>
      </c>
      <c r="H98" t="s">
        <v>805</v>
      </c>
      <c r="I98" s="10">
        <v>43165</v>
      </c>
      <c r="J98" s="10">
        <v>43367</v>
      </c>
      <c r="K98" s="5">
        <f t="shared" si="5"/>
        <v>202</v>
      </c>
      <c r="L98" s="47">
        <v>1</v>
      </c>
      <c r="M98" s="47">
        <v>391</v>
      </c>
      <c r="N98">
        <v>0.75</v>
      </c>
      <c r="O98"/>
      <c r="P98"/>
      <c r="Q98" t="s">
        <v>325</v>
      </c>
      <c r="R98" s="5">
        <v>10</v>
      </c>
      <c r="S98" s="5">
        <v>27</v>
      </c>
      <c r="T98" s="7" t="s">
        <v>80</v>
      </c>
      <c r="U98" s="11">
        <v>2.74</v>
      </c>
      <c r="V98" s="18" t="s">
        <v>326</v>
      </c>
      <c r="W98" s="10">
        <v>43136</v>
      </c>
      <c r="X98" s="10">
        <v>43312</v>
      </c>
      <c r="Y98" s="8">
        <f>X98-W98</f>
        <v>176</v>
      </c>
      <c r="Z98">
        <v>0</v>
      </c>
      <c r="AA98">
        <v>319</v>
      </c>
      <c r="AB98"/>
      <c r="AC98"/>
      <c r="AD98"/>
      <c r="AE98"/>
      <c r="AF98"/>
    </row>
    <row r="99" spans="1:32" x14ac:dyDescent="0.25">
      <c r="A99">
        <v>266</v>
      </c>
      <c r="B99" s="4" t="s">
        <v>327</v>
      </c>
      <c r="C99" s="5">
        <v>10</v>
      </c>
      <c r="D99" s="5">
        <v>125</v>
      </c>
      <c r="E99" t="s">
        <v>410</v>
      </c>
      <c r="F99">
        <v>5.3890000000000002</v>
      </c>
      <c r="G99" s="6">
        <v>44700</v>
      </c>
      <c r="H99" t="s">
        <v>806</v>
      </c>
      <c r="I99" s="10">
        <v>42466</v>
      </c>
      <c r="J99" s="10">
        <v>42549</v>
      </c>
      <c r="K99" s="5">
        <f t="shared" si="5"/>
        <v>83</v>
      </c>
      <c r="L99" s="47">
        <v>0</v>
      </c>
      <c r="M99" s="47">
        <v>545</v>
      </c>
      <c r="N99">
        <v>0</v>
      </c>
      <c r="Q99" t="s">
        <v>328</v>
      </c>
      <c r="R99" s="5">
        <v>3</v>
      </c>
      <c r="S99" s="5" t="s">
        <v>5</v>
      </c>
      <c r="T99" s="7" t="s">
        <v>329</v>
      </c>
      <c r="U99" s="11">
        <v>2.1539999999999999</v>
      </c>
      <c r="V99" s="9" t="s">
        <v>330</v>
      </c>
      <c r="W99" s="10">
        <v>41981</v>
      </c>
      <c r="X99" s="10">
        <v>42370</v>
      </c>
      <c r="Y99" s="8">
        <f>X99-W99</f>
        <v>389</v>
      </c>
      <c r="Z99">
        <v>0</v>
      </c>
      <c r="AA99">
        <v>133</v>
      </c>
    </row>
    <row r="100" spans="1:32" x14ac:dyDescent="0.25">
      <c r="A100">
        <v>268</v>
      </c>
      <c r="B100" s="4" t="s">
        <v>331</v>
      </c>
      <c r="C100" s="5">
        <v>10</v>
      </c>
      <c r="D100" s="5">
        <v>895</v>
      </c>
      <c r="E100" t="s">
        <v>410</v>
      </c>
      <c r="F100">
        <v>5.3890000000000002</v>
      </c>
      <c r="G100" s="6">
        <v>44700</v>
      </c>
      <c r="H100" t="s">
        <v>807</v>
      </c>
      <c r="I100" s="10">
        <v>43027</v>
      </c>
      <c r="J100" s="10">
        <v>43208</v>
      </c>
      <c r="K100" s="5">
        <f t="shared" si="5"/>
        <v>181</v>
      </c>
      <c r="L100" s="47">
        <v>0</v>
      </c>
      <c r="M100" s="47">
        <v>87</v>
      </c>
      <c r="N100">
        <v>0</v>
      </c>
      <c r="Q100" t="s">
        <v>332</v>
      </c>
      <c r="R100" s="5">
        <v>8</v>
      </c>
      <c r="S100" s="5">
        <v>4</v>
      </c>
      <c r="T100" s="7" t="s">
        <v>66</v>
      </c>
      <c r="U100" s="8">
        <v>3.722</v>
      </c>
      <c r="V100" s="9" t="s">
        <v>333</v>
      </c>
      <c r="W100" s="10">
        <v>42769</v>
      </c>
      <c r="X100" s="10">
        <v>42934</v>
      </c>
      <c r="Y100" s="8">
        <f>X100-W100</f>
        <v>165</v>
      </c>
      <c r="Z100">
        <v>0</v>
      </c>
      <c r="AA100">
        <v>63</v>
      </c>
    </row>
    <row r="101" spans="1:32" x14ac:dyDescent="0.25">
      <c r="A101">
        <v>271</v>
      </c>
      <c r="B101" s="4" t="s">
        <v>334</v>
      </c>
      <c r="C101" s="5">
        <v>26</v>
      </c>
      <c r="D101" s="5">
        <v>322</v>
      </c>
      <c r="E101" t="s">
        <v>410</v>
      </c>
      <c r="F101">
        <v>5.3890000000000002</v>
      </c>
      <c r="G101" s="6">
        <v>44700</v>
      </c>
      <c r="H101" t="s">
        <v>808</v>
      </c>
      <c r="I101" s="10">
        <v>43168</v>
      </c>
      <c r="J101" s="10">
        <v>43345</v>
      </c>
      <c r="K101" s="5">
        <f t="shared" si="5"/>
        <v>177</v>
      </c>
      <c r="L101" s="47">
        <v>0</v>
      </c>
      <c r="M101" s="47">
        <v>113</v>
      </c>
      <c r="N101">
        <v>1</v>
      </c>
      <c r="Q101" t="s">
        <v>335</v>
      </c>
      <c r="R101" s="5">
        <v>7</v>
      </c>
      <c r="S101" s="5">
        <v>1</v>
      </c>
      <c r="T101" s="7" t="s">
        <v>336</v>
      </c>
      <c r="U101" s="11">
        <v>2.206</v>
      </c>
      <c r="V101" s="9" t="s">
        <v>337</v>
      </c>
      <c r="W101" s="5" t="s">
        <v>5</v>
      </c>
      <c r="X101" s="5" t="s">
        <v>5</v>
      </c>
      <c r="Y101" s="8" t="s">
        <v>5</v>
      </c>
      <c r="Z101">
        <v>0</v>
      </c>
      <c r="AA101">
        <v>31</v>
      </c>
    </row>
    <row r="102" spans="1:32" s="14" customFormat="1" x14ac:dyDescent="0.25">
      <c r="A102">
        <v>273</v>
      </c>
      <c r="B102" s="4" t="s">
        <v>338</v>
      </c>
      <c r="C102" s="5">
        <v>32</v>
      </c>
      <c r="D102" s="5">
        <v>435</v>
      </c>
      <c r="E102" t="s">
        <v>410</v>
      </c>
      <c r="F102">
        <v>5.3890000000000002</v>
      </c>
      <c r="G102" t="s">
        <v>640</v>
      </c>
      <c r="H102" t="s">
        <v>809</v>
      </c>
      <c r="I102" s="10">
        <v>42626</v>
      </c>
      <c r="J102" s="10">
        <v>42761</v>
      </c>
      <c r="K102" s="5">
        <f t="shared" si="5"/>
        <v>135</v>
      </c>
      <c r="L102" s="47">
        <v>1</v>
      </c>
      <c r="M102" s="47">
        <v>212</v>
      </c>
      <c r="N102">
        <v>1</v>
      </c>
      <c r="O102"/>
      <c r="P102"/>
      <c r="Q102" t="s">
        <v>657</v>
      </c>
      <c r="R102" s="5">
        <v>12</v>
      </c>
      <c r="S102" s="5">
        <v>0</v>
      </c>
      <c r="T102" s="7" t="s">
        <v>392</v>
      </c>
      <c r="U102" s="11">
        <v>1.7150000000000001</v>
      </c>
      <c r="V102" s="9" t="s">
        <v>658</v>
      </c>
      <c r="W102" s="10">
        <v>42235</v>
      </c>
      <c r="X102" s="10">
        <v>42662</v>
      </c>
      <c r="Y102" s="8">
        <f>X102-W102</f>
        <v>427</v>
      </c>
      <c r="Z102">
        <v>0</v>
      </c>
      <c r="AA102">
        <v>47</v>
      </c>
      <c r="AB102"/>
      <c r="AC102"/>
      <c r="AD102"/>
      <c r="AE102"/>
      <c r="AF102"/>
    </row>
    <row r="103" spans="1:32" x14ac:dyDescent="0.25">
      <c r="A103">
        <v>276</v>
      </c>
      <c r="B103" s="4" t="s">
        <v>339</v>
      </c>
      <c r="C103" s="5">
        <v>16</v>
      </c>
      <c r="D103" s="5">
        <v>85</v>
      </c>
      <c r="E103" t="s">
        <v>410</v>
      </c>
      <c r="F103">
        <v>5.3890000000000002</v>
      </c>
      <c r="G103" s="6">
        <v>44700</v>
      </c>
      <c r="H103" t="s">
        <v>810</v>
      </c>
      <c r="I103" s="10">
        <v>43059</v>
      </c>
      <c r="J103" s="10">
        <v>43391</v>
      </c>
      <c r="K103" s="5">
        <f t="shared" si="5"/>
        <v>332</v>
      </c>
      <c r="L103" s="47">
        <v>1</v>
      </c>
      <c r="M103" s="47">
        <v>568</v>
      </c>
      <c r="N103">
        <v>1</v>
      </c>
      <c r="Q103" t="s">
        <v>340</v>
      </c>
      <c r="R103" s="5">
        <v>1</v>
      </c>
      <c r="S103" s="5">
        <v>31</v>
      </c>
      <c r="T103" s="7" t="s">
        <v>80</v>
      </c>
      <c r="U103" s="11">
        <v>2.74</v>
      </c>
      <c r="V103" s="17" t="s">
        <v>341</v>
      </c>
      <c r="W103" s="10">
        <v>43559</v>
      </c>
      <c r="X103" s="10">
        <v>43689</v>
      </c>
      <c r="Y103" s="8">
        <f>X103-W103</f>
        <v>130</v>
      </c>
      <c r="Z103">
        <v>1</v>
      </c>
      <c r="AA103">
        <v>203</v>
      </c>
    </row>
    <row r="104" spans="1:32" x14ac:dyDescent="0.25">
      <c r="A104">
        <v>280</v>
      </c>
      <c r="B104" s="4" t="s">
        <v>342</v>
      </c>
      <c r="C104" s="5">
        <v>88</v>
      </c>
      <c r="D104" s="5">
        <v>559</v>
      </c>
      <c r="E104" t="s">
        <v>410</v>
      </c>
      <c r="F104">
        <v>5.3890000000000002</v>
      </c>
      <c r="G104" s="6">
        <v>44700</v>
      </c>
      <c r="H104" t="s">
        <v>811</v>
      </c>
      <c r="I104" s="10">
        <v>42839</v>
      </c>
      <c r="J104" s="10">
        <v>42986</v>
      </c>
      <c r="K104" s="5">
        <f t="shared" si="5"/>
        <v>147</v>
      </c>
      <c r="L104" s="47">
        <v>1</v>
      </c>
      <c r="M104" s="47">
        <v>356</v>
      </c>
      <c r="N104">
        <v>1</v>
      </c>
      <c r="Q104" t="s">
        <v>343</v>
      </c>
      <c r="R104" s="5">
        <v>18</v>
      </c>
      <c r="S104" s="5">
        <v>101</v>
      </c>
      <c r="T104" s="7" t="s">
        <v>132</v>
      </c>
      <c r="U104" s="11">
        <v>7.5250000000000004</v>
      </c>
      <c r="V104" s="9" t="s">
        <v>344</v>
      </c>
      <c r="W104" s="5" t="s">
        <v>5</v>
      </c>
      <c r="X104" s="5" t="s">
        <v>5</v>
      </c>
      <c r="Y104" s="8" t="s">
        <v>5</v>
      </c>
      <c r="Z104">
        <v>0</v>
      </c>
      <c r="AA104">
        <v>205</v>
      </c>
    </row>
    <row r="105" spans="1:32" x14ac:dyDescent="0.25">
      <c r="A105">
        <v>282</v>
      </c>
      <c r="B105" s="4" t="s">
        <v>345</v>
      </c>
      <c r="C105" s="5">
        <v>8</v>
      </c>
      <c r="D105" s="5">
        <v>278</v>
      </c>
      <c r="E105" t="s">
        <v>410</v>
      </c>
      <c r="F105">
        <v>5.3890000000000002</v>
      </c>
      <c r="G105" s="6">
        <v>44700</v>
      </c>
      <c r="H105" t="s">
        <v>812</v>
      </c>
      <c r="I105" s="10">
        <v>43448</v>
      </c>
      <c r="J105" s="10">
        <v>43662</v>
      </c>
      <c r="K105" s="5">
        <f t="shared" si="5"/>
        <v>214</v>
      </c>
      <c r="L105" s="47">
        <v>0</v>
      </c>
      <c r="M105" s="47">
        <v>282</v>
      </c>
      <c r="N105">
        <v>0.33333333333333298</v>
      </c>
      <c r="Q105" t="s">
        <v>346</v>
      </c>
      <c r="R105" s="5">
        <v>15</v>
      </c>
      <c r="S105" s="5">
        <v>1</v>
      </c>
      <c r="T105" s="7" t="s">
        <v>347</v>
      </c>
      <c r="U105" s="11">
        <v>3.6669999999999998</v>
      </c>
      <c r="V105" s="9" t="s">
        <v>348</v>
      </c>
      <c r="W105" s="10">
        <v>43202</v>
      </c>
      <c r="X105" s="10">
        <v>43311</v>
      </c>
      <c r="Y105" s="8">
        <f>X105-W105</f>
        <v>109</v>
      </c>
      <c r="Z105">
        <v>1</v>
      </c>
      <c r="AA105">
        <v>2846</v>
      </c>
    </row>
    <row r="106" spans="1:32" x14ac:dyDescent="0.25">
      <c r="A106">
        <v>288</v>
      </c>
      <c r="B106" s="4" t="s">
        <v>349</v>
      </c>
      <c r="C106" s="5">
        <v>2</v>
      </c>
      <c r="D106" s="5">
        <v>1</v>
      </c>
      <c r="E106" t="s">
        <v>233</v>
      </c>
      <c r="F106">
        <v>3.254</v>
      </c>
      <c r="G106" s="6">
        <v>44700</v>
      </c>
      <c r="H106" t="s">
        <v>813</v>
      </c>
      <c r="I106" s="10">
        <v>43290</v>
      </c>
      <c r="J106" s="10">
        <v>43676</v>
      </c>
      <c r="K106" s="5">
        <f t="shared" si="5"/>
        <v>386</v>
      </c>
      <c r="L106" s="47">
        <v>1</v>
      </c>
      <c r="M106" s="47">
        <v>224</v>
      </c>
      <c r="N106">
        <v>1</v>
      </c>
      <c r="Q106" t="s">
        <v>350</v>
      </c>
      <c r="R106" s="5">
        <v>1</v>
      </c>
      <c r="S106" s="5">
        <v>1</v>
      </c>
      <c r="T106" s="7" t="s">
        <v>351</v>
      </c>
      <c r="U106" s="11">
        <v>1.88</v>
      </c>
      <c r="V106" s="9" t="s">
        <v>352</v>
      </c>
      <c r="W106" s="10">
        <v>43321</v>
      </c>
      <c r="X106" s="10">
        <v>43562</v>
      </c>
      <c r="Y106" s="8">
        <f>X106-W106</f>
        <v>241</v>
      </c>
      <c r="Z106">
        <v>1</v>
      </c>
      <c r="AA106">
        <v>81</v>
      </c>
    </row>
    <row r="107" spans="1:32" x14ac:dyDescent="0.25">
      <c r="A107" s="25">
        <v>294</v>
      </c>
      <c r="B107" s="4" t="s">
        <v>353</v>
      </c>
      <c r="C107" s="27">
        <v>8</v>
      </c>
      <c r="D107" s="27">
        <v>2</v>
      </c>
      <c r="E107" s="25" t="s">
        <v>814</v>
      </c>
      <c r="F107" s="25">
        <v>2.419</v>
      </c>
      <c r="G107" s="7" t="s">
        <v>5</v>
      </c>
      <c r="H107" s="25" t="s">
        <v>815</v>
      </c>
      <c r="I107" s="30">
        <v>43292</v>
      </c>
      <c r="J107" s="30">
        <v>43445</v>
      </c>
      <c r="K107" s="5">
        <f t="shared" si="5"/>
        <v>153</v>
      </c>
      <c r="L107" s="49">
        <v>1</v>
      </c>
      <c r="M107" s="49">
        <v>48</v>
      </c>
      <c r="N107" s="25">
        <v>0</v>
      </c>
      <c r="O107" s="25"/>
      <c r="P107" s="25"/>
      <c r="Q107" s="25" t="s">
        <v>910</v>
      </c>
      <c r="R107" s="27">
        <v>5</v>
      </c>
      <c r="S107" s="27">
        <v>5</v>
      </c>
      <c r="T107" s="25" t="s">
        <v>814</v>
      </c>
      <c r="U107" s="25">
        <v>2.419</v>
      </c>
      <c r="V107" s="29" t="s">
        <v>911</v>
      </c>
      <c r="W107" s="30">
        <v>42674</v>
      </c>
      <c r="X107" s="30">
        <v>42994</v>
      </c>
      <c r="Y107" s="8">
        <f>X107-W107</f>
        <v>320</v>
      </c>
      <c r="Z107" s="8">
        <v>0</v>
      </c>
      <c r="AA107" s="8">
        <v>80</v>
      </c>
      <c r="AB107" s="25"/>
      <c r="AC107" s="25"/>
      <c r="AD107" s="25"/>
    </row>
    <row r="108" spans="1:32" x14ac:dyDescent="0.25">
      <c r="A108">
        <v>297</v>
      </c>
      <c r="B108" s="4" t="s">
        <v>354</v>
      </c>
      <c r="C108" s="5">
        <v>2</v>
      </c>
      <c r="D108" s="5">
        <v>145</v>
      </c>
      <c r="E108" t="s">
        <v>816</v>
      </c>
      <c r="F108">
        <v>2.5030000000000001</v>
      </c>
      <c r="G108" s="6">
        <v>44700</v>
      </c>
      <c r="H108" t="s">
        <v>817</v>
      </c>
      <c r="I108" s="10" t="s">
        <v>5</v>
      </c>
      <c r="J108" s="10" t="s">
        <v>5</v>
      </c>
      <c r="K108" s="5" t="s">
        <v>5</v>
      </c>
      <c r="L108" s="47">
        <v>0</v>
      </c>
      <c r="M108" s="47">
        <v>129</v>
      </c>
      <c r="N108">
        <v>9.0909090909090898E-2</v>
      </c>
      <c r="Q108" t="s">
        <v>355</v>
      </c>
      <c r="R108" s="5">
        <v>5</v>
      </c>
      <c r="S108" s="5">
        <v>0</v>
      </c>
      <c r="T108" s="7" t="s">
        <v>356</v>
      </c>
      <c r="U108" s="11">
        <v>3.581</v>
      </c>
      <c r="V108" s="9" t="s">
        <v>357</v>
      </c>
      <c r="W108" s="5" t="s">
        <v>5</v>
      </c>
      <c r="X108" s="5" t="s">
        <v>5</v>
      </c>
      <c r="Y108" s="8" t="s">
        <v>5</v>
      </c>
      <c r="Z108">
        <v>1</v>
      </c>
      <c r="AA108">
        <v>560</v>
      </c>
    </row>
    <row r="109" spans="1:32" x14ac:dyDescent="0.25">
      <c r="A109">
        <v>298</v>
      </c>
      <c r="B109" s="4" t="s">
        <v>358</v>
      </c>
      <c r="C109" s="5">
        <v>1</v>
      </c>
      <c r="D109" s="5">
        <v>4</v>
      </c>
      <c r="E109" t="s">
        <v>233</v>
      </c>
      <c r="F109">
        <v>3.254</v>
      </c>
      <c r="G109" s="6">
        <v>44700</v>
      </c>
      <c r="H109" t="s">
        <v>818</v>
      </c>
      <c r="I109" s="10">
        <v>43478</v>
      </c>
      <c r="J109" s="10">
        <v>43621</v>
      </c>
      <c r="K109" s="5">
        <f t="shared" si="5"/>
        <v>143</v>
      </c>
      <c r="L109" s="47">
        <v>1</v>
      </c>
      <c r="M109" s="47">
        <v>231</v>
      </c>
      <c r="N109">
        <v>0.66666666666666696</v>
      </c>
      <c r="Q109" t="s">
        <v>359</v>
      </c>
      <c r="R109" s="5">
        <v>23</v>
      </c>
      <c r="S109" s="5">
        <v>6</v>
      </c>
      <c r="T109" s="7" t="s">
        <v>360</v>
      </c>
      <c r="U109" s="8">
        <v>3.294</v>
      </c>
      <c r="V109" s="9" t="s">
        <v>361</v>
      </c>
      <c r="W109" s="10">
        <v>43381</v>
      </c>
      <c r="X109" s="10">
        <v>43591</v>
      </c>
      <c r="Y109" s="8">
        <f>X109-W109</f>
        <v>210</v>
      </c>
      <c r="Z109">
        <v>1</v>
      </c>
      <c r="AA109">
        <v>806</v>
      </c>
    </row>
    <row r="110" spans="1:32" s="14" customFormat="1" x14ac:dyDescent="0.25">
      <c r="A110">
        <v>303</v>
      </c>
      <c r="B110" s="4" t="s">
        <v>362</v>
      </c>
      <c r="C110" s="5">
        <v>5</v>
      </c>
      <c r="D110" s="5">
        <v>278</v>
      </c>
      <c r="E110" t="s">
        <v>410</v>
      </c>
      <c r="F110">
        <v>5.3890000000000002</v>
      </c>
      <c r="G110" t="s">
        <v>640</v>
      </c>
      <c r="H110" t="s">
        <v>819</v>
      </c>
      <c r="I110" s="10">
        <v>43319</v>
      </c>
      <c r="J110" s="10">
        <v>43658</v>
      </c>
      <c r="K110" s="5">
        <f t="shared" si="5"/>
        <v>339</v>
      </c>
      <c r="L110" s="47">
        <v>0</v>
      </c>
      <c r="M110" s="47">
        <v>1500</v>
      </c>
      <c r="N110">
        <v>0.5</v>
      </c>
      <c r="O110"/>
      <c r="P110"/>
      <c r="Q110" t="s">
        <v>659</v>
      </c>
      <c r="R110" s="5">
        <v>3</v>
      </c>
      <c r="S110" s="5">
        <v>0</v>
      </c>
      <c r="T110" s="7" t="s">
        <v>80</v>
      </c>
      <c r="U110" s="11">
        <v>2.74</v>
      </c>
      <c r="V110" s="26" t="s">
        <v>702</v>
      </c>
      <c r="W110" s="10">
        <v>43402</v>
      </c>
      <c r="X110" s="10">
        <v>43574</v>
      </c>
      <c r="Y110" s="8">
        <f>X110-W110</f>
        <v>172</v>
      </c>
      <c r="Z110">
        <v>0</v>
      </c>
      <c r="AA110">
        <v>287</v>
      </c>
      <c r="AB110"/>
      <c r="AC110"/>
      <c r="AD110"/>
      <c r="AE110"/>
      <c r="AF110"/>
    </row>
    <row r="111" spans="1:32" x14ac:dyDescent="0.25">
      <c r="A111">
        <v>306</v>
      </c>
      <c r="B111" s="4" t="s">
        <v>363</v>
      </c>
      <c r="C111" s="5">
        <v>8</v>
      </c>
      <c r="D111" s="5" t="s">
        <v>5</v>
      </c>
      <c r="E111" t="s">
        <v>434</v>
      </c>
      <c r="F111">
        <v>2.8319999999999999</v>
      </c>
      <c r="G111" t="s">
        <v>640</v>
      </c>
      <c r="H111" t="s">
        <v>820</v>
      </c>
      <c r="I111" s="10">
        <v>43096</v>
      </c>
      <c r="J111" s="10">
        <v>43183</v>
      </c>
      <c r="K111" s="5">
        <f t="shared" si="5"/>
        <v>87</v>
      </c>
      <c r="L111" s="47">
        <v>0</v>
      </c>
      <c r="M111" s="47">
        <v>50</v>
      </c>
      <c r="N111">
        <v>1</v>
      </c>
      <c r="Q111" t="s">
        <v>663</v>
      </c>
      <c r="R111" s="5">
        <v>7</v>
      </c>
      <c r="S111" s="5">
        <v>3</v>
      </c>
      <c r="T111" s="7" t="s">
        <v>664</v>
      </c>
      <c r="U111" s="11">
        <v>2.214</v>
      </c>
      <c r="V111" s="9" t="s">
        <v>665</v>
      </c>
      <c r="W111" s="10">
        <v>43571</v>
      </c>
      <c r="X111" s="10">
        <v>43584</v>
      </c>
      <c r="Y111" s="8">
        <f>X111-W111</f>
        <v>13</v>
      </c>
      <c r="Z111">
        <v>0</v>
      </c>
      <c r="AA111">
        <v>84</v>
      </c>
    </row>
    <row r="112" spans="1:32" x14ac:dyDescent="0.25">
      <c r="A112">
        <v>316</v>
      </c>
      <c r="B112" s="4" t="s">
        <v>364</v>
      </c>
      <c r="C112" s="5">
        <v>16</v>
      </c>
      <c r="D112" s="5">
        <v>152</v>
      </c>
      <c r="E112" t="s">
        <v>410</v>
      </c>
      <c r="F112">
        <v>5.3890000000000002</v>
      </c>
      <c r="G112" s="6">
        <v>44700</v>
      </c>
      <c r="H112" t="s">
        <v>821</v>
      </c>
      <c r="I112" s="10">
        <v>42825</v>
      </c>
      <c r="J112" s="10">
        <v>43402</v>
      </c>
      <c r="K112" s="5">
        <f t="shared" si="5"/>
        <v>577</v>
      </c>
      <c r="L112" s="47">
        <v>1</v>
      </c>
      <c r="M112" s="47">
        <v>200</v>
      </c>
      <c r="N112">
        <v>0.5</v>
      </c>
      <c r="Q112" t="s">
        <v>365</v>
      </c>
      <c r="R112" s="5">
        <v>13</v>
      </c>
      <c r="S112" s="5">
        <v>45</v>
      </c>
      <c r="T112" s="7" t="s">
        <v>366</v>
      </c>
      <c r="U112" s="11">
        <v>2.359</v>
      </c>
      <c r="V112" s="9" t="s">
        <v>367</v>
      </c>
      <c r="W112" s="5" t="s">
        <v>5</v>
      </c>
      <c r="X112" s="5" t="s">
        <v>5</v>
      </c>
      <c r="Y112" s="8" t="s">
        <v>5</v>
      </c>
      <c r="Z112">
        <v>1</v>
      </c>
      <c r="AA112">
        <v>60</v>
      </c>
    </row>
    <row r="113" spans="1:32" s="14" customFormat="1" x14ac:dyDescent="0.25">
      <c r="A113">
        <v>319</v>
      </c>
      <c r="B113" s="4" t="s">
        <v>368</v>
      </c>
      <c r="C113" s="5">
        <v>31</v>
      </c>
      <c r="D113" s="5">
        <v>184</v>
      </c>
      <c r="E113" t="s">
        <v>410</v>
      </c>
      <c r="F113">
        <v>5.3890000000000002</v>
      </c>
      <c r="G113" s="6">
        <v>44700</v>
      </c>
      <c r="H113" t="s">
        <v>822</v>
      </c>
      <c r="I113" s="10">
        <v>42422</v>
      </c>
      <c r="J113" s="10">
        <v>42825</v>
      </c>
      <c r="K113" s="5">
        <f t="shared" si="5"/>
        <v>403</v>
      </c>
      <c r="L113" s="47">
        <v>0</v>
      </c>
      <c r="M113" s="47">
        <v>333</v>
      </c>
      <c r="N113">
        <v>0.133333333333333</v>
      </c>
      <c r="O113"/>
      <c r="P113"/>
      <c r="Q113" t="s">
        <v>369</v>
      </c>
      <c r="R113" s="5">
        <v>72</v>
      </c>
      <c r="S113" s="5">
        <v>0</v>
      </c>
      <c r="T113" s="7" t="s">
        <v>370</v>
      </c>
      <c r="U113" s="11" t="s">
        <v>5</v>
      </c>
      <c r="V113" s="9" t="s">
        <v>371</v>
      </c>
      <c r="W113" s="10">
        <v>42739</v>
      </c>
      <c r="X113" s="10">
        <v>42923</v>
      </c>
      <c r="Y113" s="8">
        <f>X113-W113</f>
        <v>184</v>
      </c>
      <c r="Z113">
        <v>0</v>
      </c>
      <c r="AA113">
        <v>76</v>
      </c>
      <c r="AB113"/>
      <c r="AC113"/>
      <c r="AD113"/>
      <c r="AE113"/>
      <c r="AF113"/>
    </row>
    <row r="114" spans="1:32" x14ac:dyDescent="0.25">
      <c r="A114">
        <v>321</v>
      </c>
      <c r="B114" s="4" t="s">
        <v>372</v>
      </c>
      <c r="C114" s="5">
        <v>9</v>
      </c>
      <c r="D114" s="5">
        <v>9</v>
      </c>
      <c r="E114" t="s">
        <v>182</v>
      </c>
      <c r="F114">
        <v>3.91</v>
      </c>
      <c r="G114" s="6">
        <v>44700</v>
      </c>
      <c r="H114" t="s">
        <v>823</v>
      </c>
      <c r="I114" s="10">
        <v>43693</v>
      </c>
      <c r="J114" s="10">
        <v>43766</v>
      </c>
      <c r="K114" s="5">
        <f t="shared" si="5"/>
        <v>73</v>
      </c>
      <c r="L114" s="47">
        <v>1</v>
      </c>
      <c r="M114" s="47">
        <v>1088</v>
      </c>
      <c r="N114">
        <v>0</v>
      </c>
      <c r="Q114" t="s">
        <v>373</v>
      </c>
      <c r="R114" s="5">
        <v>10</v>
      </c>
      <c r="S114" s="5">
        <v>4</v>
      </c>
      <c r="T114" s="7" t="s">
        <v>374</v>
      </c>
      <c r="U114" s="8">
        <v>2.7669999999999999</v>
      </c>
      <c r="V114" s="9" t="s">
        <v>375</v>
      </c>
      <c r="W114" s="10">
        <v>43564</v>
      </c>
      <c r="X114" s="10">
        <v>43687</v>
      </c>
      <c r="Y114" s="8">
        <f>X114-W114</f>
        <v>123</v>
      </c>
      <c r="Z114">
        <v>1</v>
      </c>
      <c r="AA114">
        <v>209</v>
      </c>
    </row>
    <row r="115" spans="1:32" x14ac:dyDescent="0.25">
      <c r="A115">
        <v>322</v>
      </c>
      <c r="B115" s="4" t="s">
        <v>376</v>
      </c>
      <c r="C115" s="5">
        <v>84</v>
      </c>
      <c r="D115" s="5">
        <v>1116</v>
      </c>
      <c r="E115" t="s">
        <v>233</v>
      </c>
      <c r="F115">
        <v>3.254</v>
      </c>
      <c r="G115" s="6">
        <v>44700</v>
      </c>
      <c r="H115" t="s">
        <v>824</v>
      </c>
      <c r="I115" s="10">
        <v>42808</v>
      </c>
      <c r="J115" s="10">
        <v>43023</v>
      </c>
      <c r="K115" s="5">
        <f t="shared" si="5"/>
        <v>215</v>
      </c>
      <c r="L115" s="47">
        <v>0</v>
      </c>
      <c r="M115" s="47">
        <v>123</v>
      </c>
      <c r="N115">
        <v>1</v>
      </c>
      <c r="Q115" t="s">
        <v>377</v>
      </c>
      <c r="R115" s="5">
        <v>19</v>
      </c>
      <c r="S115" s="5">
        <v>86</v>
      </c>
      <c r="T115" s="7" t="s">
        <v>378</v>
      </c>
      <c r="U115" s="8">
        <v>4.3849999999999998</v>
      </c>
      <c r="V115" s="9" t="s">
        <v>379</v>
      </c>
      <c r="W115" s="5" t="s">
        <v>5</v>
      </c>
      <c r="X115" s="5" t="s">
        <v>5</v>
      </c>
      <c r="Y115" s="8" t="s">
        <v>5</v>
      </c>
      <c r="Z115">
        <v>1</v>
      </c>
      <c r="AA115">
        <v>174</v>
      </c>
    </row>
    <row r="116" spans="1:32" x14ac:dyDescent="0.25">
      <c r="A116">
        <v>323</v>
      </c>
      <c r="B116" s="4" t="s">
        <v>380</v>
      </c>
      <c r="C116" s="5">
        <v>3</v>
      </c>
      <c r="D116" s="5">
        <v>0</v>
      </c>
      <c r="E116" t="s">
        <v>733</v>
      </c>
      <c r="F116">
        <v>5.415</v>
      </c>
      <c r="G116" s="6">
        <v>44700</v>
      </c>
      <c r="H116" t="s">
        <v>825</v>
      </c>
      <c r="I116" s="10">
        <v>43149</v>
      </c>
      <c r="J116" s="10">
        <v>43574</v>
      </c>
      <c r="K116" s="5">
        <f t="shared" si="5"/>
        <v>425</v>
      </c>
      <c r="L116" s="47">
        <v>0</v>
      </c>
      <c r="M116" s="47">
        <v>222</v>
      </c>
      <c r="N116">
        <v>0</v>
      </c>
      <c r="Q116" t="s">
        <v>381</v>
      </c>
      <c r="R116" s="5">
        <v>8</v>
      </c>
      <c r="S116" s="5">
        <v>5</v>
      </c>
      <c r="T116" s="7" t="s">
        <v>382</v>
      </c>
      <c r="U116" s="11">
        <v>3.2429999999999999</v>
      </c>
      <c r="V116" s="9" t="s">
        <v>383</v>
      </c>
      <c r="W116" s="10">
        <v>43395</v>
      </c>
      <c r="X116" s="10">
        <v>43649</v>
      </c>
      <c r="Y116" s="8">
        <f t="shared" ref="Y116:Y121" si="8">X116-W116</f>
        <v>254</v>
      </c>
      <c r="Z116">
        <v>0</v>
      </c>
      <c r="AA116">
        <v>111</v>
      </c>
    </row>
    <row r="117" spans="1:32" x14ac:dyDescent="0.25">
      <c r="A117">
        <v>324</v>
      </c>
      <c r="B117" s="4" t="s">
        <v>384</v>
      </c>
      <c r="C117" s="5">
        <v>12</v>
      </c>
      <c r="D117" s="5">
        <v>2</v>
      </c>
      <c r="E117" t="s">
        <v>378</v>
      </c>
      <c r="F117">
        <v>4.3849999999999998</v>
      </c>
      <c r="G117" s="6">
        <v>44700</v>
      </c>
      <c r="H117" t="s">
        <v>826</v>
      </c>
      <c r="I117" s="10" t="s">
        <v>5</v>
      </c>
      <c r="J117" s="10" t="s">
        <v>5</v>
      </c>
      <c r="K117" s="5" t="s">
        <v>5</v>
      </c>
      <c r="L117" s="47">
        <v>0</v>
      </c>
      <c r="M117" s="47">
        <v>33</v>
      </c>
      <c r="N117">
        <v>1</v>
      </c>
      <c r="Q117" t="s">
        <v>385</v>
      </c>
      <c r="R117" s="5">
        <v>4</v>
      </c>
      <c r="S117" s="5">
        <v>0</v>
      </c>
      <c r="T117" s="7" t="s">
        <v>62</v>
      </c>
      <c r="U117" s="8">
        <v>3.169</v>
      </c>
      <c r="V117" s="9" t="s">
        <v>386</v>
      </c>
      <c r="W117" s="10">
        <v>42591</v>
      </c>
      <c r="X117" s="10">
        <v>43263</v>
      </c>
      <c r="Y117" s="8">
        <f t="shared" si="8"/>
        <v>672</v>
      </c>
      <c r="Z117">
        <v>0</v>
      </c>
      <c r="AA117">
        <v>86</v>
      </c>
    </row>
    <row r="118" spans="1:32" x14ac:dyDescent="0.25">
      <c r="A118">
        <v>325</v>
      </c>
      <c r="B118" s="4" t="s">
        <v>387</v>
      </c>
      <c r="C118" s="5">
        <v>6</v>
      </c>
      <c r="D118" s="5">
        <v>48</v>
      </c>
      <c r="E118" t="s">
        <v>233</v>
      </c>
      <c r="F118">
        <v>3.254</v>
      </c>
      <c r="G118" s="6">
        <v>44700</v>
      </c>
      <c r="H118" t="s">
        <v>827</v>
      </c>
      <c r="I118" s="10">
        <v>42575</v>
      </c>
      <c r="J118" s="10">
        <v>43324</v>
      </c>
      <c r="K118" s="5">
        <f t="shared" si="5"/>
        <v>749</v>
      </c>
      <c r="L118" s="47">
        <v>1</v>
      </c>
      <c r="M118" s="47">
        <v>225</v>
      </c>
      <c r="N118">
        <v>0.25</v>
      </c>
      <c r="O118" s="4"/>
      <c r="P118" s="4"/>
      <c r="Q118" t="s">
        <v>388</v>
      </c>
      <c r="R118" s="5">
        <v>16</v>
      </c>
      <c r="S118" s="5">
        <v>64</v>
      </c>
      <c r="T118" s="7" t="s">
        <v>212</v>
      </c>
      <c r="U118" s="8">
        <v>1.7609999999999999</v>
      </c>
      <c r="V118" s="9" t="s">
        <v>389</v>
      </c>
      <c r="W118" s="10">
        <v>43217</v>
      </c>
      <c r="X118" s="10">
        <v>43367</v>
      </c>
      <c r="Y118" s="8">
        <f t="shared" si="8"/>
        <v>150</v>
      </c>
      <c r="Z118">
        <v>0</v>
      </c>
      <c r="AA118" s="4">
        <v>1507</v>
      </c>
      <c r="AB118" s="4"/>
      <c r="AC118" s="4"/>
      <c r="AD118" s="4"/>
    </row>
    <row r="119" spans="1:32" s="14" customFormat="1" x14ac:dyDescent="0.25">
      <c r="A119">
        <v>326</v>
      </c>
      <c r="B119" s="4" t="s">
        <v>390</v>
      </c>
      <c r="C119" s="5">
        <v>5</v>
      </c>
      <c r="D119" s="5">
        <v>8</v>
      </c>
      <c r="E119" t="s">
        <v>392</v>
      </c>
      <c r="F119">
        <v>1.7150000000000001</v>
      </c>
      <c r="G119" s="6">
        <v>44700</v>
      </c>
      <c r="H119" t="s">
        <v>828</v>
      </c>
      <c r="I119" s="10">
        <v>42550</v>
      </c>
      <c r="J119" s="10">
        <v>43045</v>
      </c>
      <c r="K119" s="5">
        <f t="shared" si="5"/>
        <v>495</v>
      </c>
      <c r="L119" s="47">
        <v>1</v>
      </c>
      <c r="M119" s="47">
        <v>351</v>
      </c>
      <c r="N119">
        <v>0</v>
      </c>
      <c r="O119"/>
      <c r="P119"/>
      <c r="Q119" t="s">
        <v>391</v>
      </c>
      <c r="R119" s="5">
        <v>6</v>
      </c>
      <c r="S119" s="5">
        <v>63</v>
      </c>
      <c r="T119" s="7" t="s">
        <v>392</v>
      </c>
      <c r="U119" s="8">
        <v>1.7150000000000001</v>
      </c>
      <c r="V119" s="9" t="s">
        <v>393</v>
      </c>
      <c r="W119" s="10">
        <v>42459</v>
      </c>
      <c r="X119" s="10">
        <v>42966</v>
      </c>
      <c r="Y119" s="8">
        <f t="shared" si="8"/>
        <v>507</v>
      </c>
      <c r="Z119">
        <v>0</v>
      </c>
      <c r="AA119">
        <v>67</v>
      </c>
      <c r="AB119"/>
      <c r="AC119"/>
      <c r="AD119"/>
      <c r="AE119"/>
      <c r="AF119"/>
    </row>
    <row r="120" spans="1:32" x14ac:dyDescent="0.25">
      <c r="A120">
        <v>327</v>
      </c>
      <c r="B120" s="4" t="s">
        <v>394</v>
      </c>
      <c r="C120" s="5">
        <v>7</v>
      </c>
      <c r="D120" s="5">
        <v>23</v>
      </c>
      <c r="E120" t="s">
        <v>410</v>
      </c>
      <c r="F120">
        <v>5.3890000000000002</v>
      </c>
      <c r="G120" s="6">
        <v>44700</v>
      </c>
      <c r="H120" t="s">
        <v>829</v>
      </c>
      <c r="I120" s="10">
        <v>43405</v>
      </c>
      <c r="J120" s="10">
        <v>43558</v>
      </c>
      <c r="K120" s="5">
        <f t="shared" si="5"/>
        <v>153</v>
      </c>
      <c r="L120" s="47">
        <v>1</v>
      </c>
      <c r="M120" s="47">
        <v>168</v>
      </c>
      <c r="N120">
        <v>0.33333333333333298</v>
      </c>
      <c r="Q120" t="s">
        <v>395</v>
      </c>
      <c r="R120" s="5">
        <v>12</v>
      </c>
      <c r="S120" s="5">
        <v>5</v>
      </c>
      <c r="T120" s="7" t="s">
        <v>216</v>
      </c>
      <c r="U120" s="8">
        <v>6.335</v>
      </c>
      <c r="V120" s="9" t="s">
        <v>396</v>
      </c>
      <c r="W120" s="10">
        <v>42823</v>
      </c>
      <c r="X120" s="10">
        <v>43363</v>
      </c>
      <c r="Y120" s="8">
        <f t="shared" si="8"/>
        <v>540</v>
      </c>
      <c r="Z120">
        <v>1</v>
      </c>
      <c r="AA120">
        <v>199</v>
      </c>
    </row>
    <row r="121" spans="1:32" s="14" customFormat="1" x14ac:dyDescent="0.25">
      <c r="A121">
        <v>328</v>
      </c>
      <c r="B121" s="4" t="s">
        <v>397</v>
      </c>
      <c r="C121" s="5">
        <v>21</v>
      </c>
      <c r="D121" s="5">
        <v>125</v>
      </c>
      <c r="E121" t="s">
        <v>410</v>
      </c>
      <c r="F121">
        <v>5.3890000000000002</v>
      </c>
      <c r="G121" s="6">
        <v>44700</v>
      </c>
      <c r="H121" t="s">
        <v>830</v>
      </c>
      <c r="I121" s="10">
        <v>42635</v>
      </c>
      <c r="J121" s="10">
        <v>42913</v>
      </c>
      <c r="K121" s="5">
        <f t="shared" si="5"/>
        <v>278</v>
      </c>
      <c r="L121" s="47">
        <v>1</v>
      </c>
      <c r="M121" s="47">
        <v>50</v>
      </c>
      <c r="N121">
        <v>1</v>
      </c>
      <c r="O121"/>
      <c r="P121"/>
      <c r="Q121" t="s">
        <v>398</v>
      </c>
      <c r="R121" s="5">
        <v>2</v>
      </c>
      <c r="S121" s="5">
        <v>1</v>
      </c>
      <c r="T121" s="7" t="s">
        <v>399</v>
      </c>
      <c r="U121" s="11">
        <v>2.58</v>
      </c>
      <c r="V121" s="9" t="s">
        <v>400</v>
      </c>
      <c r="W121" s="10">
        <v>42758</v>
      </c>
      <c r="X121" s="10">
        <v>42881</v>
      </c>
      <c r="Y121" s="8">
        <f t="shared" si="8"/>
        <v>123</v>
      </c>
      <c r="Z121">
        <v>0</v>
      </c>
      <c r="AA121">
        <v>30</v>
      </c>
      <c r="AB121"/>
      <c r="AC121"/>
      <c r="AD121"/>
      <c r="AE121"/>
      <c r="AF121"/>
    </row>
    <row r="122" spans="1:32" x14ac:dyDescent="0.25">
      <c r="A122">
        <v>329</v>
      </c>
      <c r="B122" s="4" t="s">
        <v>401</v>
      </c>
      <c r="C122" s="5">
        <v>24</v>
      </c>
      <c r="D122" s="5">
        <v>118</v>
      </c>
      <c r="E122" t="s">
        <v>410</v>
      </c>
      <c r="F122">
        <v>5.3890000000000002</v>
      </c>
      <c r="G122" t="s">
        <v>640</v>
      </c>
      <c r="H122" t="s">
        <v>831</v>
      </c>
      <c r="I122" s="10">
        <v>42212</v>
      </c>
      <c r="J122" s="10">
        <v>42709</v>
      </c>
      <c r="K122" s="5">
        <f t="shared" si="5"/>
        <v>497</v>
      </c>
      <c r="L122" s="47">
        <v>0</v>
      </c>
      <c r="M122" s="47">
        <v>177</v>
      </c>
      <c r="N122">
        <v>0.5</v>
      </c>
      <c r="Q122" t="s">
        <v>660</v>
      </c>
      <c r="R122" s="5">
        <v>5</v>
      </c>
      <c r="S122" s="5">
        <v>6</v>
      </c>
      <c r="T122" s="7" t="s">
        <v>661</v>
      </c>
      <c r="U122" s="11">
        <v>2.7360000000000002</v>
      </c>
      <c r="V122" s="9" t="s">
        <v>662</v>
      </c>
      <c r="W122" s="10">
        <v>42649</v>
      </c>
      <c r="X122" s="5" t="s">
        <v>5</v>
      </c>
      <c r="Y122" s="8" t="s">
        <v>5</v>
      </c>
      <c r="Z122">
        <v>1</v>
      </c>
      <c r="AA122">
        <v>192</v>
      </c>
    </row>
    <row r="123" spans="1:32" x14ac:dyDescent="0.25">
      <c r="A123">
        <v>330</v>
      </c>
      <c r="B123" s="4" t="s">
        <v>402</v>
      </c>
      <c r="C123" s="5">
        <v>2</v>
      </c>
      <c r="D123" s="5">
        <v>31</v>
      </c>
      <c r="E123" t="s">
        <v>410</v>
      </c>
      <c r="F123">
        <v>5.3890000000000002</v>
      </c>
      <c r="G123" s="6">
        <v>44700</v>
      </c>
      <c r="H123" t="s">
        <v>832</v>
      </c>
      <c r="I123" s="10">
        <v>43007</v>
      </c>
      <c r="J123" s="10">
        <v>43258</v>
      </c>
      <c r="K123" s="5">
        <f t="shared" si="5"/>
        <v>251</v>
      </c>
      <c r="L123" s="47">
        <v>1</v>
      </c>
      <c r="M123" s="47">
        <v>50</v>
      </c>
      <c r="N123">
        <v>1</v>
      </c>
      <c r="Q123" t="s">
        <v>403</v>
      </c>
      <c r="R123" s="5">
        <v>7</v>
      </c>
      <c r="S123" s="5">
        <v>0</v>
      </c>
      <c r="T123" s="7" t="s">
        <v>3</v>
      </c>
      <c r="U123" s="8">
        <v>3.0630000000000002</v>
      </c>
      <c r="V123" s="9" t="s">
        <v>404</v>
      </c>
      <c r="W123" s="10">
        <v>42886</v>
      </c>
      <c r="X123" s="10">
        <v>43231</v>
      </c>
      <c r="Y123" s="8">
        <f>X123-W123</f>
        <v>345</v>
      </c>
      <c r="Z123">
        <v>0</v>
      </c>
      <c r="AA123">
        <v>184</v>
      </c>
    </row>
    <row r="124" spans="1:32" x14ac:dyDescent="0.25">
      <c r="A124">
        <v>340</v>
      </c>
      <c r="B124" s="4" t="s">
        <v>405</v>
      </c>
      <c r="C124" s="5">
        <v>58</v>
      </c>
      <c r="D124" s="5">
        <v>41</v>
      </c>
      <c r="E124" t="s">
        <v>410</v>
      </c>
      <c r="F124">
        <v>5.3890000000000002</v>
      </c>
      <c r="G124" s="6">
        <v>44700</v>
      </c>
      <c r="H124" t="s">
        <v>833</v>
      </c>
      <c r="I124" s="10">
        <v>42660</v>
      </c>
      <c r="J124" s="10">
        <v>43038</v>
      </c>
      <c r="K124" s="5">
        <f t="shared" si="5"/>
        <v>378</v>
      </c>
      <c r="L124" s="47">
        <v>1</v>
      </c>
      <c r="M124" s="47">
        <v>50</v>
      </c>
      <c r="N124">
        <v>0</v>
      </c>
      <c r="Q124" t="s">
        <v>406</v>
      </c>
      <c r="R124" s="5">
        <v>10</v>
      </c>
      <c r="S124" s="5">
        <v>12</v>
      </c>
      <c r="T124" s="7" t="s">
        <v>360</v>
      </c>
      <c r="U124" s="8">
        <v>3.294</v>
      </c>
      <c r="V124" s="9" t="s">
        <v>407</v>
      </c>
      <c r="W124" s="10">
        <v>42527</v>
      </c>
      <c r="X124" s="10">
        <v>43158</v>
      </c>
      <c r="Y124" s="8">
        <f>X124-W124</f>
        <v>631</v>
      </c>
      <c r="Z124">
        <v>0</v>
      </c>
      <c r="AA124">
        <v>17</v>
      </c>
    </row>
    <row r="125" spans="1:32" x14ac:dyDescent="0.25">
      <c r="A125">
        <v>341</v>
      </c>
      <c r="B125" s="4" t="s">
        <v>408</v>
      </c>
      <c r="C125" s="5">
        <v>11</v>
      </c>
      <c r="D125" s="5">
        <v>10</v>
      </c>
      <c r="E125" t="s">
        <v>374</v>
      </c>
      <c r="F125">
        <v>2.7669999999999999</v>
      </c>
      <c r="G125" s="6">
        <v>44700</v>
      </c>
      <c r="H125" t="s">
        <v>834</v>
      </c>
      <c r="I125" s="10">
        <v>43231</v>
      </c>
      <c r="J125" s="10">
        <v>43423</v>
      </c>
      <c r="K125" s="5">
        <f t="shared" si="5"/>
        <v>192</v>
      </c>
      <c r="L125" s="47">
        <v>1</v>
      </c>
      <c r="M125" s="47">
        <v>276</v>
      </c>
      <c r="N125">
        <v>0.5</v>
      </c>
      <c r="Q125" t="s">
        <v>409</v>
      </c>
      <c r="R125" s="5">
        <v>29</v>
      </c>
      <c r="S125" s="5">
        <v>202</v>
      </c>
      <c r="T125" s="19" t="s">
        <v>410</v>
      </c>
      <c r="U125" s="8">
        <v>5.3890000000000002</v>
      </c>
      <c r="V125" s="9" t="s">
        <v>411</v>
      </c>
      <c r="W125" s="10">
        <v>43018</v>
      </c>
      <c r="X125" s="10">
        <v>43518</v>
      </c>
      <c r="Y125" s="8">
        <f>X125-W125</f>
        <v>500</v>
      </c>
      <c r="Z125">
        <v>0</v>
      </c>
      <c r="AA125">
        <v>30793</v>
      </c>
    </row>
    <row r="126" spans="1:32" x14ac:dyDescent="0.25">
      <c r="A126">
        <v>345</v>
      </c>
      <c r="B126" s="4" t="s">
        <v>412</v>
      </c>
      <c r="C126" s="5">
        <v>1</v>
      </c>
      <c r="D126" s="5">
        <v>35</v>
      </c>
      <c r="E126" t="s">
        <v>8</v>
      </c>
      <c r="F126">
        <v>2.415</v>
      </c>
      <c r="G126" s="6">
        <v>44700</v>
      </c>
      <c r="H126" t="s">
        <v>835</v>
      </c>
      <c r="I126" s="10">
        <v>42929</v>
      </c>
      <c r="J126" s="10">
        <v>43123</v>
      </c>
      <c r="K126" s="5">
        <f t="shared" si="5"/>
        <v>194</v>
      </c>
      <c r="L126" s="47">
        <v>0</v>
      </c>
      <c r="M126" s="47">
        <v>492</v>
      </c>
      <c r="N126">
        <v>0.66666666666666696</v>
      </c>
      <c r="Q126" t="s">
        <v>413</v>
      </c>
      <c r="R126" s="5">
        <v>9</v>
      </c>
      <c r="S126" s="5">
        <v>10</v>
      </c>
      <c r="T126" s="7" t="s">
        <v>351</v>
      </c>
      <c r="U126" s="11">
        <v>1.88</v>
      </c>
      <c r="V126" s="9" t="s">
        <v>414</v>
      </c>
      <c r="W126" s="10">
        <v>43144</v>
      </c>
      <c r="X126" s="10">
        <v>43269</v>
      </c>
      <c r="Y126" s="8">
        <f>X126-W126</f>
        <v>125</v>
      </c>
      <c r="Z126">
        <v>0</v>
      </c>
      <c r="AA126">
        <v>242</v>
      </c>
    </row>
    <row r="127" spans="1:32" x14ac:dyDescent="0.25">
      <c r="A127">
        <v>347</v>
      </c>
      <c r="B127" s="4" t="s">
        <v>415</v>
      </c>
      <c r="C127" s="5">
        <v>6</v>
      </c>
      <c r="D127" s="5">
        <v>28</v>
      </c>
      <c r="E127" t="s">
        <v>410</v>
      </c>
      <c r="F127">
        <v>5.3890000000000002</v>
      </c>
      <c r="G127" s="6">
        <v>44700</v>
      </c>
      <c r="H127" t="s">
        <v>836</v>
      </c>
      <c r="I127" s="10">
        <v>43084</v>
      </c>
      <c r="J127" s="10">
        <v>43354</v>
      </c>
      <c r="K127" s="5">
        <f t="shared" si="5"/>
        <v>270</v>
      </c>
      <c r="L127" s="47">
        <v>1</v>
      </c>
      <c r="M127" s="47">
        <v>404</v>
      </c>
      <c r="N127">
        <v>1</v>
      </c>
      <c r="Q127" t="s">
        <v>416</v>
      </c>
      <c r="R127" s="5">
        <v>21</v>
      </c>
      <c r="S127" s="5">
        <v>341</v>
      </c>
      <c r="T127" s="7" t="s">
        <v>378</v>
      </c>
      <c r="U127" s="8">
        <v>4.3849999999999998</v>
      </c>
      <c r="V127" s="9" t="s">
        <v>417</v>
      </c>
      <c r="W127" s="5" t="s">
        <v>5</v>
      </c>
      <c r="X127" s="5" t="s">
        <v>5</v>
      </c>
      <c r="Y127" s="8" t="s">
        <v>5</v>
      </c>
      <c r="Z127">
        <v>1</v>
      </c>
      <c r="AA127">
        <v>165</v>
      </c>
    </row>
    <row r="128" spans="1:32" x14ac:dyDescent="0.25">
      <c r="A128">
        <v>350</v>
      </c>
      <c r="B128" s="4" t="s">
        <v>418</v>
      </c>
      <c r="C128" s="5">
        <v>11</v>
      </c>
      <c r="D128" s="5">
        <v>37</v>
      </c>
      <c r="E128" t="s">
        <v>410</v>
      </c>
      <c r="F128">
        <v>5.3890000000000002</v>
      </c>
      <c r="G128" s="6">
        <v>44700</v>
      </c>
      <c r="H128" t="s">
        <v>837</v>
      </c>
      <c r="I128" s="10">
        <v>43246</v>
      </c>
      <c r="J128" s="10">
        <v>43398</v>
      </c>
      <c r="K128" s="5">
        <f t="shared" si="5"/>
        <v>152</v>
      </c>
      <c r="L128" s="47">
        <v>0</v>
      </c>
      <c r="M128" s="47">
        <v>97</v>
      </c>
      <c r="N128">
        <v>1</v>
      </c>
      <c r="Q128" t="s">
        <v>419</v>
      </c>
      <c r="R128" s="5">
        <v>24</v>
      </c>
      <c r="S128" s="5">
        <v>20</v>
      </c>
      <c r="T128" s="7" t="s">
        <v>302</v>
      </c>
      <c r="U128" s="11">
        <v>7.08</v>
      </c>
      <c r="V128" s="9" t="s">
        <v>420</v>
      </c>
      <c r="W128" s="10">
        <v>43486</v>
      </c>
      <c r="X128" s="10">
        <v>43664</v>
      </c>
      <c r="Y128" s="8">
        <f>X128-W128</f>
        <v>178</v>
      </c>
      <c r="Z128">
        <v>0</v>
      </c>
      <c r="AA128">
        <v>20</v>
      </c>
    </row>
    <row r="129" spans="1:32" x14ac:dyDescent="0.25">
      <c r="A129">
        <v>355</v>
      </c>
      <c r="B129" s="4" t="s">
        <v>421</v>
      </c>
      <c r="C129" s="5">
        <v>6</v>
      </c>
      <c r="D129" s="5">
        <v>17</v>
      </c>
      <c r="E129" t="s">
        <v>360</v>
      </c>
      <c r="F129">
        <v>3.294</v>
      </c>
      <c r="G129" s="6">
        <v>44700</v>
      </c>
      <c r="H129" t="s">
        <v>838</v>
      </c>
      <c r="I129" s="10">
        <v>43185</v>
      </c>
      <c r="J129" s="10">
        <v>43409</v>
      </c>
      <c r="K129" s="5">
        <f t="shared" si="5"/>
        <v>224</v>
      </c>
      <c r="L129" s="47">
        <v>1</v>
      </c>
      <c r="M129" s="47">
        <v>80</v>
      </c>
      <c r="N129">
        <v>1</v>
      </c>
      <c r="Q129" t="s">
        <v>422</v>
      </c>
      <c r="R129" s="5">
        <v>9</v>
      </c>
      <c r="S129" s="5">
        <v>5</v>
      </c>
      <c r="T129" s="7" t="s">
        <v>423</v>
      </c>
      <c r="U129" s="11">
        <v>2.6309999999999998</v>
      </c>
      <c r="V129" s="9" t="s">
        <v>424</v>
      </c>
      <c r="W129" s="10">
        <v>43558</v>
      </c>
      <c r="X129" s="10">
        <v>43745</v>
      </c>
      <c r="Y129" s="8">
        <f>X129-W129</f>
        <v>187</v>
      </c>
      <c r="Z129">
        <v>0</v>
      </c>
      <c r="AA129">
        <v>47</v>
      </c>
    </row>
    <row r="130" spans="1:32" x14ac:dyDescent="0.25">
      <c r="A130">
        <v>357</v>
      </c>
      <c r="B130" s="4" t="s">
        <v>425</v>
      </c>
      <c r="C130" s="5">
        <v>6</v>
      </c>
      <c r="D130" s="5">
        <v>174</v>
      </c>
      <c r="E130" t="s">
        <v>410</v>
      </c>
      <c r="F130">
        <v>5.3890000000000002</v>
      </c>
      <c r="G130" s="6">
        <v>44700</v>
      </c>
      <c r="H130" t="s">
        <v>839</v>
      </c>
      <c r="I130" s="10">
        <v>42722</v>
      </c>
      <c r="J130" s="10">
        <v>42828</v>
      </c>
      <c r="K130" s="5">
        <f t="shared" si="5"/>
        <v>106</v>
      </c>
      <c r="L130" s="47">
        <v>0</v>
      </c>
      <c r="M130" s="47">
        <v>277</v>
      </c>
      <c r="N130">
        <v>0.5</v>
      </c>
      <c r="Q130" t="s">
        <v>426</v>
      </c>
      <c r="R130" s="5">
        <v>2</v>
      </c>
      <c r="S130" s="5">
        <v>6</v>
      </c>
      <c r="T130" s="7" t="s">
        <v>427</v>
      </c>
      <c r="U130" s="11">
        <v>3.105</v>
      </c>
      <c r="V130" s="9" t="s">
        <v>428</v>
      </c>
      <c r="W130" s="10">
        <v>42390</v>
      </c>
      <c r="X130" s="5" t="s">
        <v>5</v>
      </c>
      <c r="Y130" s="8" t="s">
        <v>5</v>
      </c>
      <c r="Z130">
        <v>0</v>
      </c>
      <c r="AA130">
        <v>28</v>
      </c>
    </row>
    <row r="131" spans="1:32" s="14" customFormat="1" x14ac:dyDescent="0.25">
      <c r="A131">
        <v>361</v>
      </c>
      <c r="B131" s="4" t="s">
        <v>429</v>
      </c>
      <c r="C131" s="5">
        <v>6</v>
      </c>
      <c r="D131" s="5">
        <v>19</v>
      </c>
      <c r="E131" t="s">
        <v>284</v>
      </c>
      <c r="F131">
        <v>1.38</v>
      </c>
      <c r="G131" s="6">
        <v>44700</v>
      </c>
      <c r="H131" t="s">
        <v>840</v>
      </c>
      <c r="I131" s="10">
        <v>42622</v>
      </c>
      <c r="J131" s="10">
        <v>42873</v>
      </c>
      <c r="K131" s="5">
        <f t="shared" si="5"/>
        <v>251</v>
      </c>
      <c r="L131" s="47">
        <v>0</v>
      </c>
      <c r="M131" s="47">
        <v>82</v>
      </c>
      <c r="N131">
        <v>0.5</v>
      </c>
      <c r="O131"/>
      <c r="P131"/>
      <c r="Q131" t="s">
        <v>430</v>
      </c>
      <c r="R131" s="5">
        <v>42</v>
      </c>
      <c r="S131" s="5">
        <v>15</v>
      </c>
      <c r="T131" s="7" t="s">
        <v>360</v>
      </c>
      <c r="U131" s="8">
        <v>3.294</v>
      </c>
      <c r="V131" s="9" t="s">
        <v>431</v>
      </c>
      <c r="W131" s="10">
        <v>42592</v>
      </c>
      <c r="X131" s="10">
        <v>42734</v>
      </c>
      <c r="Y131" s="8">
        <f>X131-W131</f>
        <v>142</v>
      </c>
      <c r="Z131">
        <v>0</v>
      </c>
      <c r="AA131">
        <v>99</v>
      </c>
      <c r="AB131"/>
      <c r="AC131"/>
      <c r="AD131"/>
      <c r="AE131"/>
      <c r="AF131"/>
    </row>
    <row r="132" spans="1:32" x14ac:dyDescent="0.25">
      <c r="A132">
        <v>363</v>
      </c>
      <c r="B132" s="4" t="s">
        <v>432</v>
      </c>
      <c r="C132" s="5">
        <v>12</v>
      </c>
      <c r="D132" s="5">
        <v>18</v>
      </c>
      <c r="E132" t="s">
        <v>284</v>
      </c>
      <c r="F132">
        <v>1.38</v>
      </c>
      <c r="G132" s="6">
        <v>44700</v>
      </c>
      <c r="H132" t="s">
        <v>841</v>
      </c>
      <c r="I132" s="10">
        <v>42654</v>
      </c>
      <c r="J132" s="10">
        <v>42961</v>
      </c>
      <c r="K132" s="5">
        <f t="shared" si="5"/>
        <v>307</v>
      </c>
      <c r="L132" s="47">
        <v>0</v>
      </c>
      <c r="M132" s="47">
        <v>100</v>
      </c>
      <c r="N132">
        <v>1</v>
      </c>
      <c r="Q132" t="s">
        <v>433</v>
      </c>
      <c r="R132" s="5">
        <v>1</v>
      </c>
      <c r="S132" s="5">
        <v>0</v>
      </c>
      <c r="T132" s="7" t="s">
        <v>434</v>
      </c>
      <c r="U132" s="8">
        <v>2.8319999999999999</v>
      </c>
      <c r="V132" s="9" t="s">
        <v>435</v>
      </c>
      <c r="W132" s="10">
        <v>42242</v>
      </c>
      <c r="X132" s="10">
        <v>42635</v>
      </c>
      <c r="Y132" s="8">
        <f>X132-W132</f>
        <v>393</v>
      </c>
      <c r="Z132">
        <v>0</v>
      </c>
      <c r="AA132">
        <v>30</v>
      </c>
    </row>
    <row r="133" spans="1:32" x14ac:dyDescent="0.25">
      <c r="A133">
        <v>367</v>
      </c>
      <c r="B133" s="4" t="s">
        <v>436</v>
      </c>
      <c r="C133" s="5">
        <v>133</v>
      </c>
      <c r="D133" s="5">
        <v>186</v>
      </c>
      <c r="E133" t="s">
        <v>410</v>
      </c>
      <c r="F133">
        <v>5.3890000000000002</v>
      </c>
      <c r="G133" s="6">
        <v>44700</v>
      </c>
      <c r="H133" t="s">
        <v>842</v>
      </c>
      <c r="I133" s="10">
        <v>42563</v>
      </c>
      <c r="J133" s="10">
        <v>42844</v>
      </c>
      <c r="K133" s="5">
        <f t="shared" ref="K133:K194" si="9">J133-I133</f>
        <v>281</v>
      </c>
      <c r="L133" s="47">
        <v>1</v>
      </c>
      <c r="M133" s="47">
        <v>1673</v>
      </c>
      <c r="N133">
        <v>0</v>
      </c>
      <c r="Q133" t="s">
        <v>437</v>
      </c>
      <c r="R133" s="5">
        <v>7</v>
      </c>
      <c r="S133" s="5">
        <v>1</v>
      </c>
      <c r="T133" s="7" t="s">
        <v>42</v>
      </c>
      <c r="U133" s="8">
        <v>2.0670000000000002</v>
      </c>
      <c r="V133" s="9" t="s">
        <v>438</v>
      </c>
      <c r="W133" s="10">
        <v>42671</v>
      </c>
      <c r="X133" s="10">
        <v>43061</v>
      </c>
      <c r="Y133" s="8">
        <f>X133-W133</f>
        <v>390</v>
      </c>
      <c r="Z133">
        <v>0</v>
      </c>
      <c r="AA133">
        <v>26</v>
      </c>
    </row>
    <row r="134" spans="1:32" x14ac:dyDescent="0.25">
      <c r="A134">
        <v>369</v>
      </c>
      <c r="B134" s="4" t="s">
        <v>439</v>
      </c>
      <c r="C134" s="5">
        <v>12</v>
      </c>
      <c r="D134" s="5">
        <v>1</v>
      </c>
      <c r="E134" t="s">
        <v>843</v>
      </c>
      <c r="F134">
        <v>0.80300000000000005</v>
      </c>
      <c r="G134" s="6">
        <v>44700</v>
      </c>
      <c r="H134" t="s">
        <v>844</v>
      </c>
      <c r="I134" s="10">
        <v>42825</v>
      </c>
      <c r="J134" s="10">
        <v>42829</v>
      </c>
      <c r="K134" s="5">
        <f t="shared" si="9"/>
        <v>4</v>
      </c>
      <c r="L134" s="47">
        <v>1</v>
      </c>
      <c r="M134" s="47">
        <v>162</v>
      </c>
      <c r="N134">
        <v>0</v>
      </c>
      <c r="Q134" t="s">
        <v>440</v>
      </c>
      <c r="R134" s="5">
        <v>25</v>
      </c>
      <c r="S134" s="5">
        <v>0</v>
      </c>
      <c r="T134" s="7" t="s">
        <v>441</v>
      </c>
      <c r="U134" s="11">
        <v>3.8929999999999998</v>
      </c>
      <c r="V134" s="9" t="s">
        <v>442</v>
      </c>
      <c r="W134" s="10">
        <v>42573</v>
      </c>
      <c r="X134" s="5" t="s">
        <v>5</v>
      </c>
      <c r="Y134" s="8" t="s">
        <v>5</v>
      </c>
      <c r="Z134">
        <v>0</v>
      </c>
      <c r="AA134">
        <v>138</v>
      </c>
    </row>
    <row r="135" spans="1:32" x14ac:dyDescent="0.25">
      <c r="A135">
        <v>370</v>
      </c>
      <c r="B135" s="4" t="s">
        <v>443</v>
      </c>
      <c r="C135" s="5">
        <v>53</v>
      </c>
      <c r="D135" s="5">
        <v>220</v>
      </c>
      <c r="E135" t="s">
        <v>410</v>
      </c>
      <c r="F135">
        <v>5.3890000000000002</v>
      </c>
      <c r="G135" s="6">
        <v>44700</v>
      </c>
      <c r="H135" t="s">
        <v>845</v>
      </c>
      <c r="I135" s="10">
        <v>42968</v>
      </c>
      <c r="J135" s="10">
        <v>43159</v>
      </c>
      <c r="K135" s="5">
        <f t="shared" si="9"/>
        <v>191</v>
      </c>
      <c r="L135" s="47">
        <v>0</v>
      </c>
      <c r="M135" s="47">
        <v>202</v>
      </c>
      <c r="N135">
        <v>1</v>
      </c>
      <c r="Q135" t="s">
        <v>444</v>
      </c>
      <c r="R135" s="5">
        <v>27</v>
      </c>
      <c r="S135" s="5">
        <v>25</v>
      </c>
      <c r="T135" s="7" t="s">
        <v>445</v>
      </c>
      <c r="U135" s="11">
        <v>3.6080000000000001</v>
      </c>
      <c r="V135" s="9" t="s">
        <v>446</v>
      </c>
      <c r="W135" s="10">
        <v>43041</v>
      </c>
      <c r="X135" s="10">
        <v>43225</v>
      </c>
      <c r="Y135" s="8">
        <f>X135-W135</f>
        <v>184</v>
      </c>
      <c r="Z135">
        <v>0</v>
      </c>
      <c r="AA135">
        <v>96</v>
      </c>
    </row>
    <row r="136" spans="1:32" x14ac:dyDescent="0.25">
      <c r="A136">
        <v>373</v>
      </c>
      <c r="B136" s="4" t="s">
        <v>447</v>
      </c>
      <c r="C136" s="5">
        <v>2</v>
      </c>
      <c r="D136" s="5">
        <v>3</v>
      </c>
      <c r="E136" t="s">
        <v>374</v>
      </c>
      <c r="F136">
        <v>2.7669999999999999</v>
      </c>
      <c r="G136" s="6">
        <v>44700</v>
      </c>
      <c r="H136" t="s">
        <v>846</v>
      </c>
      <c r="I136" s="10">
        <v>42836</v>
      </c>
      <c r="J136" s="10">
        <v>43024</v>
      </c>
      <c r="K136" s="5">
        <f t="shared" si="9"/>
        <v>188</v>
      </c>
      <c r="L136" s="47">
        <v>1</v>
      </c>
      <c r="M136" s="47">
        <v>791</v>
      </c>
      <c r="N136">
        <v>0.53846153846153799</v>
      </c>
      <c r="Q136" t="s">
        <v>448</v>
      </c>
      <c r="R136" s="5">
        <v>11</v>
      </c>
      <c r="S136" s="5">
        <v>0</v>
      </c>
      <c r="T136" s="7" t="s">
        <v>449</v>
      </c>
      <c r="U136" s="11">
        <v>1.34</v>
      </c>
      <c r="V136" s="9" t="s">
        <v>450</v>
      </c>
      <c r="W136" s="5" t="s">
        <v>5</v>
      </c>
      <c r="X136" s="5" t="s">
        <v>5</v>
      </c>
      <c r="Y136" s="8" t="s">
        <v>5</v>
      </c>
      <c r="Z136">
        <v>0</v>
      </c>
      <c r="AA136">
        <v>74</v>
      </c>
    </row>
    <row r="137" spans="1:32" x14ac:dyDescent="0.25">
      <c r="A137">
        <v>375</v>
      </c>
      <c r="B137" s="4" t="s">
        <v>451</v>
      </c>
      <c r="C137" s="5">
        <v>9</v>
      </c>
      <c r="D137" s="5">
        <v>81</v>
      </c>
      <c r="E137" t="s">
        <v>410</v>
      </c>
      <c r="F137">
        <v>5.3890000000000002</v>
      </c>
      <c r="G137" s="6">
        <v>44700</v>
      </c>
      <c r="H137" t="s">
        <v>847</v>
      </c>
      <c r="I137" s="10">
        <v>42627</v>
      </c>
      <c r="J137" s="10">
        <v>42926</v>
      </c>
      <c r="K137" s="5">
        <f t="shared" si="9"/>
        <v>299</v>
      </c>
      <c r="L137" s="47">
        <v>0</v>
      </c>
      <c r="M137" s="47">
        <v>400</v>
      </c>
      <c r="N137">
        <v>0.85714285714285698</v>
      </c>
      <c r="Q137" t="s">
        <v>452</v>
      </c>
      <c r="R137" s="5">
        <v>74</v>
      </c>
      <c r="S137" s="5">
        <v>132</v>
      </c>
      <c r="T137" s="7" t="s">
        <v>453</v>
      </c>
      <c r="U137" s="11">
        <v>3.91</v>
      </c>
      <c r="V137" s="9" t="s">
        <v>454</v>
      </c>
      <c r="W137" s="5" t="s">
        <v>5</v>
      </c>
      <c r="X137" s="5" t="s">
        <v>5</v>
      </c>
      <c r="Y137" s="8" t="s">
        <v>5</v>
      </c>
      <c r="Z137">
        <v>1</v>
      </c>
      <c r="AA137">
        <v>183</v>
      </c>
    </row>
    <row r="138" spans="1:32" x14ac:dyDescent="0.25">
      <c r="A138">
        <v>376</v>
      </c>
      <c r="B138" s="4" t="s">
        <v>455</v>
      </c>
      <c r="C138" s="5">
        <v>6</v>
      </c>
      <c r="D138" s="5">
        <v>31</v>
      </c>
      <c r="E138" t="s">
        <v>410</v>
      </c>
      <c r="F138">
        <v>5.3890000000000002</v>
      </c>
      <c r="G138" s="6">
        <v>44700</v>
      </c>
      <c r="H138" t="s">
        <v>848</v>
      </c>
      <c r="I138" s="10">
        <v>43222</v>
      </c>
      <c r="J138" s="10">
        <v>43717</v>
      </c>
      <c r="K138" s="5">
        <f t="shared" si="9"/>
        <v>495</v>
      </c>
      <c r="L138" s="47">
        <v>0</v>
      </c>
      <c r="M138" s="47">
        <v>200</v>
      </c>
      <c r="N138">
        <v>1</v>
      </c>
      <c r="Q138" t="s">
        <v>456</v>
      </c>
      <c r="R138" s="5">
        <v>1</v>
      </c>
      <c r="S138" s="5">
        <v>2</v>
      </c>
      <c r="T138" s="7" t="s">
        <v>457</v>
      </c>
      <c r="U138" s="11">
        <v>3.7069999999999999</v>
      </c>
      <c r="V138" s="9" t="s">
        <v>458</v>
      </c>
      <c r="W138" s="10">
        <v>43677</v>
      </c>
      <c r="X138" s="10">
        <v>43782</v>
      </c>
      <c r="Y138" s="8">
        <f t="shared" ref="Y138:Y143" si="10">X138-W138</f>
        <v>105</v>
      </c>
      <c r="Z138">
        <v>0</v>
      </c>
      <c r="AA138">
        <v>23</v>
      </c>
    </row>
    <row r="139" spans="1:32" x14ac:dyDescent="0.25">
      <c r="A139">
        <v>379</v>
      </c>
      <c r="B139" s="4" t="s">
        <v>459</v>
      </c>
      <c r="C139" s="5">
        <v>45</v>
      </c>
      <c r="D139" s="5">
        <v>34</v>
      </c>
      <c r="E139" t="s">
        <v>25</v>
      </c>
      <c r="F139">
        <v>2.4729999999999999</v>
      </c>
      <c r="G139" s="6">
        <v>44700</v>
      </c>
      <c r="H139" t="s">
        <v>849</v>
      </c>
      <c r="I139" s="10">
        <v>43234</v>
      </c>
      <c r="J139" s="10">
        <v>43419</v>
      </c>
      <c r="K139" s="5">
        <f t="shared" si="9"/>
        <v>185</v>
      </c>
      <c r="L139" s="47">
        <v>1</v>
      </c>
      <c r="M139" s="47">
        <v>184</v>
      </c>
      <c r="N139">
        <v>1</v>
      </c>
      <c r="Q139" t="s">
        <v>460</v>
      </c>
      <c r="R139" s="5">
        <v>14</v>
      </c>
      <c r="S139" s="5">
        <v>7</v>
      </c>
      <c r="T139" s="7" t="s">
        <v>42</v>
      </c>
      <c r="U139" s="8">
        <v>2.0670000000000002</v>
      </c>
      <c r="V139" s="9" t="s">
        <v>461</v>
      </c>
      <c r="W139" s="10">
        <v>43507</v>
      </c>
      <c r="X139" s="10">
        <v>43580</v>
      </c>
      <c r="Y139" s="8">
        <f t="shared" si="10"/>
        <v>73</v>
      </c>
      <c r="Z139">
        <v>0</v>
      </c>
      <c r="AA139">
        <v>342</v>
      </c>
    </row>
    <row r="140" spans="1:32" x14ac:dyDescent="0.25">
      <c r="A140">
        <v>383</v>
      </c>
      <c r="B140" s="4" t="s">
        <v>462</v>
      </c>
      <c r="C140" s="5">
        <v>4</v>
      </c>
      <c r="D140" s="5">
        <v>5</v>
      </c>
      <c r="E140" t="s">
        <v>38</v>
      </c>
      <c r="F140">
        <v>1.591</v>
      </c>
      <c r="G140" s="6">
        <v>44700</v>
      </c>
      <c r="H140" t="s">
        <v>850</v>
      </c>
      <c r="I140" s="10">
        <v>43180</v>
      </c>
      <c r="J140" s="10">
        <v>43274</v>
      </c>
      <c r="K140" s="5">
        <f t="shared" si="9"/>
        <v>94</v>
      </c>
      <c r="L140" s="47">
        <v>1</v>
      </c>
      <c r="M140" s="47">
        <v>85</v>
      </c>
      <c r="N140">
        <v>0</v>
      </c>
      <c r="Q140" t="s">
        <v>463</v>
      </c>
      <c r="R140" s="5">
        <v>15</v>
      </c>
      <c r="S140" s="5">
        <v>5</v>
      </c>
      <c r="T140" s="7" t="s">
        <v>70</v>
      </c>
      <c r="U140" s="11">
        <v>3.472</v>
      </c>
      <c r="V140" s="9" t="s">
        <v>464</v>
      </c>
      <c r="W140" s="10">
        <v>43199</v>
      </c>
      <c r="X140" s="10">
        <v>43292</v>
      </c>
      <c r="Y140" s="8">
        <f t="shared" si="10"/>
        <v>93</v>
      </c>
      <c r="Z140">
        <v>0</v>
      </c>
      <c r="AA140">
        <v>119</v>
      </c>
    </row>
    <row r="141" spans="1:32" x14ac:dyDescent="0.25">
      <c r="A141">
        <v>384</v>
      </c>
      <c r="B141" s="4" t="s">
        <v>465</v>
      </c>
      <c r="C141" s="5">
        <v>35</v>
      </c>
      <c r="D141" s="5">
        <v>52</v>
      </c>
      <c r="E141" t="s">
        <v>233</v>
      </c>
      <c r="F141">
        <v>3.254</v>
      </c>
      <c r="G141" s="6">
        <v>44700</v>
      </c>
      <c r="H141" t="s">
        <v>851</v>
      </c>
      <c r="I141" s="10">
        <v>42815</v>
      </c>
      <c r="J141" s="10">
        <v>43131</v>
      </c>
      <c r="K141" s="5">
        <f t="shared" si="9"/>
        <v>316</v>
      </c>
      <c r="L141" s="47">
        <v>0</v>
      </c>
      <c r="M141" s="47">
        <v>201</v>
      </c>
      <c r="N141">
        <v>0.5</v>
      </c>
      <c r="Q141" t="s">
        <v>466</v>
      </c>
      <c r="R141" s="5">
        <v>4</v>
      </c>
      <c r="S141" s="5">
        <v>1</v>
      </c>
      <c r="T141" s="7" t="s">
        <v>467</v>
      </c>
      <c r="U141" s="11">
        <v>2.125</v>
      </c>
      <c r="V141" s="9" t="s">
        <v>468</v>
      </c>
      <c r="W141" s="10">
        <v>42461</v>
      </c>
      <c r="X141" s="10">
        <v>43024</v>
      </c>
      <c r="Y141" s="8">
        <f t="shared" si="10"/>
        <v>563</v>
      </c>
      <c r="Z141">
        <v>0</v>
      </c>
      <c r="AA141">
        <v>70</v>
      </c>
    </row>
    <row r="142" spans="1:32" x14ac:dyDescent="0.25">
      <c r="A142">
        <v>385</v>
      </c>
      <c r="B142" s="4" t="s">
        <v>469</v>
      </c>
      <c r="C142" s="5">
        <v>12</v>
      </c>
      <c r="D142" s="5">
        <v>115</v>
      </c>
      <c r="E142" t="s">
        <v>410</v>
      </c>
      <c r="F142">
        <v>5.3890000000000002</v>
      </c>
      <c r="G142" s="6">
        <v>44700</v>
      </c>
      <c r="H142" t="s">
        <v>852</v>
      </c>
      <c r="I142" s="10">
        <v>43290</v>
      </c>
      <c r="J142" s="10">
        <v>43504</v>
      </c>
      <c r="K142" s="5">
        <f t="shared" si="9"/>
        <v>214</v>
      </c>
      <c r="L142" s="47">
        <v>1</v>
      </c>
      <c r="M142" s="47">
        <v>173</v>
      </c>
      <c r="N142">
        <v>0.5</v>
      </c>
      <c r="Q142" t="s">
        <v>470</v>
      </c>
      <c r="R142" s="5">
        <v>6</v>
      </c>
      <c r="S142" s="5">
        <v>7</v>
      </c>
      <c r="T142" s="7" t="s">
        <v>25</v>
      </c>
      <c r="U142" s="8">
        <v>2.4729999999999999</v>
      </c>
      <c r="V142" s="9" t="s">
        <v>471</v>
      </c>
      <c r="W142" s="10">
        <v>43699</v>
      </c>
      <c r="X142" s="10">
        <v>43795</v>
      </c>
      <c r="Y142" s="8">
        <f t="shared" si="10"/>
        <v>96</v>
      </c>
      <c r="Z142">
        <v>1</v>
      </c>
      <c r="AA142">
        <v>96</v>
      </c>
    </row>
    <row r="143" spans="1:32" x14ac:dyDescent="0.25">
      <c r="A143">
        <v>388</v>
      </c>
      <c r="B143" s="4" t="s">
        <v>472</v>
      </c>
      <c r="C143" s="5">
        <v>34</v>
      </c>
      <c r="D143" s="5">
        <v>690</v>
      </c>
      <c r="E143" t="s">
        <v>410</v>
      </c>
      <c r="F143">
        <v>5.3890000000000002</v>
      </c>
      <c r="G143" s="6">
        <v>44700</v>
      </c>
      <c r="H143" t="s">
        <v>853</v>
      </c>
      <c r="I143" s="10">
        <v>42719</v>
      </c>
      <c r="J143" s="10">
        <v>42871</v>
      </c>
      <c r="K143" s="5">
        <f t="shared" si="9"/>
        <v>152</v>
      </c>
      <c r="L143" s="47">
        <v>0</v>
      </c>
      <c r="M143" s="47">
        <v>666</v>
      </c>
      <c r="N143">
        <v>0</v>
      </c>
      <c r="Q143" t="s">
        <v>473</v>
      </c>
      <c r="R143" s="5">
        <v>12</v>
      </c>
      <c r="S143" s="5">
        <v>69</v>
      </c>
      <c r="T143" s="7" t="s">
        <v>474</v>
      </c>
      <c r="U143" s="11">
        <v>2.1070000000000002</v>
      </c>
      <c r="V143" s="9" t="s">
        <v>475</v>
      </c>
      <c r="W143" s="10">
        <v>42559</v>
      </c>
      <c r="X143" s="10">
        <v>42740</v>
      </c>
      <c r="Y143" s="8">
        <f t="shared" si="10"/>
        <v>181</v>
      </c>
      <c r="Z143">
        <v>0</v>
      </c>
      <c r="AA143">
        <v>112</v>
      </c>
    </row>
    <row r="144" spans="1:32" x14ac:dyDescent="0.25">
      <c r="A144">
        <v>390</v>
      </c>
      <c r="B144" s="4" t="s">
        <v>476</v>
      </c>
      <c r="C144" s="5">
        <v>15</v>
      </c>
      <c r="D144" s="5">
        <v>66</v>
      </c>
      <c r="E144" t="s">
        <v>410</v>
      </c>
      <c r="F144">
        <v>5.3890000000000002</v>
      </c>
      <c r="G144" s="6">
        <v>44700</v>
      </c>
      <c r="H144" t="s">
        <v>854</v>
      </c>
      <c r="I144" s="10" t="s">
        <v>5</v>
      </c>
      <c r="J144" s="10" t="s">
        <v>5</v>
      </c>
      <c r="K144" s="5" t="s">
        <v>5</v>
      </c>
      <c r="L144" s="47">
        <v>0</v>
      </c>
      <c r="M144" s="47">
        <v>240</v>
      </c>
      <c r="N144">
        <v>0</v>
      </c>
      <c r="Q144" t="s">
        <v>477</v>
      </c>
      <c r="R144" s="5">
        <v>3</v>
      </c>
      <c r="S144" s="5">
        <v>2</v>
      </c>
      <c r="T144" s="7" t="s">
        <v>478</v>
      </c>
      <c r="U144" s="11">
        <v>1.4139999999999999</v>
      </c>
      <c r="V144" s="9" t="s">
        <v>479</v>
      </c>
      <c r="W144" s="5" t="s">
        <v>5</v>
      </c>
      <c r="X144" s="5" t="s">
        <v>5</v>
      </c>
      <c r="Y144" s="8" t="s">
        <v>5</v>
      </c>
      <c r="Z144">
        <v>0</v>
      </c>
      <c r="AA144">
        <v>88</v>
      </c>
    </row>
    <row r="145" spans="1:30" x14ac:dyDescent="0.25">
      <c r="A145">
        <v>396</v>
      </c>
      <c r="B145" s="4" t="s">
        <v>480</v>
      </c>
      <c r="C145" s="5">
        <v>10</v>
      </c>
      <c r="D145" s="5">
        <v>2</v>
      </c>
      <c r="E145" t="s">
        <v>25</v>
      </c>
      <c r="F145">
        <v>2.4729999999999999</v>
      </c>
      <c r="G145" s="6">
        <v>44700</v>
      </c>
      <c r="H145" t="s">
        <v>855</v>
      </c>
      <c r="I145" s="10">
        <v>43003</v>
      </c>
      <c r="J145" s="10">
        <v>43302</v>
      </c>
      <c r="K145" s="5">
        <f t="shared" si="9"/>
        <v>299</v>
      </c>
      <c r="L145" s="47">
        <v>1</v>
      </c>
      <c r="M145" s="47">
        <v>342</v>
      </c>
      <c r="N145">
        <v>0.77777777777777801</v>
      </c>
      <c r="Q145" t="s">
        <v>481</v>
      </c>
      <c r="R145" s="5">
        <v>3</v>
      </c>
      <c r="S145" s="5">
        <v>0</v>
      </c>
      <c r="T145" s="7" t="s">
        <v>236</v>
      </c>
      <c r="U145" s="11">
        <v>2.3010000000000002</v>
      </c>
      <c r="V145" s="9" t="s">
        <v>482</v>
      </c>
      <c r="W145" s="10">
        <v>43207</v>
      </c>
      <c r="X145" s="5" t="s">
        <v>5</v>
      </c>
      <c r="Y145" s="8" t="s">
        <v>5</v>
      </c>
      <c r="Z145">
        <v>1</v>
      </c>
      <c r="AA145">
        <v>129</v>
      </c>
    </row>
    <row r="146" spans="1:30" x14ac:dyDescent="0.25">
      <c r="A146">
        <v>398</v>
      </c>
      <c r="B146" s="4" t="s">
        <v>483</v>
      </c>
      <c r="C146" s="5">
        <v>8</v>
      </c>
      <c r="D146" s="5">
        <v>236</v>
      </c>
      <c r="E146" t="s">
        <v>42</v>
      </c>
      <c r="F146">
        <v>2.0670000000000002</v>
      </c>
      <c r="G146" s="6">
        <v>44700</v>
      </c>
      <c r="H146" t="s">
        <v>856</v>
      </c>
      <c r="I146" s="10">
        <v>43298</v>
      </c>
      <c r="J146" s="10">
        <v>43397</v>
      </c>
      <c r="K146" s="5">
        <f t="shared" si="9"/>
        <v>99</v>
      </c>
      <c r="L146" s="47">
        <v>0</v>
      </c>
      <c r="M146" s="47">
        <v>238</v>
      </c>
      <c r="N146">
        <v>0.25</v>
      </c>
      <c r="Q146" t="s">
        <v>484</v>
      </c>
      <c r="R146" s="5">
        <v>11</v>
      </c>
      <c r="S146" s="5">
        <v>17</v>
      </c>
      <c r="T146" s="7" t="s">
        <v>42</v>
      </c>
      <c r="U146" s="8">
        <v>2.0670000000000002</v>
      </c>
      <c r="V146" s="9" t="s">
        <v>485</v>
      </c>
      <c r="W146" s="10">
        <v>43307</v>
      </c>
      <c r="X146" s="10">
        <v>43353</v>
      </c>
      <c r="Y146" s="8">
        <f>X146-W146</f>
        <v>46</v>
      </c>
      <c r="Z146">
        <v>0</v>
      </c>
      <c r="AA146">
        <v>213</v>
      </c>
    </row>
    <row r="147" spans="1:30" s="25" customFormat="1" x14ac:dyDescent="0.25">
      <c r="A147">
        <v>399</v>
      </c>
      <c r="B147" s="4" t="s">
        <v>486</v>
      </c>
      <c r="C147" s="5">
        <v>15</v>
      </c>
      <c r="D147" s="5">
        <v>166</v>
      </c>
      <c r="E147" t="s">
        <v>410</v>
      </c>
      <c r="F147">
        <v>5.3890000000000002</v>
      </c>
      <c r="G147" s="6">
        <v>44700</v>
      </c>
      <c r="H147" t="s">
        <v>857</v>
      </c>
      <c r="I147" s="10">
        <v>42897</v>
      </c>
      <c r="J147" s="10">
        <v>43077</v>
      </c>
      <c r="K147" s="5">
        <f t="shared" si="9"/>
        <v>180</v>
      </c>
      <c r="L147" s="47">
        <v>0</v>
      </c>
      <c r="M147" s="47">
        <v>603</v>
      </c>
      <c r="N147">
        <v>0.375</v>
      </c>
      <c r="O147"/>
      <c r="P147"/>
      <c r="Q147" t="s">
        <v>487</v>
      </c>
      <c r="R147" s="5">
        <v>5</v>
      </c>
      <c r="S147" s="5">
        <v>214</v>
      </c>
      <c r="T147" s="7" t="s">
        <v>45</v>
      </c>
      <c r="U147" s="11">
        <v>2.0510000000000002</v>
      </c>
      <c r="V147" s="9" t="s">
        <v>488</v>
      </c>
      <c r="W147" s="5" t="s">
        <v>5</v>
      </c>
      <c r="X147" s="5" t="s">
        <v>5</v>
      </c>
      <c r="Y147" s="8" t="s">
        <v>5</v>
      </c>
      <c r="Z147">
        <v>0</v>
      </c>
      <c r="AA147">
        <v>952</v>
      </c>
      <c r="AB147"/>
      <c r="AC147"/>
      <c r="AD147"/>
    </row>
    <row r="148" spans="1:30" s="25" customFormat="1" x14ac:dyDescent="0.25">
      <c r="A148">
        <v>403</v>
      </c>
      <c r="B148" s="4" t="s">
        <v>489</v>
      </c>
      <c r="C148" s="5">
        <v>1</v>
      </c>
      <c r="D148" s="5">
        <v>0</v>
      </c>
      <c r="E148" t="s">
        <v>25</v>
      </c>
      <c r="F148">
        <v>2.4729999999999999</v>
      </c>
      <c r="G148" s="6">
        <v>44700</v>
      </c>
      <c r="H148" t="s">
        <v>858</v>
      </c>
      <c r="I148" s="10">
        <v>43298</v>
      </c>
      <c r="J148" s="10">
        <v>43429</v>
      </c>
      <c r="K148" s="5">
        <f t="shared" si="9"/>
        <v>131</v>
      </c>
      <c r="L148" s="47">
        <v>1</v>
      </c>
      <c r="M148" s="47">
        <v>63</v>
      </c>
      <c r="N148">
        <v>0.5</v>
      </c>
      <c r="O148"/>
      <c r="P148"/>
      <c r="Q148" t="s">
        <v>490</v>
      </c>
      <c r="R148" s="5">
        <v>5</v>
      </c>
      <c r="S148" s="5">
        <v>0</v>
      </c>
      <c r="T148" s="7" t="s">
        <v>284</v>
      </c>
      <c r="U148" s="11">
        <v>1.38</v>
      </c>
      <c r="V148" s="9" t="s">
        <v>491</v>
      </c>
      <c r="W148" s="10">
        <v>43284</v>
      </c>
      <c r="X148" s="10">
        <v>43483</v>
      </c>
      <c r="Y148" s="8">
        <f>X148-W148</f>
        <v>199</v>
      </c>
      <c r="Z148">
        <v>0</v>
      </c>
      <c r="AA148">
        <v>294</v>
      </c>
      <c r="AB148"/>
      <c r="AC148"/>
      <c r="AD148"/>
    </row>
    <row r="149" spans="1:30" x14ac:dyDescent="0.25">
      <c r="A149">
        <v>404</v>
      </c>
      <c r="B149" s="4" t="s">
        <v>492</v>
      </c>
      <c r="C149" s="5">
        <v>18</v>
      </c>
      <c r="D149" s="5">
        <v>54</v>
      </c>
      <c r="E149" t="s">
        <v>410</v>
      </c>
      <c r="F149">
        <v>5.3890000000000002</v>
      </c>
      <c r="G149" s="6">
        <v>44700</v>
      </c>
      <c r="H149" t="s">
        <v>859</v>
      </c>
      <c r="I149" s="10">
        <v>42762</v>
      </c>
      <c r="J149" s="10">
        <v>43128</v>
      </c>
      <c r="K149" s="5">
        <f t="shared" si="9"/>
        <v>366</v>
      </c>
      <c r="L149" s="47">
        <v>0</v>
      </c>
      <c r="M149" s="47">
        <v>429</v>
      </c>
      <c r="N149">
        <v>1</v>
      </c>
      <c r="Q149" t="s">
        <v>493</v>
      </c>
      <c r="R149" s="5">
        <v>7</v>
      </c>
      <c r="S149" s="5">
        <v>27</v>
      </c>
      <c r="T149" s="7" t="s">
        <v>494</v>
      </c>
      <c r="U149" s="8">
        <v>2.3039999999999998</v>
      </c>
      <c r="V149" s="9" t="s">
        <v>495</v>
      </c>
      <c r="W149" s="10">
        <v>42765</v>
      </c>
      <c r="X149" s="10">
        <v>43332</v>
      </c>
      <c r="Y149" s="8">
        <f>X149-W149</f>
        <v>567</v>
      </c>
      <c r="Z149">
        <v>0</v>
      </c>
      <c r="AA149">
        <v>182</v>
      </c>
    </row>
    <row r="150" spans="1:30" x14ac:dyDescent="0.25">
      <c r="A150">
        <v>406</v>
      </c>
      <c r="B150" s="4" t="s">
        <v>496</v>
      </c>
      <c r="C150" s="5">
        <v>2</v>
      </c>
      <c r="E150" t="s">
        <v>233</v>
      </c>
      <c r="F150">
        <v>3.254</v>
      </c>
      <c r="G150" s="6">
        <v>44700</v>
      </c>
      <c r="H150" t="s">
        <v>860</v>
      </c>
      <c r="I150" s="10">
        <v>43183</v>
      </c>
      <c r="J150" s="10">
        <v>43655</v>
      </c>
      <c r="K150" s="5">
        <f t="shared" si="9"/>
        <v>472</v>
      </c>
      <c r="L150" s="47">
        <v>0</v>
      </c>
      <c r="M150" s="47">
        <v>60</v>
      </c>
      <c r="N150">
        <v>0.6</v>
      </c>
      <c r="Q150" t="s">
        <v>497</v>
      </c>
      <c r="R150" s="5">
        <v>5</v>
      </c>
      <c r="S150" s="5">
        <v>1</v>
      </c>
      <c r="T150" s="7" t="s">
        <v>498</v>
      </c>
      <c r="U150" s="11">
        <v>4.1390000000000002</v>
      </c>
      <c r="V150" s="9" t="s">
        <v>499</v>
      </c>
      <c r="W150" s="10">
        <v>43259</v>
      </c>
      <c r="X150" s="10">
        <v>43675</v>
      </c>
      <c r="Y150" s="8">
        <f>X150-W150</f>
        <v>416</v>
      </c>
      <c r="Z150">
        <v>0</v>
      </c>
      <c r="AA150">
        <v>250</v>
      </c>
    </row>
    <row r="151" spans="1:30" x14ac:dyDescent="0.25">
      <c r="A151">
        <v>408</v>
      </c>
      <c r="B151" s="4" t="s">
        <v>500</v>
      </c>
      <c r="C151" s="5">
        <v>20</v>
      </c>
      <c r="D151" s="5">
        <v>247</v>
      </c>
      <c r="E151" t="s">
        <v>410</v>
      </c>
      <c r="F151">
        <v>5.3890000000000002</v>
      </c>
      <c r="G151" s="6">
        <v>44700</v>
      </c>
      <c r="H151" t="s">
        <v>861</v>
      </c>
      <c r="I151" s="10">
        <v>43002</v>
      </c>
      <c r="J151" s="10">
        <v>43228</v>
      </c>
      <c r="K151" s="5">
        <f t="shared" si="9"/>
        <v>226</v>
      </c>
      <c r="L151" s="47">
        <v>0</v>
      </c>
      <c r="M151" s="47">
        <v>799</v>
      </c>
      <c r="N151">
        <v>0.33333333333333298</v>
      </c>
      <c r="Q151" t="s">
        <v>501</v>
      </c>
      <c r="R151" s="5">
        <v>16</v>
      </c>
      <c r="S151" s="5">
        <v>32</v>
      </c>
      <c r="T151" s="7" t="s">
        <v>233</v>
      </c>
      <c r="U151" s="8">
        <v>3.2410000000000001</v>
      </c>
      <c r="V151" s="9" t="s">
        <v>502</v>
      </c>
      <c r="W151" s="10">
        <v>42760</v>
      </c>
      <c r="X151" s="10">
        <v>43168</v>
      </c>
      <c r="Y151" s="8">
        <f>X151-W151</f>
        <v>408</v>
      </c>
      <c r="Z151">
        <v>0</v>
      </c>
      <c r="AA151">
        <v>115</v>
      </c>
    </row>
    <row r="152" spans="1:30" x14ac:dyDescent="0.25">
      <c r="A152">
        <v>410</v>
      </c>
      <c r="B152" s="4" t="s">
        <v>503</v>
      </c>
      <c r="C152" s="5">
        <v>32</v>
      </c>
      <c r="D152" s="5">
        <v>22</v>
      </c>
      <c r="E152" t="s">
        <v>410</v>
      </c>
      <c r="F152">
        <v>5.3890000000000002</v>
      </c>
      <c r="G152" s="6">
        <v>44700</v>
      </c>
      <c r="H152" t="s">
        <v>862</v>
      </c>
      <c r="I152" s="10">
        <v>42747</v>
      </c>
      <c r="J152" s="10">
        <v>43287</v>
      </c>
      <c r="K152" s="5">
        <f t="shared" si="9"/>
        <v>540</v>
      </c>
      <c r="L152" s="47">
        <v>1</v>
      </c>
      <c r="M152" s="47">
        <v>100</v>
      </c>
      <c r="N152">
        <v>0.375</v>
      </c>
      <c r="Q152" t="s">
        <v>504</v>
      </c>
      <c r="R152" s="5">
        <v>34</v>
      </c>
      <c r="S152" s="5">
        <v>3</v>
      </c>
      <c r="T152" s="7" t="s">
        <v>62</v>
      </c>
      <c r="U152" s="8">
        <v>3.169</v>
      </c>
      <c r="V152" s="9" t="s">
        <v>505</v>
      </c>
      <c r="W152" s="5" t="s">
        <v>5</v>
      </c>
      <c r="X152" s="5" t="s">
        <v>5</v>
      </c>
      <c r="Y152" s="8" t="s">
        <v>5</v>
      </c>
      <c r="Z152">
        <v>0</v>
      </c>
      <c r="AA152">
        <v>44</v>
      </c>
    </row>
    <row r="153" spans="1:30" x14ac:dyDescent="0.25">
      <c r="A153">
        <v>411</v>
      </c>
      <c r="B153" s="4" t="s">
        <v>506</v>
      </c>
      <c r="C153" s="5">
        <v>24</v>
      </c>
      <c r="D153" s="5">
        <v>46</v>
      </c>
      <c r="E153" t="s">
        <v>233</v>
      </c>
      <c r="F153">
        <v>3.254</v>
      </c>
      <c r="G153" s="6">
        <v>44700</v>
      </c>
      <c r="H153" t="s">
        <v>863</v>
      </c>
      <c r="I153" s="10">
        <v>43373</v>
      </c>
      <c r="J153" s="10">
        <v>43662</v>
      </c>
      <c r="K153" s="5">
        <f t="shared" si="9"/>
        <v>289</v>
      </c>
      <c r="L153" s="47">
        <v>0</v>
      </c>
      <c r="M153" s="47">
        <v>150</v>
      </c>
      <c r="N153">
        <v>0.23529411764705899</v>
      </c>
      <c r="Q153" t="s">
        <v>507</v>
      </c>
      <c r="R153" s="5">
        <v>11</v>
      </c>
      <c r="S153" s="5">
        <v>0</v>
      </c>
      <c r="T153" s="7" t="s">
        <v>508</v>
      </c>
      <c r="U153" s="11" t="s">
        <v>5</v>
      </c>
      <c r="V153" s="9" t="s">
        <v>509</v>
      </c>
      <c r="W153" s="10">
        <v>42965</v>
      </c>
      <c r="X153" s="10">
        <v>43437</v>
      </c>
      <c r="Y153" s="8">
        <f>X153-W153</f>
        <v>472</v>
      </c>
      <c r="Z153">
        <v>0</v>
      </c>
      <c r="AA153">
        <v>127</v>
      </c>
    </row>
    <row r="154" spans="1:30" x14ac:dyDescent="0.25">
      <c r="A154">
        <v>412</v>
      </c>
      <c r="B154" s="4" t="s">
        <v>510</v>
      </c>
      <c r="C154" s="5">
        <v>13</v>
      </c>
      <c r="D154" s="5">
        <v>3</v>
      </c>
      <c r="E154" t="s">
        <v>378</v>
      </c>
      <c r="F154">
        <v>4.3849999999999998</v>
      </c>
      <c r="G154" s="6">
        <v>44700</v>
      </c>
      <c r="H154" t="s">
        <v>864</v>
      </c>
      <c r="I154" s="10" t="s">
        <v>5</v>
      </c>
      <c r="J154" s="10" t="s">
        <v>5</v>
      </c>
      <c r="K154" s="5" t="s">
        <v>5</v>
      </c>
      <c r="L154" s="47">
        <v>0</v>
      </c>
      <c r="M154" s="47">
        <v>406</v>
      </c>
      <c r="N154">
        <v>1</v>
      </c>
      <c r="Q154" t="s">
        <v>511</v>
      </c>
      <c r="R154" s="5">
        <v>8</v>
      </c>
      <c r="S154" s="5">
        <v>1</v>
      </c>
      <c r="T154" s="7" t="s">
        <v>512</v>
      </c>
      <c r="U154" s="11">
        <v>0.48099999999999998</v>
      </c>
      <c r="V154" s="9" t="s">
        <v>513</v>
      </c>
      <c r="W154" s="5" t="s">
        <v>5</v>
      </c>
      <c r="X154" s="5" t="s">
        <v>5</v>
      </c>
      <c r="Y154" s="8" t="s">
        <v>5</v>
      </c>
      <c r="Z154">
        <v>0</v>
      </c>
      <c r="AA154">
        <v>39</v>
      </c>
    </row>
    <row r="155" spans="1:30" x14ac:dyDescent="0.25">
      <c r="A155">
        <v>415</v>
      </c>
      <c r="B155" s="4" t="s">
        <v>514</v>
      </c>
      <c r="C155" s="5">
        <v>35</v>
      </c>
      <c r="D155" s="5">
        <v>3</v>
      </c>
      <c r="E155" t="s">
        <v>865</v>
      </c>
      <c r="F155">
        <v>3.254</v>
      </c>
      <c r="G155" s="6">
        <v>44700</v>
      </c>
      <c r="H155" t="s">
        <v>866</v>
      </c>
      <c r="I155" s="10">
        <v>43025</v>
      </c>
      <c r="J155" s="10">
        <v>43152</v>
      </c>
      <c r="K155" s="5">
        <f t="shared" si="9"/>
        <v>127</v>
      </c>
      <c r="L155" s="47">
        <v>1</v>
      </c>
      <c r="M155" s="47">
        <v>120</v>
      </c>
      <c r="N155">
        <v>0.875</v>
      </c>
      <c r="Q155" t="s">
        <v>515</v>
      </c>
      <c r="R155" s="5">
        <v>61</v>
      </c>
      <c r="S155" s="5">
        <v>133</v>
      </c>
      <c r="T155" s="7" t="s">
        <v>410</v>
      </c>
      <c r="U155" s="8">
        <v>5.3890000000000002</v>
      </c>
      <c r="V155" s="9" t="s">
        <v>516</v>
      </c>
      <c r="W155" s="10">
        <v>42778</v>
      </c>
      <c r="X155" s="10">
        <v>43031</v>
      </c>
      <c r="Y155" s="8">
        <f>X155-W155</f>
        <v>253</v>
      </c>
      <c r="Z155">
        <v>1</v>
      </c>
      <c r="AA155">
        <v>74</v>
      </c>
    </row>
    <row r="156" spans="1:30" x14ac:dyDescent="0.25">
      <c r="A156">
        <v>417</v>
      </c>
      <c r="B156" s="4" t="s">
        <v>517</v>
      </c>
      <c r="C156" s="5">
        <v>0</v>
      </c>
      <c r="D156" s="5">
        <v>0</v>
      </c>
      <c r="E156" t="s">
        <v>233</v>
      </c>
      <c r="F156">
        <v>3.254</v>
      </c>
      <c r="G156" s="6">
        <v>44700</v>
      </c>
      <c r="H156" t="s">
        <v>867</v>
      </c>
      <c r="I156" s="10">
        <v>43152</v>
      </c>
      <c r="J156" s="10">
        <v>43694</v>
      </c>
      <c r="K156" s="5">
        <f t="shared" si="9"/>
        <v>542</v>
      </c>
      <c r="L156" s="47">
        <v>0</v>
      </c>
      <c r="M156" s="47">
        <v>136</v>
      </c>
      <c r="N156">
        <v>0.625</v>
      </c>
      <c r="Q156" t="s">
        <v>518</v>
      </c>
      <c r="R156" s="5">
        <v>4</v>
      </c>
      <c r="S156" s="5">
        <v>1</v>
      </c>
      <c r="T156" s="7" t="s">
        <v>216</v>
      </c>
      <c r="U156" s="8">
        <v>6.335</v>
      </c>
      <c r="V156" s="9" t="s">
        <v>519</v>
      </c>
      <c r="W156" s="10">
        <v>42993</v>
      </c>
      <c r="X156" s="10">
        <v>43337</v>
      </c>
      <c r="Y156" s="8">
        <f>X156-W156</f>
        <v>344</v>
      </c>
      <c r="Z156">
        <v>0</v>
      </c>
      <c r="AA156">
        <v>146</v>
      </c>
    </row>
    <row r="157" spans="1:30" x14ac:dyDescent="0.25">
      <c r="A157">
        <v>418</v>
      </c>
      <c r="B157" s="4" t="s">
        <v>520</v>
      </c>
      <c r="C157" s="5">
        <v>15</v>
      </c>
      <c r="D157" s="5">
        <v>0</v>
      </c>
      <c r="E157" t="s">
        <v>29</v>
      </c>
      <c r="F157">
        <v>1.718</v>
      </c>
      <c r="G157" s="6">
        <v>44700</v>
      </c>
      <c r="H157" t="s">
        <v>868</v>
      </c>
      <c r="I157" s="10">
        <v>43404</v>
      </c>
      <c r="J157" s="10">
        <v>43670</v>
      </c>
      <c r="K157" s="5">
        <f t="shared" si="9"/>
        <v>266</v>
      </c>
      <c r="L157" s="47">
        <v>0</v>
      </c>
      <c r="M157" s="47">
        <v>523</v>
      </c>
      <c r="N157">
        <v>0.16666666666666699</v>
      </c>
      <c r="Q157" t="s">
        <v>521</v>
      </c>
      <c r="R157" s="5">
        <v>32</v>
      </c>
      <c r="S157" s="5">
        <v>57</v>
      </c>
      <c r="T157" s="7" t="s">
        <v>29</v>
      </c>
      <c r="U157" s="8">
        <v>1.718</v>
      </c>
      <c r="V157" s="9" t="s">
        <v>522</v>
      </c>
      <c r="W157" s="10">
        <v>43546</v>
      </c>
      <c r="X157" s="10">
        <v>43657</v>
      </c>
      <c r="Y157" s="8">
        <f>X157-W157</f>
        <v>111</v>
      </c>
      <c r="Z157">
        <v>0</v>
      </c>
      <c r="AA157">
        <v>14509</v>
      </c>
    </row>
    <row r="158" spans="1:30" x14ac:dyDescent="0.25">
      <c r="A158">
        <v>419</v>
      </c>
      <c r="B158" s="4" t="s">
        <v>523</v>
      </c>
      <c r="C158" s="5">
        <v>26</v>
      </c>
      <c r="D158" s="5">
        <v>220</v>
      </c>
      <c r="E158" t="s">
        <v>410</v>
      </c>
      <c r="F158">
        <v>5.3890000000000002</v>
      </c>
      <c r="G158" s="6">
        <v>44700</v>
      </c>
      <c r="H158" t="s">
        <v>869</v>
      </c>
      <c r="I158" s="10">
        <v>42947</v>
      </c>
      <c r="J158" s="10">
        <v>42997</v>
      </c>
      <c r="K158" s="5">
        <f t="shared" si="9"/>
        <v>50</v>
      </c>
      <c r="L158" s="47">
        <v>1</v>
      </c>
      <c r="M158" s="47">
        <v>400</v>
      </c>
      <c r="N158">
        <v>0</v>
      </c>
      <c r="Q158" t="s">
        <v>524</v>
      </c>
      <c r="R158" s="5">
        <v>5</v>
      </c>
      <c r="S158" s="5">
        <v>3</v>
      </c>
      <c r="T158" s="7" t="s">
        <v>233</v>
      </c>
      <c r="U158" s="8">
        <v>3.2410000000000001</v>
      </c>
      <c r="V158" s="9" t="s">
        <v>525</v>
      </c>
      <c r="W158" s="10">
        <v>43100</v>
      </c>
      <c r="X158" s="10">
        <v>43236</v>
      </c>
      <c r="Y158" s="8">
        <f>X158-W158</f>
        <v>136</v>
      </c>
      <c r="Z158">
        <v>0</v>
      </c>
      <c r="AA158">
        <v>196</v>
      </c>
    </row>
    <row r="159" spans="1:30" x14ac:dyDescent="0.25">
      <c r="A159">
        <v>420</v>
      </c>
      <c r="B159" s="4" t="s">
        <v>526</v>
      </c>
      <c r="C159" s="5">
        <v>13</v>
      </c>
      <c r="D159" s="5">
        <v>197</v>
      </c>
      <c r="E159" t="s">
        <v>410</v>
      </c>
      <c r="F159">
        <v>5.3890000000000002</v>
      </c>
      <c r="G159" s="6">
        <v>44700</v>
      </c>
      <c r="H159" t="s">
        <v>870</v>
      </c>
      <c r="I159" s="10">
        <v>42893</v>
      </c>
      <c r="J159" s="10">
        <v>43127</v>
      </c>
      <c r="K159" s="5">
        <f t="shared" si="9"/>
        <v>234</v>
      </c>
      <c r="L159" s="47">
        <v>1</v>
      </c>
      <c r="M159" s="47">
        <v>375</v>
      </c>
      <c r="N159">
        <v>1</v>
      </c>
      <c r="Q159" t="s">
        <v>527</v>
      </c>
      <c r="R159" s="5">
        <v>8</v>
      </c>
      <c r="S159" s="5">
        <v>25</v>
      </c>
      <c r="T159" s="7" t="s">
        <v>528</v>
      </c>
      <c r="U159" s="11">
        <v>5.8730000000000002</v>
      </c>
      <c r="V159" s="9" t="s">
        <v>529</v>
      </c>
      <c r="W159" s="5" t="s">
        <v>5</v>
      </c>
      <c r="X159" s="5" t="s">
        <v>5</v>
      </c>
      <c r="Y159" s="8" t="s">
        <v>5</v>
      </c>
      <c r="Z159">
        <v>0</v>
      </c>
      <c r="AA159">
        <v>152</v>
      </c>
    </row>
    <row r="160" spans="1:30" x14ac:dyDescent="0.25">
      <c r="A160">
        <v>421</v>
      </c>
      <c r="B160" s="4" t="s">
        <v>530</v>
      </c>
      <c r="C160" s="5">
        <v>2</v>
      </c>
      <c r="D160" s="5">
        <v>2</v>
      </c>
      <c r="E160" t="s">
        <v>233</v>
      </c>
      <c r="F160">
        <v>3.254</v>
      </c>
      <c r="G160" s="6">
        <v>44700</v>
      </c>
      <c r="H160" t="s">
        <v>871</v>
      </c>
      <c r="I160" s="10">
        <v>43495</v>
      </c>
      <c r="J160" s="10">
        <v>43685</v>
      </c>
      <c r="K160" s="5">
        <f t="shared" si="9"/>
        <v>190</v>
      </c>
      <c r="L160" s="47">
        <v>0</v>
      </c>
      <c r="M160" s="47">
        <v>87</v>
      </c>
      <c r="N160">
        <v>1</v>
      </c>
      <c r="Q160" t="s">
        <v>531</v>
      </c>
      <c r="R160" s="5">
        <v>13</v>
      </c>
      <c r="S160" s="5">
        <v>0</v>
      </c>
      <c r="T160" s="7" t="s">
        <v>216</v>
      </c>
      <c r="U160" s="8">
        <v>6.335</v>
      </c>
      <c r="V160" s="9" t="s">
        <v>532</v>
      </c>
      <c r="W160" s="10">
        <v>43165</v>
      </c>
      <c r="X160" s="10">
        <v>43606</v>
      </c>
      <c r="Y160" s="8">
        <f>X160-W160</f>
        <v>441</v>
      </c>
      <c r="Z160">
        <v>1</v>
      </c>
      <c r="AA160">
        <v>71</v>
      </c>
    </row>
    <row r="161" spans="1:27" x14ac:dyDescent="0.25">
      <c r="A161">
        <v>422</v>
      </c>
      <c r="B161" s="4" t="s">
        <v>533</v>
      </c>
      <c r="C161" s="5">
        <v>4</v>
      </c>
      <c r="D161" s="5">
        <v>1</v>
      </c>
      <c r="E161" t="s">
        <v>872</v>
      </c>
      <c r="F161">
        <v>1.895</v>
      </c>
      <c r="G161" s="6">
        <v>44700</v>
      </c>
      <c r="H161" t="s">
        <v>873</v>
      </c>
      <c r="I161" s="10">
        <v>42967</v>
      </c>
      <c r="J161" s="10">
        <v>43265</v>
      </c>
      <c r="K161" s="5">
        <f t="shared" si="9"/>
        <v>298</v>
      </c>
      <c r="L161" s="47">
        <v>1</v>
      </c>
      <c r="M161" s="47">
        <v>97</v>
      </c>
      <c r="N161">
        <v>0</v>
      </c>
      <c r="Q161" t="s">
        <v>534</v>
      </c>
      <c r="R161" s="5">
        <v>10</v>
      </c>
      <c r="S161" s="5">
        <v>4</v>
      </c>
      <c r="T161" s="7" t="s">
        <v>535</v>
      </c>
      <c r="U161" s="11">
        <v>5.1669999999999998</v>
      </c>
      <c r="V161" s="9" t="s">
        <v>536</v>
      </c>
      <c r="W161" s="5" t="s">
        <v>5</v>
      </c>
      <c r="X161" s="5" t="s">
        <v>5</v>
      </c>
      <c r="Y161" s="8" t="s">
        <v>5</v>
      </c>
      <c r="Z161">
        <v>0</v>
      </c>
      <c r="AA161">
        <v>114</v>
      </c>
    </row>
    <row r="162" spans="1:27" x14ac:dyDescent="0.25">
      <c r="A162">
        <v>425</v>
      </c>
      <c r="B162" s="4" t="s">
        <v>537</v>
      </c>
      <c r="C162" s="5">
        <v>8</v>
      </c>
      <c r="D162" s="5">
        <v>20</v>
      </c>
      <c r="E162" t="s">
        <v>750</v>
      </c>
      <c r="F162">
        <v>4.0090000000000003</v>
      </c>
      <c r="G162" s="6">
        <v>44700</v>
      </c>
      <c r="H162" t="s">
        <v>874</v>
      </c>
      <c r="I162" s="10">
        <v>43261</v>
      </c>
      <c r="J162" s="10">
        <v>43383</v>
      </c>
      <c r="K162" s="5">
        <f t="shared" si="9"/>
        <v>122</v>
      </c>
      <c r="L162" s="47">
        <v>1</v>
      </c>
      <c r="M162" s="47">
        <v>12</v>
      </c>
      <c r="N162">
        <v>0.16666666666666699</v>
      </c>
      <c r="Q162" t="s">
        <v>538</v>
      </c>
      <c r="R162" s="5">
        <v>13</v>
      </c>
      <c r="S162" s="5">
        <v>28</v>
      </c>
      <c r="T162" s="7" t="s">
        <v>539</v>
      </c>
      <c r="U162" s="11">
        <v>7.0759999999999996</v>
      </c>
      <c r="V162" s="9" t="s">
        <v>540</v>
      </c>
      <c r="W162" s="10">
        <v>43312</v>
      </c>
      <c r="X162" s="10">
        <v>43559</v>
      </c>
      <c r="Y162" s="8">
        <f t="shared" ref="Y162:Y168" si="11">X162-W162</f>
        <v>247</v>
      </c>
      <c r="Z162">
        <v>0</v>
      </c>
      <c r="AA162">
        <v>28</v>
      </c>
    </row>
    <row r="163" spans="1:27" x14ac:dyDescent="0.25">
      <c r="A163">
        <v>429</v>
      </c>
      <c r="B163" s="4" t="s">
        <v>541</v>
      </c>
      <c r="C163" s="5">
        <v>20</v>
      </c>
      <c r="D163" s="5">
        <v>16</v>
      </c>
      <c r="E163" t="s">
        <v>233</v>
      </c>
      <c r="F163">
        <v>3.254</v>
      </c>
      <c r="G163" s="6">
        <v>44701</v>
      </c>
      <c r="H163" t="s">
        <v>875</v>
      </c>
      <c r="I163" s="10">
        <v>42719</v>
      </c>
      <c r="J163" s="10">
        <v>42865</v>
      </c>
      <c r="K163" s="5">
        <f t="shared" si="9"/>
        <v>146</v>
      </c>
      <c r="L163" s="47">
        <v>1</v>
      </c>
      <c r="M163" s="47">
        <v>127</v>
      </c>
      <c r="N163">
        <v>8.3333333333333301E-2</v>
      </c>
      <c r="Q163" t="s">
        <v>542</v>
      </c>
      <c r="R163" s="5">
        <v>9</v>
      </c>
      <c r="S163" s="5">
        <v>3</v>
      </c>
      <c r="T163" s="7" t="s">
        <v>543</v>
      </c>
      <c r="U163" s="11" t="s">
        <v>5</v>
      </c>
      <c r="V163" s="9" t="s">
        <v>544</v>
      </c>
      <c r="W163" s="10">
        <v>42517</v>
      </c>
      <c r="X163" s="10">
        <v>42661</v>
      </c>
      <c r="Y163" s="8">
        <f t="shared" si="11"/>
        <v>144</v>
      </c>
      <c r="Z163">
        <v>0</v>
      </c>
      <c r="AA163">
        <v>151</v>
      </c>
    </row>
    <row r="164" spans="1:27" x14ac:dyDescent="0.25">
      <c r="A164">
        <v>431</v>
      </c>
      <c r="B164" s="4" t="s">
        <v>545</v>
      </c>
      <c r="C164" s="5">
        <v>7</v>
      </c>
      <c r="D164" s="5">
        <v>1</v>
      </c>
      <c r="E164" t="s">
        <v>233</v>
      </c>
      <c r="F164">
        <v>3.254</v>
      </c>
      <c r="G164" s="6">
        <v>44701</v>
      </c>
      <c r="H164" t="s">
        <v>876</v>
      </c>
      <c r="I164" s="10">
        <v>43243</v>
      </c>
      <c r="J164" s="10">
        <v>43397</v>
      </c>
      <c r="K164" s="5">
        <f t="shared" si="9"/>
        <v>154</v>
      </c>
      <c r="L164" s="47">
        <v>0</v>
      </c>
      <c r="M164" s="47">
        <v>295</v>
      </c>
      <c r="N164">
        <v>1</v>
      </c>
      <c r="Q164" t="s">
        <v>546</v>
      </c>
      <c r="R164" s="5">
        <v>7</v>
      </c>
      <c r="S164" s="5">
        <v>0</v>
      </c>
      <c r="T164" s="7" t="s">
        <v>508</v>
      </c>
      <c r="U164" s="11" t="s">
        <v>5</v>
      </c>
      <c r="V164" s="9" t="s">
        <v>547</v>
      </c>
      <c r="W164" s="10">
        <v>43130</v>
      </c>
      <c r="X164" s="10">
        <v>43755</v>
      </c>
      <c r="Y164" s="8">
        <f t="shared" si="11"/>
        <v>625</v>
      </c>
      <c r="Z164">
        <v>0</v>
      </c>
      <c r="AA164">
        <v>152</v>
      </c>
    </row>
    <row r="165" spans="1:27" x14ac:dyDescent="0.25">
      <c r="A165">
        <v>432</v>
      </c>
      <c r="B165" s="4" t="s">
        <v>548</v>
      </c>
      <c r="C165" s="5">
        <v>14</v>
      </c>
      <c r="D165" s="5">
        <v>3</v>
      </c>
      <c r="E165" t="s">
        <v>233</v>
      </c>
      <c r="F165">
        <v>3.254</v>
      </c>
      <c r="G165" s="6">
        <v>44701</v>
      </c>
      <c r="H165" t="s">
        <v>877</v>
      </c>
      <c r="I165" s="10">
        <v>42843</v>
      </c>
      <c r="J165" s="10">
        <v>42983</v>
      </c>
      <c r="K165" s="5">
        <f t="shared" si="9"/>
        <v>140</v>
      </c>
      <c r="L165" s="47">
        <v>1</v>
      </c>
      <c r="M165" s="47">
        <v>407</v>
      </c>
      <c r="N165">
        <v>0.25</v>
      </c>
      <c r="Q165" t="s">
        <v>549</v>
      </c>
      <c r="R165" s="5">
        <v>7</v>
      </c>
      <c r="S165" s="5">
        <v>8</v>
      </c>
      <c r="T165" s="7" t="s">
        <v>494</v>
      </c>
      <c r="U165" s="8">
        <v>2.3039999999999998</v>
      </c>
      <c r="V165" s="9" t="s">
        <v>550</v>
      </c>
      <c r="W165" s="10">
        <v>42586</v>
      </c>
      <c r="X165" s="10">
        <v>43291</v>
      </c>
      <c r="Y165" s="8">
        <f t="shared" si="11"/>
        <v>705</v>
      </c>
      <c r="Z165">
        <v>1</v>
      </c>
      <c r="AA165">
        <v>136</v>
      </c>
    </row>
    <row r="166" spans="1:27" x14ac:dyDescent="0.25">
      <c r="A166">
        <v>433</v>
      </c>
      <c r="B166" s="4" t="s">
        <v>551</v>
      </c>
      <c r="C166" s="5">
        <v>18</v>
      </c>
      <c r="D166" s="5">
        <v>30</v>
      </c>
      <c r="E166" t="s">
        <v>58</v>
      </c>
      <c r="F166">
        <v>4.891</v>
      </c>
      <c r="G166" s="6">
        <v>44701</v>
      </c>
      <c r="H166" t="s">
        <v>878</v>
      </c>
      <c r="I166" s="10" t="s">
        <v>5</v>
      </c>
      <c r="J166" s="10" t="s">
        <v>5</v>
      </c>
      <c r="K166" s="5" t="s">
        <v>5</v>
      </c>
      <c r="L166" s="47">
        <v>0</v>
      </c>
      <c r="M166" s="47">
        <v>45</v>
      </c>
      <c r="N166">
        <v>0.5</v>
      </c>
      <c r="Q166" t="s">
        <v>552</v>
      </c>
      <c r="R166" s="5">
        <v>10</v>
      </c>
      <c r="S166" s="5">
        <v>0</v>
      </c>
      <c r="T166" s="7" t="s">
        <v>553</v>
      </c>
      <c r="U166" s="11">
        <v>1.4119999999999999</v>
      </c>
      <c r="V166" s="9" t="s">
        <v>554</v>
      </c>
      <c r="W166" s="10">
        <v>42838</v>
      </c>
      <c r="X166" s="10">
        <v>43297</v>
      </c>
      <c r="Y166" s="8">
        <f t="shared" si="11"/>
        <v>459</v>
      </c>
      <c r="Z166">
        <v>0</v>
      </c>
      <c r="AA166">
        <v>79</v>
      </c>
    </row>
    <row r="167" spans="1:27" x14ac:dyDescent="0.25">
      <c r="A167">
        <v>434</v>
      </c>
      <c r="B167" s="4" t="s">
        <v>555</v>
      </c>
      <c r="C167" s="5">
        <v>10</v>
      </c>
      <c r="D167" s="5">
        <v>0</v>
      </c>
      <c r="E167" t="s">
        <v>434</v>
      </c>
      <c r="F167">
        <v>2.8319999999999999</v>
      </c>
      <c r="G167" s="6">
        <v>44701</v>
      </c>
      <c r="H167" t="s">
        <v>879</v>
      </c>
      <c r="I167" s="10">
        <v>43171</v>
      </c>
      <c r="J167" s="10">
        <v>43359</v>
      </c>
      <c r="K167" s="5">
        <f t="shared" si="9"/>
        <v>188</v>
      </c>
      <c r="L167" s="47">
        <v>1</v>
      </c>
      <c r="M167" s="47">
        <v>198</v>
      </c>
      <c r="N167">
        <v>1</v>
      </c>
      <c r="Q167" t="s">
        <v>556</v>
      </c>
      <c r="R167" s="5">
        <v>7</v>
      </c>
      <c r="S167" s="5">
        <v>0</v>
      </c>
      <c r="T167" s="7" t="s">
        <v>25</v>
      </c>
      <c r="U167" s="8">
        <v>2.4729999999999999</v>
      </c>
      <c r="V167" s="9" t="s">
        <v>557</v>
      </c>
      <c r="W167" s="10">
        <v>43236</v>
      </c>
      <c r="X167" s="10">
        <v>43375</v>
      </c>
      <c r="Y167" s="8">
        <f t="shared" si="11"/>
        <v>139</v>
      </c>
      <c r="Z167">
        <v>1</v>
      </c>
      <c r="AA167">
        <v>543</v>
      </c>
    </row>
    <row r="168" spans="1:27" x14ac:dyDescent="0.25">
      <c r="A168">
        <v>437</v>
      </c>
      <c r="B168" s="4" t="s">
        <v>558</v>
      </c>
      <c r="C168" s="5">
        <v>10</v>
      </c>
      <c r="D168" s="5">
        <v>67</v>
      </c>
      <c r="E168" t="s">
        <v>233</v>
      </c>
      <c r="F168">
        <v>3.254</v>
      </c>
      <c r="G168" s="6">
        <v>44701</v>
      </c>
      <c r="H168" t="s">
        <v>880</v>
      </c>
      <c r="I168" s="10">
        <v>43557</v>
      </c>
      <c r="J168" s="10">
        <v>43676</v>
      </c>
      <c r="K168" s="5">
        <f t="shared" si="9"/>
        <v>119</v>
      </c>
      <c r="L168" s="47">
        <v>1</v>
      </c>
      <c r="M168" s="47">
        <v>520</v>
      </c>
      <c r="N168">
        <v>0.125</v>
      </c>
      <c r="Q168" t="s">
        <v>559</v>
      </c>
      <c r="R168" s="5">
        <v>17</v>
      </c>
      <c r="S168" s="5">
        <v>2</v>
      </c>
      <c r="T168" s="7" t="s">
        <v>233</v>
      </c>
      <c r="U168" s="8">
        <v>3.2410000000000001</v>
      </c>
      <c r="V168" s="9" t="s">
        <v>560</v>
      </c>
      <c r="W168" s="10">
        <v>43512</v>
      </c>
      <c r="X168" s="10">
        <v>43668</v>
      </c>
      <c r="Y168" s="8">
        <f t="shared" si="11"/>
        <v>156</v>
      </c>
      <c r="Z168">
        <v>0</v>
      </c>
      <c r="AA168">
        <v>370</v>
      </c>
    </row>
    <row r="169" spans="1:27" x14ac:dyDescent="0.25">
      <c r="A169">
        <v>438</v>
      </c>
      <c r="B169" s="4" t="s">
        <v>561</v>
      </c>
      <c r="C169" s="5">
        <v>8</v>
      </c>
      <c r="D169" s="5">
        <v>10</v>
      </c>
      <c r="E169" t="s">
        <v>233</v>
      </c>
      <c r="F169">
        <v>3.254</v>
      </c>
      <c r="G169" s="6">
        <v>44701</v>
      </c>
      <c r="H169" t="s">
        <v>881</v>
      </c>
      <c r="I169" s="10">
        <v>43061</v>
      </c>
      <c r="J169" s="10">
        <v>43196</v>
      </c>
      <c r="K169" s="5">
        <f t="shared" si="9"/>
        <v>135</v>
      </c>
      <c r="L169" s="47">
        <v>1</v>
      </c>
      <c r="M169" s="47">
        <v>182</v>
      </c>
      <c r="N169">
        <v>1</v>
      </c>
      <c r="Q169" t="s">
        <v>562</v>
      </c>
      <c r="R169" s="5">
        <v>3</v>
      </c>
      <c r="S169" s="5">
        <v>25</v>
      </c>
      <c r="T169" s="7" t="s">
        <v>216</v>
      </c>
      <c r="U169" s="8">
        <v>6.335</v>
      </c>
      <c r="V169" s="9" t="s">
        <v>563</v>
      </c>
      <c r="W169" s="5" t="s">
        <v>5</v>
      </c>
      <c r="X169" s="5" t="s">
        <v>5</v>
      </c>
      <c r="Y169" s="8" t="s">
        <v>5</v>
      </c>
      <c r="Z169">
        <v>0</v>
      </c>
      <c r="AA169">
        <v>49</v>
      </c>
    </row>
    <row r="170" spans="1:27" x14ac:dyDescent="0.25">
      <c r="A170">
        <v>442</v>
      </c>
      <c r="B170" s="4" t="s">
        <v>564</v>
      </c>
      <c r="C170" s="5">
        <v>31</v>
      </c>
      <c r="D170" s="5">
        <v>1198</v>
      </c>
      <c r="E170" t="s">
        <v>410</v>
      </c>
      <c r="F170">
        <v>5.3890000000000002</v>
      </c>
      <c r="G170" s="6">
        <v>44701</v>
      </c>
      <c r="H170" t="s">
        <v>882</v>
      </c>
      <c r="I170" s="10">
        <v>42949</v>
      </c>
      <c r="J170" s="10">
        <v>43184</v>
      </c>
      <c r="K170" s="5">
        <f t="shared" si="9"/>
        <v>235</v>
      </c>
      <c r="L170" s="47">
        <v>1</v>
      </c>
      <c r="M170" s="47">
        <v>78</v>
      </c>
      <c r="N170">
        <v>0.66666666666666696</v>
      </c>
      <c r="Q170" t="s">
        <v>565</v>
      </c>
      <c r="R170" s="5">
        <v>20</v>
      </c>
      <c r="S170" s="5">
        <v>11</v>
      </c>
      <c r="T170" s="7" t="s">
        <v>566</v>
      </c>
      <c r="U170" s="11">
        <v>2.335</v>
      </c>
      <c r="V170" s="9" t="s">
        <v>567</v>
      </c>
      <c r="W170" s="5" t="s">
        <v>5</v>
      </c>
      <c r="X170" s="5" t="s">
        <v>5</v>
      </c>
      <c r="Y170" s="8" t="s">
        <v>5</v>
      </c>
      <c r="Z170">
        <v>1</v>
      </c>
      <c r="AA170">
        <v>91</v>
      </c>
    </row>
    <row r="171" spans="1:27" x14ac:dyDescent="0.25">
      <c r="A171">
        <v>445</v>
      </c>
      <c r="B171" s="4" t="s">
        <v>568</v>
      </c>
      <c r="C171" s="5">
        <v>9</v>
      </c>
      <c r="D171" s="5">
        <v>512</v>
      </c>
      <c r="E171" t="s">
        <v>410</v>
      </c>
      <c r="F171">
        <v>5.3890000000000002</v>
      </c>
      <c r="G171" s="6">
        <v>44701</v>
      </c>
      <c r="H171" t="s">
        <v>883</v>
      </c>
      <c r="I171" s="10">
        <v>42022</v>
      </c>
      <c r="J171" s="10">
        <v>42795</v>
      </c>
      <c r="K171" s="5">
        <f t="shared" si="9"/>
        <v>773</v>
      </c>
      <c r="L171" s="47">
        <v>0</v>
      </c>
      <c r="M171" s="47">
        <v>379</v>
      </c>
      <c r="N171">
        <v>1</v>
      </c>
      <c r="Q171" t="s">
        <v>569</v>
      </c>
      <c r="R171" s="5">
        <v>144</v>
      </c>
      <c r="S171" s="5" t="s">
        <v>5</v>
      </c>
      <c r="T171" s="7" t="s">
        <v>216</v>
      </c>
      <c r="U171" s="8">
        <v>6.335</v>
      </c>
      <c r="V171" s="9" t="s">
        <v>570</v>
      </c>
      <c r="W171" s="10">
        <v>42444</v>
      </c>
      <c r="X171" s="10">
        <v>42745</v>
      </c>
      <c r="Y171" s="8">
        <f>X171-W171</f>
        <v>301</v>
      </c>
      <c r="Z171">
        <v>0</v>
      </c>
      <c r="AA171">
        <v>380</v>
      </c>
    </row>
    <row r="172" spans="1:27" x14ac:dyDescent="0.25">
      <c r="A172">
        <v>446</v>
      </c>
      <c r="B172" s="4" t="s">
        <v>571</v>
      </c>
      <c r="C172" s="5">
        <v>3</v>
      </c>
      <c r="D172" s="5">
        <v>11</v>
      </c>
      <c r="E172" t="s">
        <v>233</v>
      </c>
      <c r="F172">
        <v>3.254</v>
      </c>
      <c r="G172" s="6">
        <v>44701</v>
      </c>
      <c r="H172" t="s">
        <v>884</v>
      </c>
      <c r="I172" s="10">
        <v>43378</v>
      </c>
      <c r="J172" s="10">
        <v>43676</v>
      </c>
      <c r="K172" s="5">
        <f t="shared" si="9"/>
        <v>298</v>
      </c>
      <c r="L172" s="47">
        <v>1</v>
      </c>
      <c r="M172" s="47">
        <v>112</v>
      </c>
      <c r="N172">
        <v>0.375</v>
      </c>
      <c r="Q172" t="s">
        <v>572</v>
      </c>
      <c r="R172" s="5">
        <v>74</v>
      </c>
      <c r="S172" s="5">
        <v>0</v>
      </c>
      <c r="T172" s="7" t="s">
        <v>467</v>
      </c>
      <c r="U172" s="11">
        <v>2.125</v>
      </c>
      <c r="V172" s="9" t="s">
        <v>573</v>
      </c>
      <c r="W172" s="10">
        <v>43376</v>
      </c>
      <c r="X172" s="10">
        <v>43765</v>
      </c>
      <c r="Y172" s="8">
        <f>X172-W172</f>
        <v>389</v>
      </c>
      <c r="Z172">
        <v>0</v>
      </c>
      <c r="AA172">
        <v>160</v>
      </c>
    </row>
    <row r="173" spans="1:27" s="33" customFormat="1" x14ac:dyDescent="0.25">
      <c r="A173" s="33">
        <v>448</v>
      </c>
      <c r="B173" s="34" t="s">
        <v>574</v>
      </c>
      <c r="C173" s="35">
        <v>23</v>
      </c>
      <c r="D173" s="35">
        <v>3</v>
      </c>
      <c r="E173" s="33" t="s">
        <v>233</v>
      </c>
      <c r="F173" s="33">
        <v>3.254</v>
      </c>
      <c r="G173" s="36">
        <v>44888</v>
      </c>
      <c r="H173" s="33" t="s">
        <v>885</v>
      </c>
      <c r="I173" s="40">
        <v>42872</v>
      </c>
      <c r="J173" s="40">
        <v>43020</v>
      </c>
      <c r="K173" s="5">
        <f t="shared" si="9"/>
        <v>148</v>
      </c>
      <c r="L173" s="48">
        <v>1</v>
      </c>
      <c r="M173" s="48">
        <v>264</v>
      </c>
      <c r="N173" s="33">
        <v>0.33333333333333298</v>
      </c>
      <c r="Q173" s="33" t="s">
        <v>927</v>
      </c>
      <c r="R173" s="35">
        <v>12</v>
      </c>
      <c r="S173" s="35">
        <v>2</v>
      </c>
      <c r="T173" s="37" t="s">
        <v>233</v>
      </c>
      <c r="U173" s="38">
        <v>3.2410000000000001</v>
      </c>
      <c r="V173" s="41" t="s">
        <v>928</v>
      </c>
      <c r="W173" s="40">
        <v>42985</v>
      </c>
      <c r="X173" s="40">
        <v>43353</v>
      </c>
      <c r="Y173" s="44">
        <f>X173-W173</f>
        <v>368</v>
      </c>
      <c r="Z173" s="33">
        <v>1</v>
      </c>
      <c r="AA173" s="33">
        <v>69</v>
      </c>
    </row>
    <row r="174" spans="1:27" x14ac:dyDescent="0.25">
      <c r="A174">
        <v>449</v>
      </c>
      <c r="B174" s="4" t="s">
        <v>575</v>
      </c>
      <c r="C174" s="5">
        <v>5</v>
      </c>
      <c r="D174" s="5">
        <v>24</v>
      </c>
      <c r="E174" t="s">
        <v>233</v>
      </c>
      <c r="F174">
        <v>3.254</v>
      </c>
      <c r="G174" s="6">
        <v>44701</v>
      </c>
      <c r="H174" t="s">
        <v>886</v>
      </c>
      <c r="I174" s="10">
        <v>43546</v>
      </c>
      <c r="J174" s="10">
        <v>43698</v>
      </c>
      <c r="K174" s="5">
        <f t="shared" si="9"/>
        <v>152</v>
      </c>
      <c r="L174" s="47">
        <v>1</v>
      </c>
      <c r="M174" s="47">
        <v>101</v>
      </c>
      <c r="N174">
        <v>1</v>
      </c>
      <c r="Q174" t="s">
        <v>576</v>
      </c>
      <c r="R174" s="5">
        <v>0</v>
      </c>
      <c r="S174" s="5">
        <v>3</v>
      </c>
      <c r="T174" s="7" t="s">
        <v>216</v>
      </c>
      <c r="U174" s="8">
        <v>6.335</v>
      </c>
      <c r="V174" s="9" t="s">
        <v>577</v>
      </c>
      <c r="W174" s="10">
        <v>43255</v>
      </c>
      <c r="X174" s="10">
        <v>43535</v>
      </c>
      <c r="Y174" s="8">
        <f t="shared" ref="Y174:Y180" si="12">X174-W174</f>
        <v>280</v>
      </c>
      <c r="Z174">
        <v>0</v>
      </c>
      <c r="AA174">
        <v>87</v>
      </c>
    </row>
    <row r="175" spans="1:27" x14ac:dyDescent="0.25">
      <c r="A175">
        <v>451</v>
      </c>
      <c r="B175" s="4" t="s">
        <v>578</v>
      </c>
      <c r="C175" s="5">
        <v>0</v>
      </c>
      <c r="D175" s="5">
        <v>4</v>
      </c>
      <c r="E175" t="s">
        <v>233</v>
      </c>
      <c r="F175">
        <v>5.3890000000000002</v>
      </c>
      <c r="G175" s="6">
        <v>44701</v>
      </c>
      <c r="H175" t="s">
        <v>887</v>
      </c>
      <c r="I175" s="10">
        <v>43178</v>
      </c>
      <c r="J175" s="10">
        <v>43555</v>
      </c>
      <c r="K175" s="5">
        <f t="shared" si="9"/>
        <v>377</v>
      </c>
      <c r="L175" s="47">
        <v>0</v>
      </c>
      <c r="M175" s="47">
        <v>610</v>
      </c>
      <c r="N175">
        <v>0</v>
      </c>
      <c r="Q175" t="s">
        <v>579</v>
      </c>
      <c r="R175" s="5">
        <v>4</v>
      </c>
      <c r="S175" s="5">
        <v>0</v>
      </c>
      <c r="T175" s="7" t="s">
        <v>580</v>
      </c>
      <c r="U175" s="11">
        <v>2.54</v>
      </c>
      <c r="V175" s="9" t="s">
        <v>581</v>
      </c>
      <c r="W175" s="10">
        <v>43237</v>
      </c>
      <c r="X175" s="10">
        <v>43661</v>
      </c>
      <c r="Y175" s="8">
        <f t="shared" si="12"/>
        <v>424</v>
      </c>
      <c r="Z175">
        <v>0</v>
      </c>
      <c r="AA175">
        <v>248</v>
      </c>
    </row>
    <row r="176" spans="1:27" x14ac:dyDescent="0.25">
      <c r="A176">
        <v>452</v>
      </c>
      <c r="B176" s="4" t="s">
        <v>582</v>
      </c>
      <c r="C176" s="5">
        <v>11</v>
      </c>
      <c r="D176" s="5">
        <v>1</v>
      </c>
      <c r="E176" t="s">
        <v>284</v>
      </c>
      <c r="F176">
        <v>1.38</v>
      </c>
      <c r="G176" s="6">
        <v>44701</v>
      </c>
      <c r="H176" t="s">
        <v>888</v>
      </c>
      <c r="I176" s="10">
        <v>43068</v>
      </c>
      <c r="J176" s="10">
        <v>43120</v>
      </c>
      <c r="K176" s="5">
        <f t="shared" si="9"/>
        <v>52</v>
      </c>
      <c r="L176" s="47">
        <v>1</v>
      </c>
      <c r="M176" s="47">
        <v>499</v>
      </c>
      <c r="N176">
        <v>1</v>
      </c>
      <c r="Q176" t="s">
        <v>583</v>
      </c>
      <c r="R176" s="5">
        <v>2</v>
      </c>
      <c r="S176" s="5">
        <v>2</v>
      </c>
      <c r="T176" s="7" t="s">
        <v>258</v>
      </c>
      <c r="U176" s="11">
        <v>3.9980000000000002</v>
      </c>
      <c r="V176" s="9" t="s">
        <v>584</v>
      </c>
      <c r="W176" s="10">
        <v>42857</v>
      </c>
      <c r="X176" s="10">
        <v>43214</v>
      </c>
      <c r="Y176" s="8">
        <f t="shared" si="12"/>
        <v>357</v>
      </c>
      <c r="Z176">
        <v>0</v>
      </c>
      <c r="AA176">
        <v>42</v>
      </c>
    </row>
    <row r="177" spans="1:32" x14ac:dyDescent="0.25">
      <c r="A177">
        <v>453</v>
      </c>
      <c r="B177" s="4" t="s">
        <v>585</v>
      </c>
      <c r="C177" s="5">
        <v>33</v>
      </c>
      <c r="D177" s="5">
        <v>5</v>
      </c>
      <c r="E177" t="s">
        <v>378</v>
      </c>
      <c r="F177">
        <v>4.3849999999999998</v>
      </c>
      <c r="G177" s="6">
        <v>44701</v>
      </c>
      <c r="H177" t="s">
        <v>889</v>
      </c>
      <c r="I177" s="10" t="s">
        <v>5</v>
      </c>
      <c r="J177" s="10" t="s">
        <v>5</v>
      </c>
      <c r="K177" s="5" t="s">
        <v>5</v>
      </c>
      <c r="L177" s="47">
        <v>1</v>
      </c>
      <c r="M177" s="47">
        <v>177</v>
      </c>
      <c r="N177">
        <v>0.6</v>
      </c>
      <c r="Q177" t="s">
        <v>586</v>
      </c>
      <c r="R177" s="5">
        <v>24</v>
      </c>
      <c r="S177" s="5">
        <v>184</v>
      </c>
      <c r="T177" s="7" t="s">
        <v>587</v>
      </c>
      <c r="U177" s="11">
        <v>2.9609999999999999</v>
      </c>
      <c r="V177" s="9" t="s">
        <v>588</v>
      </c>
      <c r="W177" s="10">
        <v>43266</v>
      </c>
      <c r="X177" s="10">
        <v>43407</v>
      </c>
      <c r="Y177" s="8">
        <f t="shared" si="12"/>
        <v>141</v>
      </c>
      <c r="Z177">
        <v>1</v>
      </c>
      <c r="AA177">
        <v>162</v>
      </c>
    </row>
    <row r="178" spans="1:32" x14ac:dyDescent="0.25">
      <c r="A178">
        <v>455</v>
      </c>
      <c r="B178" s="4" t="s">
        <v>589</v>
      </c>
      <c r="C178" s="5">
        <v>4</v>
      </c>
      <c r="D178" s="5">
        <v>30</v>
      </c>
      <c r="E178" t="s">
        <v>410</v>
      </c>
      <c r="F178">
        <v>5.3890000000000002</v>
      </c>
      <c r="G178" t="s">
        <v>640</v>
      </c>
      <c r="H178" t="s">
        <v>890</v>
      </c>
      <c r="I178" s="10">
        <v>43423</v>
      </c>
      <c r="J178" s="10">
        <v>43539</v>
      </c>
      <c r="K178" s="5">
        <f t="shared" si="9"/>
        <v>116</v>
      </c>
      <c r="L178" s="47">
        <v>1</v>
      </c>
      <c r="M178" s="47">
        <v>490</v>
      </c>
      <c r="N178">
        <v>0.66666666666666696</v>
      </c>
      <c r="Q178" t="s">
        <v>668</v>
      </c>
      <c r="R178" s="5">
        <v>76</v>
      </c>
      <c r="S178" s="5">
        <v>248</v>
      </c>
      <c r="T178" s="7" t="s">
        <v>669</v>
      </c>
      <c r="U178" s="11">
        <v>9.4120000000000008</v>
      </c>
      <c r="V178" s="26" t="s">
        <v>703</v>
      </c>
      <c r="W178" s="10">
        <v>42346</v>
      </c>
      <c r="X178" s="10">
        <v>42443</v>
      </c>
      <c r="Y178" s="8">
        <f t="shared" si="12"/>
        <v>97</v>
      </c>
      <c r="Z178">
        <v>0</v>
      </c>
      <c r="AA178">
        <v>21</v>
      </c>
    </row>
    <row r="179" spans="1:32" x14ac:dyDescent="0.25">
      <c r="A179">
        <v>457</v>
      </c>
      <c r="B179" s="4" t="s">
        <v>590</v>
      </c>
      <c r="C179" s="5">
        <v>20</v>
      </c>
      <c r="D179" s="5">
        <v>15</v>
      </c>
      <c r="E179" t="s">
        <v>780</v>
      </c>
      <c r="F179">
        <v>3.7269999999999999</v>
      </c>
      <c r="G179" s="6">
        <v>44701</v>
      </c>
      <c r="H179" t="s">
        <v>891</v>
      </c>
      <c r="I179" s="10">
        <v>43011</v>
      </c>
      <c r="J179" s="10">
        <v>43075</v>
      </c>
      <c r="K179" s="5">
        <f t="shared" si="9"/>
        <v>64</v>
      </c>
      <c r="L179" s="47">
        <v>1</v>
      </c>
      <c r="M179" s="47">
        <v>60</v>
      </c>
      <c r="N179">
        <v>0.1</v>
      </c>
      <c r="Q179" t="s">
        <v>591</v>
      </c>
      <c r="R179" s="5">
        <v>18</v>
      </c>
      <c r="S179" s="5">
        <v>11</v>
      </c>
      <c r="T179" s="7" t="s">
        <v>314</v>
      </c>
      <c r="U179" s="11">
        <v>4.9660000000000002</v>
      </c>
      <c r="V179" s="9" t="s">
        <v>592</v>
      </c>
      <c r="W179" s="10">
        <v>42677</v>
      </c>
      <c r="X179" s="10">
        <v>42856</v>
      </c>
      <c r="Y179" s="8">
        <f t="shared" si="12"/>
        <v>179</v>
      </c>
      <c r="Z179">
        <v>0</v>
      </c>
      <c r="AA179">
        <v>28</v>
      </c>
    </row>
    <row r="180" spans="1:32" x14ac:dyDescent="0.25">
      <c r="A180">
        <v>458</v>
      </c>
      <c r="B180" s="4" t="s">
        <v>593</v>
      </c>
      <c r="C180" s="5">
        <v>8</v>
      </c>
      <c r="D180" s="5">
        <v>102</v>
      </c>
      <c r="E180" t="s">
        <v>410</v>
      </c>
      <c r="F180">
        <v>5.3890000000000002</v>
      </c>
      <c r="G180" s="6">
        <v>44701</v>
      </c>
      <c r="H180" t="s">
        <v>892</v>
      </c>
      <c r="I180" s="10">
        <v>43399</v>
      </c>
      <c r="J180" s="10">
        <v>43672</v>
      </c>
      <c r="K180" s="5">
        <f t="shared" si="9"/>
        <v>273</v>
      </c>
      <c r="L180" s="47">
        <v>0</v>
      </c>
      <c r="M180" s="47">
        <v>38</v>
      </c>
      <c r="N180">
        <v>1</v>
      </c>
      <c r="Q180" t="s">
        <v>594</v>
      </c>
      <c r="R180" s="5">
        <v>20</v>
      </c>
      <c r="S180" s="5">
        <v>2</v>
      </c>
      <c r="T180" s="7" t="s">
        <v>595</v>
      </c>
      <c r="U180" s="11">
        <v>5.9020000000000001</v>
      </c>
      <c r="V180" s="9" t="s">
        <v>596</v>
      </c>
      <c r="W180" s="10">
        <v>43330</v>
      </c>
      <c r="X180" s="10">
        <v>43435</v>
      </c>
      <c r="Y180" s="8">
        <f t="shared" si="12"/>
        <v>105</v>
      </c>
      <c r="Z180">
        <v>0</v>
      </c>
      <c r="AA180">
        <v>20</v>
      </c>
    </row>
    <row r="181" spans="1:32" x14ac:dyDescent="0.25">
      <c r="A181">
        <v>459</v>
      </c>
      <c r="B181" s="4" t="s">
        <v>597</v>
      </c>
      <c r="C181" s="5">
        <v>19</v>
      </c>
      <c r="D181" s="5">
        <v>66</v>
      </c>
      <c r="E181" t="s">
        <v>233</v>
      </c>
      <c r="F181">
        <v>3.254</v>
      </c>
      <c r="G181" s="6">
        <v>44701</v>
      </c>
      <c r="H181" t="s">
        <v>893</v>
      </c>
      <c r="I181" s="10">
        <v>43140</v>
      </c>
      <c r="J181" s="10">
        <v>43432</v>
      </c>
      <c r="K181" s="5">
        <f t="shared" si="9"/>
        <v>292</v>
      </c>
      <c r="L181" s="47">
        <v>1</v>
      </c>
      <c r="M181" s="47">
        <v>243</v>
      </c>
      <c r="N181">
        <v>0.16666666666666699</v>
      </c>
      <c r="Q181" t="s">
        <v>598</v>
      </c>
      <c r="R181" s="5">
        <v>0</v>
      </c>
      <c r="S181" s="5">
        <v>0</v>
      </c>
      <c r="T181" s="7" t="s">
        <v>599</v>
      </c>
      <c r="U181" s="11">
        <v>1.452</v>
      </c>
      <c r="V181" s="9" t="s">
        <v>600</v>
      </c>
      <c r="W181" s="5" t="s">
        <v>5</v>
      </c>
      <c r="X181" s="5" t="s">
        <v>5</v>
      </c>
      <c r="Y181" s="8" t="s">
        <v>5</v>
      </c>
      <c r="Z181">
        <v>0</v>
      </c>
      <c r="AA181">
        <v>49</v>
      </c>
    </row>
    <row r="182" spans="1:32" x14ac:dyDescent="0.25">
      <c r="A182">
        <v>462</v>
      </c>
      <c r="B182" s="4" t="s">
        <v>601</v>
      </c>
      <c r="C182" s="5">
        <v>3</v>
      </c>
      <c r="D182" s="5">
        <v>1</v>
      </c>
      <c r="E182" t="s">
        <v>233</v>
      </c>
      <c r="F182">
        <v>3.254</v>
      </c>
      <c r="G182" s="6">
        <v>44701</v>
      </c>
      <c r="H182" t="s">
        <v>894</v>
      </c>
      <c r="I182" s="10">
        <v>43258</v>
      </c>
      <c r="J182" s="10">
        <v>43512</v>
      </c>
      <c r="K182" s="5">
        <f t="shared" si="9"/>
        <v>254</v>
      </c>
      <c r="L182" s="47">
        <v>1</v>
      </c>
      <c r="M182" s="47">
        <v>106</v>
      </c>
      <c r="N182">
        <v>1</v>
      </c>
      <c r="Q182" t="s">
        <v>602</v>
      </c>
      <c r="R182" s="5">
        <v>7</v>
      </c>
      <c r="S182" s="5">
        <v>1</v>
      </c>
      <c r="T182" s="7" t="s">
        <v>603</v>
      </c>
      <c r="U182" s="11" t="s">
        <v>5</v>
      </c>
      <c r="V182" s="9" t="s">
        <v>604</v>
      </c>
      <c r="W182" s="10">
        <v>43103</v>
      </c>
      <c r="X182" s="10">
        <v>43261</v>
      </c>
      <c r="Y182" s="8">
        <f>X182-W182</f>
        <v>158</v>
      </c>
      <c r="Z182">
        <v>0</v>
      </c>
      <c r="AA182">
        <v>74</v>
      </c>
    </row>
    <row r="183" spans="1:32" s="33" customFormat="1" x14ac:dyDescent="0.25">
      <c r="A183" s="33">
        <v>463</v>
      </c>
      <c r="B183" s="34" t="s">
        <v>605</v>
      </c>
      <c r="C183" s="35">
        <v>8</v>
      </c>
      <c r="D183" s="35">
        <v>15</v>
      </c>
      <c r="E183" s="33" t="s">
        <v>410</v>
      </c>
      <c r="F183" s="33">
        <v>5.3890000000000002</v>
      </c>
      <c r="G183" s="36">
        <v>44888</v>
      </c>
      <c r="H183" s="33" t="s">
        <v>895</v>
      </c>
      <c r="I183" s="40">
        <v>42853</v>
      </c>
      <c r="J183" s="40">
        <v>43597</v>
      </c>
      <c r="K183" s="5">
        <f t="shared" si="9"/>
        <v>744</v>
      </c>
      <c r="L183" s="48">
        <v>0</v>
      </c>
      <c r="M183" s="48">
        <v>180</v>
      </c>
      <c r="N183" s="33">
        <v>0.71428571428571397</v>
      </c>
      <c r="Q183" s="33" t="s">
        <v>41</v>
      </c>
      <c r="R183" s="35">
        <v>0</v>
      </c>
      <c r="S183" s="35">
        <v>0</v>
      </c>
      <c r="T183" s="37" t="s">
        <v>42</v>
      </c>
      <c r="U183" s="38">
        <v>2.0670000000000002</v>
      </c>
      <c r="V183" s="41" t="s">
        <v>43</v>
      </c>
      <c r="W183" s="40">
        <v>43489</v>
      </c>
      <c r="X183" s="40">
        <v>43566</v>
      </c>
      <c r="Y183" s="42">
        <f>X183-W183</f>
        <v>77</v>
      </c>
      <c r="Z183" s="33">
        <v>1</v>
      </c>
      <c r="AA183" s="33">
        <v>24</v>
      </c>
    </row>
    <row r="184" spans="1:32" x14ac:dyDescent="0.25">
      <c r="A184">
        <v>464</v>
      </c>
      <c r="B184" s="4" t="s">
        <v>606</v>
      </c>
      <c r="C184" s="5">
        <v>15</v>
      </c>
      <c r="D184" s="5">
        <v>28</v>
      </c>
      <c r="E184" t="s">
        <v>410</v>
      </c>
      <c r="F184">
        <v>5.3890000000000002</v>
      </c>
      <c r="G184" s="6">
        <v>44701</v>
      </c>
      <c r="H184" t="s">
        <v>896</v>
      </c>
      <c r="I184" s="10">
        <v>42727</v>
      </c>
      <c r="J184" s="10">
        <v>43013</v>
      </c>
      <c r="K184" s="5">
        <f t="shared" si="9"/>
        <v>286</v>
      </c>
      <c r="L184" s="47">
        <v>1</v>
      </c>
      <c r="M184" s="47">
        <v>317</v>
      </c>
      <c r="N184">
        <v>0.8</v>
      </c>
      <c r="Q184" t="s">
        <v>607</v>
      </c>
      <c r="R184" s="5">
        <v>9</v>
      </c>
      <c r="S184" s="5">
        <v>14</v>
      </c>
      <c r="T184" s="7" t="s">
        <v>100</v>
      </c>
      <c r="U184" s="11">
        <v>2.8079999999999998</v>
      </c>
      <c r="V184" s="9" t="s">
        <v>608</v>
      </c>
      <c r="W184" s="5" t="s">
        <v>5</v>
      </c>
      <c r="X184" s="5" t="s">
        <v>5</v>
      </c>
      <c r="Y184" s="8" t="s">
        <v>5</v>
      </c>
      <c r="Z184">
        <v>1</v>
      </c>
      <c r="AA184">
        <v>83</v>
      </c>
    </row>
    <row r="185" spans="1:32" x14ac:dyDescent="0.25">
      <c r="A185">
        <v>465</v>
      </c>
      <c r="B185" s="4" t="s">
        <v>609</v>
      </c>
      <c r="C185" s="5">
        <v>22</v>
      </c>
      <c r="D185" s="5">
        <v>120</v>
      </c>
      <c r="E185" t="s">
        <v>360</v>
      </c>
      <c r="F185">
        <v>3.254</v>
      </c>
      <c r="G185" s="6">
        <v>44701</v>
      </c>
      <c r="H185" t="s">
        <v>897</v>
      </c>
      <c r="I185" s="10">
        <v>42745</v>
      </c>
      <c r="J185" s="10">
        <v>43025</v>
      </c>
      <c r="K185" s="5">
        <f t="shared" si="9"/>
        <v>280</v>
      </c>
      <c r="L185" s="47">
        <v>1</v>
      </c>
      <c r="M185" s="47">
        <v>128</v>
      </c>
      <c r="N185">
        <v>0.17647058823529399</v>
      </c>
      <c r="Q185" t="s">
        <v>610</v>
      </c>
      <c r="R185" s="5">
        <v>11</v>
      </c>
      <c r="S185" s="5">
        <v>30</v>
      </c>
      <c r="T185" s="7" t="s">
        <v>360</v>
      </c>
      <c r="U185" s="8">
        <v>3.294</v>
      </c>
      <c r="V185" s="9" t="s">
        <v>611</v>
      </c>
      <c r="W185" s="10">
        <v>42576</v>
      </c>
      <c r="X185" s="10">
        <v>43066</v>
      </c>
      <c r="Y185" s="8">
        <f>X185-W185</f>
        <v>490</v>
      </c>
      <c r="Z185">
        <v>0</v>
      </c>
      <c r="AA185">
        <v>18</v>
      </c>
    </row>
    <row r="186" spans="1:32" s="45" customFormat="1" x14ac:dyDescent="0.25">
      <c r="A186" s="33">
        <v>466</v>
      </c>
      <c r="B186" s="34" t="s">
        <v>612</v>
      </c>
      <c r="C186" s="35">
        <v>3</v>
      </c>
      <c r="D186" s="35">
        <v>15</v>
      </c>
      <c r="E186" s="33" t="s">
        <v>233</v>
      </c>
      <c r="F186" s="33">
        <v>3.254</v>
      </c>
      <c r="G186" s="36">
        <v>44888</v>
      </c>
      <c r="H186" s="33" t="s">
        <v>898</v>
      </c>
      <c r="I186" s="40">
        <v>43405</v>
      </c>
      <c r="J186" s="40">
        <v>43677</v>
      </c>
      <c r="K186" s="5">
        <f t="shared" si="9"/>
        <v>272</v>
      </c>
      <c r="L186" s="48">
        <v>0</v>
      </c>
      <c r="M186" s="48">
        <v>508</v>
      </c>
      <c r="N186" s="33">
        <v>0</v>
      </c>
      <c r="O186" s="33"/>
      <c r="P186" s="33"/>
      <c r="Q186" s="33" t="s">
        <v>929</v>
      </c>
      <c r="R186" s="35">
        <v>14</v>
      </c>
      <c r="S186" s="35">
        <v>3</v>
      </c>
      <c r="T186" s="37" t="s">
        <v>42</v>
      </c>
      <c r="U186" s="42">
        <v>2.0670000000000002</v>
      </c>
      <c r="V186" s="41" t="s">
        <v>930</v>
      </c>
      <c r="W186" s="40">
        <v>43281</v>
      </c>
      <c r="X186" s="40">
        <v>43445</v>
      </c>
      <c r="Y186" s="42">
        <f>X186-W186</f>
        <v>164</v>
      </c>
      <c r="Z186" s="33">
        <v>0</v>
      </c>
      <c r="AA186" s="33">
        <v>105</v>
      </c>
      <c r="AB186" s="33"/>
      <c r="AC186" s="33"/>
      <c r="AD186" s="33"/>
      <c r="AE186" s="33"/>
      <c r="AF186" s="33"/>
    </row>
    <row r="187" spans="1:32" x14ac:dyDescent="0.25">
      <c r="A187">
        <v>470</v>
      </c>
      <c r="B187" s="4" t="s">
        <v>614</v>
      </c>
      <c r="C187" s="5">
        <v>13</v>
      </c>
      <c r="D187" s="5">
        <v>206</v>
      </c>
      <c r="E187" t="s">
        <v>410</v>
      </c>
      <c r="F187">
        <v>5.3890000000000002</v>
      </c>
      <c r="G187" s="6">
        <v>44701</v>
      </c>
      <c r="H187" t="s">
        <v>899</v>
      </c>
      <c r="I187" s="10">
        <v>42192</v>
      </c>
      <c r="J187" s="10">
        <v>42758</v>
      </c>
      <c r="K187" s="5">
        <f t="shared" si="9"/>
        <v>566</v>
      </c>
      <c r="L187" s="47">
        <v>1</v>
      </c>
      <c r="M187" s="47">
        <v>119</v>
      </c>
      <c r="N187">
        <v>0</v>
      </c>
      <c r="Q187" t="s">
        <v>615</v>
      </c>
      <c r="R187" s="5">
        <v>20</v>
      </c>
      <c r="S187" s="5">
        <v>0</v>
      </c>
      <c r="T187" s="7" t="s">
        <v>616</v>
      </c>
      <c r="U187" s="11" t="s">
        <v>5</v>
      </c>
      <c r="V187" s="9" t="s">
        <v>617</v>
      </c>
      <c r="W187" s="10">
        <v>42300</v>
      </c>
      <c r="X187" s="10">
        <v>42374</v>
      </c>
      <c r="Y187" s="8">
        <f>X187-W187</f>
        <v>74</v>
      </c>
      <c r="Z187">
        <v>0</v>
      </c>
      <c r="AA187">
        <v>483</v>
      </c>
    </row>
    <row r="188" spans="1:32" x14ac:dyDescent="0.25">
      <c r="A188">
        <v>471</v>
      </c>
      <c r="B188" s="4" t="s">
        <v>618</v>
      </c>
      <c r="C188" s="5">
        <v>19</v>
      </c>
      <c r="D188" s="5">
        <v>12</v>
      </c>
      <c r="E188" t="s">
        <v>410</v>
      </c>
      <c r="F188">
        <v>5.3890000000000002</v>
      </c>
      <c r="G188" t="s">
        <v>640</v>
      </c>
      <c r="H188" t="s">
        <v>900</v>
      </c>
      <c r="I188" s="10">
        <v>42824</v>
      </c>
      <c r="J188" s="10">
        <v>43154</v>
      </c>
      <c r="K188" s="5">
        <f t="shared" si="9"/>
        <v>330</v>
      </c>
      <c r="L188" s="47">
        <v>0</v>
      </c>
      <c r="M188" s="47">
        <v>62</v>
      </c>
      <c r="N188">
        <v>0.1</v>
      </c>
      <c r="Q188" t="s">
        <v>666</v>
      </c>
      <c r="R188" s="5">
        <v>12</v>
      </c>
      <c r="S188" s="5">
        <v>0</v>
      </c>
      <c r="T188" s="7" t="s">
        <v>360</v>
      </c>
      <c r="U188" s="11">
        <v>3.294</v>
      </c>
      <c r="V188" s="9" t="s">
        <v>667</v>
      </c>
      <c r="W188" s="10">
        <v>43038</v>
      </c>
      <c r="X188" s="10">
        <v>43137</v>
      </c>
      <c r="Y188" s="8">
        <f>X188-W188</f>
        <v>99</v>
      </c>
      <c r="Z188">
        <v>0</v>
      </c>
      <c r="AA188">
        <v>358</v>
      </c>
    </row>
    <row r="189" spans="1:32" x14ac:dyDescent="0.25">
      <c r="A189">
        <v>475</v>
      </c>
      <c r="B189" s="4" t="s">
        <v>619</v>
      </c>
      <c r="C189" s="5">
        <v>9</v>
      </c>
      <c r="D189" s="5">
        <v>5</v>
      </c>
      <c r="E189" t="s">
        <v>378</v>
      </c>
      <c r="F189">
        <v>4.3849999999999998</v>
      </c>
      <c r="G189" s="6">
        <v>44701</v>
      </c>
      <c r="H189" t="s">
        <v>901</v>
      </c>
      <c r="I189" s="10" t="s">
        <v>5</v>
      </c>
      <c r="J189" s="10" t="s">
        <v>5</v>
      </c>
      <c r="K189" s="5" t="s">
        <v>5</v>
      </c>
      <c r="L189" s="47">
        <v>1</v>
      </c>
      <c r="M189" s="47">
        <v>580</v>
      </c>
      <c r="N189">
        <v>0.71428571428571397</v>
      </c>
      <c r="Q189" t="s">
        <v>620</v>
      </c>
      <c r="R189" s="5">
        <v>12</v>
      </c>
      <c r="S189" s="5">
        <v>5</v>
      </c>
      <c r="T189" s="7" t="s">
        <v>392</v>
      </c>
      <c r="U189" s="8">
        <v>1.7150000000000001</v>
      </c>
      <c r="V189" s="9" t="s">
        <v>621</v>
      </c>
      <c r="W189" s="10">
        <v>43184</v>
      </c>
      <c r="X189" s="10">
        <v>43341</v>
      </c>
      <c r="Y189" s="8">
        <f>X189-W189</f>
        <v>157</v>
      </c>
      <c r="Z189">
        <v>0</v>
      </c>
      <c r="AA189">
        <v>368</v>
      </c>
    </row>
    <row r="190" spans="1:32" x14ac:dyDescent="0.25">
      <c r="A190">
        <v>476</v>
      </c>
      <c r="B190" s="4" t="s">
        <v>622</v>
      </c>
      <c r="C190" s="5">
        <v>43</v>
      </c>
      <c r="D190" s="5">
        <v>34</v>
      </c>
      <c r="E190" t="s">
        <v>233</v>
      </c>
      <c r="F190">
        <v>3.254</v>
      </c>
      <c r="G190" s="6">
        <v>44701</v>
      </c>
      <c r="H190" t="s">
        <v>902</v>
      </c>
      <c r="I190" s="10">
        <v>43157</v>
      </c>
      <c r="J190" s="10">
        <v>43305</v>
      </c>
      <c r="K190" s="5">
        <f t="shared" si="9"/>
        <v>148</v>
      </c>
      <c r="L190" s="47">
        <v>0</v>
      </c>
      <c r="M190" s="47">
        <v>1111</v>
      </c>
      <c r="N190">
        <v>0.25</v>
      </c>
      <c r="Q190" t="s">
        <v>623</v>
      </c>
      <c r="R190" s="5">
        <v>0</v>
      </c>
      <c r="S190" s="5">
        <v>9</v>
      </c>
      <c r="T190" s="7" t="s">
        <v>624</v>
      </c>
      <c r="U190" s="11">
        <v>0.96899999999999997</v>
      </c>
      <c r="V190" s="9" t="s">
        <v>625</v>
      </c>
      <c r="W190" s="5" t="s">
        <v>5</v>
      </c>
      <c r="X190" s="5" t="s">
        <v>5</v>
      </c>
      <c r="Y190" s="8" t="s">
        <v>5</v>
      </c>
      <c r="Z190">
        <v>0</v>
      </c>
      <c r="AA190">
        <v>583</v>
      </c>
    </row>
    <row r="191" spans="1:32" x14ac:dyDescent="0.25">
      <c r="A191">
        <v>478</v>
      </c>
      <c r="B191" s="4" t="s">
        <v>626</v>
      </c>
      <c r="C191" s="5">
        <v>39</v>
      </c>
      <c r="D191" s="5">
        <v>108</v>
      </c>
      <c r="E191" t="s">
        <v>410</v>
      </c>
      <c r="F191">
        <v>5.3890000000000002</v>
      </c>
      <c r="G191" s="6">
        <v>44701</v>
      </c>
      <c r="H191" t="s">
        <v>903</v>
      </c>
      <c r="I191" s="10">
        <v>42213</v>
      </c>
      <c r="J191" s="10">
        <v>42489</v>
      </c>
      <c r="K191" s="5">
        <f t="shared" si="9"/>
        <v>276</v>
      </c>
      <c r="L191" s="47">
        <v>0</v>
      </c>
      <c r="M191" s="47">
        <v>112</v>
      </c>
      <c r="N191">
        <v>0.5</v>
      </c>
      <c r="Q191" t="s">
        <v>627</v>
      </c>
      <c r="R191" s="5">
        <v>35</v>
      </c>
      <c r="S191" s="5">
        <v>2</v>
      </c>
      <c r="T191" s="7" t="s">
        <v>628</v>
      </c>
      <c r="U191" s="11">
        <v>0.82399999999999995</v>
      </c>
      <c r="V191" s="9" t="s">
        <v>629</v>
      </c>
      <c r="W191" s="5" t="s">
        <v>5</v>
      </c>
      <c r="X191" s="5" t="s">
        <v>5</v>
      </c>
      <c r="Y191" s="8" t="s">
        <v>5</v>
      </c>
      <c r="Z191">
        <v>0</v>
      </c>
      <c r="AA191">
        <v>75</v>
      </c>
    </row>
    <row r="192" spans="1:32" x14ac:dyDescent="0.25">
      <c r="A192">
        <v>479</v>
      </c>
      <c r="B192" s="4" t="s">
        <v>630</v>
      </c>
      <c r="C192" s="5">
        <v>10</v>
      </c>
      <c r="D192" s="5">
        <v>47</v>
      </c>
      <c r="E192" t="s">
        <v>233</v>
      </c>
      <c r="F192">
        <v>3.254</v>
      </c>
      <c r="G192" t="s">
        <v>640</v>
      </c>
      <c r="H192" t="s">
        <v>904</v>
      </c>
      <c r="I192" s="10">
        <v>43207</v>
      </c>
      <c r="J192" s="10">
        <v>43417</v>
      </c>
      <c r="K192" s="5">
        <f t="shared" si="9"/>
        <v>210</v>
      </c>
      <c r="L192" s="47">
        <v>1</v>
      </c>
      <c r="M192" s="47">
        <v>168</v>
      </c>
      <c r="N192">
        <v>1</v>
      </c>
      <c r="Q192" t="s">
        <v>670</v>
      </c>
      <c r="R192" s="5">
        <v>3</v>
      </c>
      <c r="S192" s="5">
        <v>9</v>
      </c>
      <c r="T192" s="7" t="s">
        <v>671</v>
      </c>
      <c r="U192" s="11" t="s">
        <v>5</v>
      </c>
      <c r="V192" s="9" t="s">
        <v>672</v>
      </c>
      <c r="W192" s="10">
        <v>43203</v>
      </c>
      <c r="X192" s="10">
        <v>43766</v>
      </c>
      <c r="Y192" s="8">
        <f>X192-W192</f>
        <v>563</v>
      </c>
      <c r="Z192">
        <v>0</v>
      </c>
      <c r="AA192">
        <v>126</v>
      </c>
    </row>
    <row r="193" spans="1:27" x14ac:dyDescent="0.25">
      <c r="A193">
        <v>480</v>
      </c>
      <c r="B193" s="4" t="s">
        <v>631</v>
      </c>
      <c r="C193" s="5">
        <v>6</v>
      </c>
      <c r="D193" s="5">
        <v>21</v>
      </c>
      <c r="E193" t="s">
        <v>410</v>
      </c>
      <c r="F193">
        <v>5.3890000000000002</v>
      </c>
      <c r="G193" s="6">
        <v>44701</v>
      </c>
      <c r="H193" t="s">
        <v>905</v>
      </c>
      <c r="I193" s="10">
        <v>43206</v>
      </c>
      <c r="J193" s="10">
        <v>43350</v>
      </c>
      <c r="K193" s="5">
        <f t="shared" si="9"/>
        <v>144</v>
      </c>
      <c r="L193" s="47">
        <v>0</v>
      </c>
      <c r="M193" s="47">
        <v>24</v>
      </c>
      <c r="N193">
        <v>0.5</v>
      </c>
      <c r="Q193" t="s">
        <v>632</v>
      </c>
      <c r="R193" s="5">
        <v>3</v>
      </c>
      <c r="S193" s="5">
        <v>14</v>
      </c>
      <c r="T193" s="7" t="s">
        <v>633</v>
      </c>
      <c r="U193" s="11">
        <v>2.145</v>
      </c>
      <c r="V193" s="9" t="s">
        <v>634</v>
      </c>
      <c r="W193" s="5" t="s">
        <v>5</v>
      </c>
      <c r="X193" s="5" t="s">
        <v>5</v>
      </c>
      <c r="Y193" s="8" t="s">
        <v>5</v>
      </c>
      <c r="Z193">
        <v>0</v>
      </c>
      <c r="AA193">
        <v>10</v>
      </c>
    </row>
    <row r="194" spans="1:27" x14ac:dyDescent="0.25">
      <c r="A194">
        <v>481</v>
      </c>
      <c r="B194" s="4" t="s">
        <v>635</v>
      </c>
      <c r="C194" s="5">
        <v>3</v>
      </c>
      <c r="D194" s="5">
        <v>99</v>
      </c>
      <c r="E194" t="s">
        <v>410</v>
      </c>
      <c r="F194">
        <v>5.3890000000000002</v>
      </c>
      <c r="G194" s="6">
        <v>44701</v>
      </c>
      <c r="H194" t="s">
        <v>906</v>
      </c>
      <c r="I194" s="10">
        <v>43203</v>
      </c>
      <c r="J194" s="10">
        <v>43418</v>
      </c>
      <c r="K194" s="5">
        <f t="shared" si="9"/>
        <v>215</v>
      </c>
      <c r="L194" s="47">
        <v>0</v>
      </c>
      <c r="M194" s="47">
        <v>200</v>
      </c>
      <c r="N194">
        <v>0.5</v>
      </c>
      <c r="Q194" t="s">
        <v>636</v>
      </c>
      <c r="R194" s="5">
        <v>20</v>
      </c>
      <c r="S194" s="5">
        <v>55</v>
      </c>
      <c r="T194" s="7" t="s">
        <v>62</v>
      </c>
      <c r="U194" s="8">
        <v>3.169</v>
      </c>
      <c r="V194" s="9" t="s">
        <v>637</v>
      </c>
      <c r="W194" s="10">
        <v>42767</v>
      </c>
      <c r="X194" s="10">
        <v>43381</v>
      </c>
      <c r="Y194" s="8">
        <f>X194-W194</f>
        <v>614</v>
      </c>
      <c r="Z194">
        <v>1</v>
      </c>
      <c r="AA194">
        <v>264</v>
      </c>
    </row>
    <row r="195" spans="1:27" x14ac:dyDescent="0.25">
      <c r="E195"/>
      <c r="F195"/>
      <c r="H195" s="6"/>
      <c r="I195" s="10"/>
    </row>
    <row r="196" spans="1:27" x14ac:dyDescent="0.25">
      <c r="E196"/>
      <c r="F196"/>
      <c r="H196" s="6"/>
      <c r="I196" s="10"/>
    </row>
    <row r="197" spans="1:27" x14ac:dyDescent="0.25">
      <c r="E197"/>
      <c r="F197"/>
      <c r="H197" s="6"/>
      <c r="I197" s="10"/>
    </row>
    <row r="198" spans="1:27" x14ac:dyDescent="0.25">
      <c r="E198"/>
      <c r="F198"/>
      <c r="H198" s="6"/>
      <c r="I198" s="10"/>
    </row>
  </sheetData>
  <sortState xmlns:xlrd2="http://schemas.microsoft.com/office/spreadsheetml/2017/richdata2" ref="A2:AD194">
    <sortCondition ref="A2:A194"/>
  </sortState>
  <hyperlinks>
    <hyperlink ref="V2" r:id="rId1" xr:uid="{6441A532-A99D-4F2F-8497-BA8E5447A62B}"/>
    <hyperlink ref="V3" r:id="rId2" xr:uid="{0FE30020-23DD-43D5-8C34-505ED2D5C7BF}"/>
    <hyperlink ref="V4" r:id="rId3" xr:uid="{4475E99A-F927-4A12-BC11-67F75FBB3F7B}"/>
    <hyperlink ref="V6" r:id="rId4" xr:uid="{DA0DF533-3031-4447-8C0D-D1A7CDD22A46}"/>
    <hyperlink ref="V7" r:id="rId5" xr:uid="{8B5E241D-B2BB-4C61-B16F-07AA90C266DA}"/>
    <hyperlink ref="V8" r:id="rId6" xr:uid="{04756F3F-A6C1-4BBB-8144-90B7A9B4703F}"/>
    <hyperlink ref="V9" r:id="rId7" xr:uid="{42188CA8-7BD8-4DE7-B110-A716FA7013F9}"/>
    <hyperlink ref="V11" r:id="rId8" xr:uid="{F6A63813-B1FF-4D4B-97A7-AF05F0A7BE4A}"/>
    <hyperlink ref="V13" r:id="rId9" xr:uid="{D7E8826B-5042-43C7-A3E7-082C83B8C792}"/>
    <hyperlink ref="V15" r:id="rId10" xr:uid="{77D147EA-A7C5-427C-8DB1-82707DA03A0D}"/>
    <hyperlink ref="V16" r:id="rId11" xr:uid="{7FC77F78-A872-4A6C-9DF7-48493C55694D}"/>
    <hyperlink ref="V12" r:id="rId12" xr:uid="{791A7DA6-232C-404E-B66F-4425A61B3B3F}"/>
    <hyperlink ref="V17" r:id="rId13" xr:uid="{3B561123-6D7D-47CF-AB59-FF83E1BFD82B}"/>
    <hyperlink ref="V18" r:id="rId14" xr:uid="{BB341CFF-D242-40F3-A5D7-BED574B3B6FF}"/>
    <hyperlink ref="V19" r:id="rId15" xr:uid="{D842E8C3-0CCC-4E1A-AB61-8AEB3412D707}"/>
    <hyperlink ref="V20" r:id="rId16" xr:uid="{A0AF72D2-FF6E-4D8D-97EF-CDFB180D76C1}"/>
    <hyperlink ref="V21" r:id="rId17" xr:uid="{28975CAE-977C-4E14-8321-40B4C1ED5E46}"/>
    <hyperlink ref="V23" r:id="rId18" xr:uid="{87B67240-4960-4CE1-8B3A-A228BB19DE10}"/>
    <hyperlink ref="V24" r:id="rId19" xr:uid="{3C92C11A-86D7-4A00-8ED2-CBD656819A05}"/>
    <hyperlink ref="V25" r:id="rId20" xr:uid="{D83DCC26-BC3A-42AD-AA39-BF8D7A424BC9}"/>
    <hyperlink ref="V26" r:id="rId21" xr:uid="{A4E1E30D-9078-4F2F-90FE-0CE5666629F6}"/>
    <hyperlink ref="V27" r:id="rId22" xr:uid="{9F6031D8-82D8-4545-B7ED-C90AFFE283BD}"/>
    <hyperlink ref="V28" r:id="rId23" xr:uid="{FB621C37-B0C7-4C99-8533-51A02471B1E9}"/>
    <hyperlink ref="V29" r:id="rId24" xr:uid="{84F79808-9BBF-4450-A69C-777E8EC18FD9}"/>
    <hyperlink ref="V30" r:id="rId25" xr:uid="{F7007A97-8A68-4594-880E-7B8F19FE9EBA}"/>
    <hyperlink ref="V31" r:id="rId26" xr:uid="{7233A8B3-EA2F-473A-8D71-0051746AAEED}"/>
    <hyperlink ref="V32" r:id="rId27" xr:uid="{1570BC23-0EBD-49C3-8E3F-0EE66CB96233}"/>
    <hyperlink ref="V34" r:id="rId28" xr:uid="{1C156DE0-4822-4718-A595-4E9F47D8BE44}"/>
    <hyperlink ref="V35" r:id="rId29" xr:uid="{01855821-67B6-46B1-9E98-50733BE44CDC}"/>
    <hyperlink ref="V36" r:id="rId30" xr:uid="{03BF51AB-EB02-4E6E-AEED-03A75E4A4C7E}"/>
    <hyperlink ref="V37" r:id="rId31" xr:uid="{6004A6A7-AC22-4815-A9AE-2AC4D8B1E9D0}"/>
    <hyperlink ref="V38" r:id="rId32" xr:uid="{54325250-1852-4433-8DCE-CC7D925FC216}"/>
    <hyperlink ref="V39" r:id="rId33" xr:uid="{2CF490D8-10E0-47B2-8CC0-F23956A9CE5B}"/>
    <hyperlink ref="V40" r:id="rId34" xr:uid="{F4398C66-D9A7-4930-863A-90EE9F1DC6BE}"/>
    <hyperlink ref="V41" r:id="rId35" xr:uid="{7F8F4BC8-95DE-435C-AF8B-EE5E7BEF373C}"/>
    <hyperlink ref="V42" r:id="rId36" xr:uid="{0813546B-B70C-4199-965C-CD87553E335F}"/>
    <hyperlink ref="V43" r:id="rId37" xr:uid="{73CB45EC-D9A0-4731-893B-BF90A0450481}"/>
    <hyperlink ref="V44" r:id="rId38" xr:uid="{B015F7E7-8B47-4FC5-BB22-86E934BDF9D4}"/>
    <hyperlink ref="V45" r:id="rId39" xr:uid="{56A53BFD-0E28-4AE2-8196-41CEA0AEB2B6}"/>
    <hyperlink ref="V46" r:id="rId40" xr:uid="{5F93C68A-ACAB-489D-A6BC-90B4ED092FB0}"/>
    <hyperlink ref="V47" r:id="rId41" xr:uid="{A960C254-40C5-43C9-A516-2FC6174A8539}"/>
    <hyperlink ref="V49" r:id="rId42" xr:uid="{4DFF5BB0-7B40-406A-842C-804B15064F54}"/>
    <hyperlink ref="V51" r:id="rId43" xr:uid="{B84F240B-2B22-4A15-8015-A4628FB6A9E7}"/>
    <hyperlink ref="V52" r:id="rId44" xr:uid="{27CF4315-1F6B-428D-BE8A-BF6A6711A842}"/>
    <hyperlink ref="V53" r:id="rId45" xr:uid="{1B808D18-5708-4F4E-A7E4-3525DE9E8C85}"/>
    <hyperlink ref="V54" r:id="rId46" xr:uid="{E3C08944-A46E-45D5-9A17-A403031D8744}"/>
    <hyperlink ref="V55" r:id="rId47" xr:uid="{E671C733-0F2A-45A2-99CE-543F42BF2A9D}"/>
    <hyperlink ref="V56" r:id="rId48" xr:uid="{30086612-E490-4D92-886A-413220D69B77}"/>
    <hyperlink ref="V57" r:id="rId49" xr:uid="{D6E9EA17-6CCF-4854-957B-8621F7AF1962}"/>
    <hyperlink ref="V58" r:id="rId50" xr:uid="{750AC102-662B-42EA-A348-E298CA12532E}"/>
    <hyperlink ref="V60" r:id="rId51" display="https://psycnet.apa.org/doi/10.1037/xge0000600" xr:uid="{8F475768-1923-451C-B1A5-7E53743AEE06}"/>
    <hyperlink ref="V61" r:id="rId52" xr:uid="{D8552BD4-91D2-4669-8BDE-14A1E0D30032}"/>
    <hyperlink ref="V62" r:id="rId53" xr:uid="{22C1DDAE-2E76-4BF0-BEBD-3B19A9289246}"/>
    <hyperlink ref="V63" r:id="rId54" xr:uid="{2A15E084-CF5B-431A-8F1C-E57DC71FFFC8}"/>
    <hyperlink ref="V64" r:id="rId55" xr:uid="{B1473004-BBEC-4671-8EFF-40D9D2BCFA33}"/>
    <hyperlink ref="V65" r:id="rId56" display="https://psycnet.apa.org/doi/10.1037/pspa0000151" xr:uid="{92757279-A692-481D-B97F-64BBF044FA18}"/>
    <hyperlink ref="V66" r:id="rId57" xr:uid="{7EEB1ADD-94C2-4007-8D2B-683D31C12F22}"/>
    <hyperlink ref="V67" r:id="rId58" xr:uid="{5C89EC9A-7051-418C-9B22-C3D0A0844A49}"/>
    <hyperlink ref="V68" r:id="rId59" xr:uid="{22F4CE47-5B28-44BC-86E1-A17C78286179}"/>
    <hyperlink ref="V69" r:id="rId60" tooltip="Persistent link using digital object identifier" display="https://doi-org.tilburguniversity.idm.oclc.org/10.1016/j.jesp.2017.12.003" xr:uid="{8F623092-18DB-4873-B6A9-3C936C2E332D}"/>
    <hyperlink ref="V71" r:id="rId61" xr:uid="{1AEDF35C-67D2-45CE-99E9-DC16B7AC8A7F}"/>
    <hyperlink ref="V73" r:id="rId62" xr:uid="{382199F3-AB54-44B5-B686-CFE768A9F273}"/>
    <hyperlink ref="V74" r:id="rId63" xr:uid="{E545D104-EA6C-4B57-8016-C9E9673398A6}"/>
    <hyperlink ref="V75" r:id="rId64" xr:uid="{B4D301A9-CCE6-43B1-805D-402BD526FBE7}"/>
    <hyperlink ref="V76" r:id="rId65" xr:uid="{F4F1B723-E244-4893-AD49-4D639A82E373}"/>
    <hyperlink ref="V78" r:id="rId66" tooltip="Persistent link using digital object identifier" display="https://doi-org.tilburguniversity.idm.oclc.org/10.1016/j.cogdev.2018.01.001" xr:uid="{9D4181BD-6DCE-45CF-A1E9-562CC3D83A35}"/>
    <hyperlink ref="V80" r:id="rId67" tooltip="Persistent link using digital object identifier" display="https://doi-org.tilburguniversity.idm.oclc.org/10.1016/j.concog.2018.11.006" xr:uid="{279A4197-0B8E-4591-9AAF-A975F6D08BE7}"/>
    <hyperlink ref="V81" r:id="rId68" tooltip="Persistent link using digital object identifier" display="https://doi-org.tilburguniversity.idm.oclc.org/10.1016/j.jesp.2015.05.004" xr:uid="{E899D660-9217-4175-A605-FE48EB3BA406}"/>
    <hyperlink ref="V82" r:id="rId69" tooltip="Persistent link using digital object identifier" display="https://doi-org.tilburguniversity.idm.oclc.org/10.1016/j.leaqua.2015.07.004" xr:uid="{58BECCBE-2FB2-486F-9DDD-0BC450F6908F}"/>
    <hyperlink ref="V83" r:id="rId70" display="https://doi.org/10.1177%2F2158244017712774" xr:uid="{B6C703B3-14F8-423B-BB95-39C6DF8172DA}"/>
    <hyperlink ref="V84" r:id="rId71" xr:uid="{749F8770-9CF9-49AB-86AE-00B934E83911}"/>
    <hyperlink ref="V85" r:id="rId72" tooltip="Persistent link using digital object identifier" display="https://doi-org.tilburguniversity.idm.oclc.org/10.1016/j.actpsy.2018.04.007" xr:uid="{06C7F362-607D-46F0-A741-9752DAEE57AC}"/>
    <hyperlink ref="V86" r:id="rId73" display="https://doi.org/10.1177%2F1747021818769259" xr:uid="{57CE6CA0-093E-44AC-B32F-99DD7F1C0E44}"/>
    <hyperlink ref="V87" r:id="rId74" xr:uid="{0B8095AE-DB7E-4CA9-B0EF-2F0EF29431B0}"/>
    <hyperlink ref="V89" r:id="rId75" tooltip="Persistent link using digital object identifier" display="https://doi-org.tilburguniversity.idm.oclc.org/10.1016/j.lindif.2018.03.006" xr:uid="{CCB26100-10B4-4BF8-8C74-6AC0A9B60F70}"/>
    <hyperlink ref="V90" r:id="rId76" xr:uid="{5F5E925B-0ED7-467F-94E9-5253DFAA383A}"/>
    <hyperlink ref="V92" r:id="rId77" xr:uid="{7884ED80-CABA-4DE0-8287-22E29AA7E2F2}"/>
    <hyperlink ref="V93" r:id="rId78" xr:uid="{8AB53708-0B2E-400C-88EF-2EA20DB2E3D8}"/>
    <hyperlink ref="V94" r:id="rId79" xr:uid="{911F766E-D9C8-47A9-B809-339E68CB65D2}"/>
    <hyperlink ref="V95" r:id="rId80" xr:uid="{3B97F521-2A72-4EF4-827F-FFF060DB263D}"/>
    <hyperlink ref="V97" r:id="rId81" xr:uid="{D2CF8305-9125-4454-95C4-24B8FF4303AC}"/>
    <hyperlink ref="V98" r:id="rId82" xr:uid="{3D62588C-4291-4EC6-AE02-2A6B092F4E38}"/>
    <hyperlink ref="V99" r:id="rId83" display="https://doi.apa.org/doi/10.1037/lhb0000181" xr:uid="{962A84D2-6EF1-458B-B48A-D5C5B5F48535}"/>
    <hyperlink ref="V100" r:id="rId84" xr:uid="{B48CFDFE-EE46-43B9-883D-CF55C01EB7D4}"/>
    <hyperlink ref="V101" r:id="rId85" xr:uid="{539FC8B2-A926-44EE-AF3C-AB81D6CC5AF4}"/>
    <hyperlink ref="V104" r:id="rId86" xr:uid="{824931A1-ADC5-450D-8A31-297FF72F0962}"/>
    <hyperlink ref="V105" r:id="rId87" xr:uid="{5A64BC06-34FB-46CE-AB70-FF9EFB927C89}"/>
    <hyperlink ref="V106" r:id="rId88" xr:uid="{42268C0D-E78F-4576-80A6-5F91B6C8B38F}"/>
    <hyperlink ref="V108" r:id="rId89" xr:uid="{1B5AB90E-5BDC-4A3A-8149-1168C1EB2A96}"/>
    <hyperlink ref="V109" r:id="rId90" tooltip="Persistent link using digital object identifier" xr:uid="{395215B9-2D71-457D-97BE-98AB4C051424}"/>
    <hyperlink ref="V112" r:id="rId91" display="https://doi.org/10.1177%2F0265407518809478" xr:uid="{8BDC59CF-1FCC-4AC3-9792-CF444E20C2C6}"/>
    <hyperlink ref="V113" r:id="rId92" xr:uid="{004A7528-1597-4FB2-83A6-8319BBC4F90D}"/>
    <hyperlink ref="V114" r:id="rId93" tooltip="Persistent link using digital object identifier" xr:uid="{C98497A2-4A3B-44D7-8321-6BB8409765FE}"/>
    <hyperlink ref="V115" r:id="rId94" display="https://doi.org/10.1177%2F1948550617722199" xr:uid="{78D590E1-3F97-493D-89D4-0A4F448AA969}"/>
    <hyperlink ref="V116" r:id="rId95" xr:uid="{8A9A0854-6C9D-460D-B760-6F9CFB146E20}"/>
    <hyperlink ref="V117" r:id="rId96" xr:uid="{51B45D73-BB59-48A4-AB9A-120B4E9B8C7D}"/>
    <hyperlink ref="V118" r:id="rId97" xr:uid="{CC8FF482-56E0-4358-ABBF-0867B03B3B6F}"/>
    <hyperlink ref="V119" r:id="rId98" xr:uid="{4B891E82-5626-4BD2-86CB-042EED58762D}"/>
    <hyperlink ref="V120" r:id="rId99" display="https://doi.apa.org/doi/10.1037/pspi0000169" xr:uid="{DD80CB79-39B0-4C13-84E9-F39E3951152A}"/>
    <hyperlink ref="V121" r:id="rId100" xr:uid="{041629A9-E410-406D-89B7-A2D956DFC710}"/>
    <hyperlink ref="V123" r:id="rId101" xr:uid="{D953B603-DE2E-47D1-806D-6BA58959BEC1}"/>
    <hyperlink ref="V124" r:id="rId102" tooltip="Persistent link using digital object identifier" xr:uid="{30800C24-D7A8-470D-AF86-813B3EEA9255}"/>
    <hyperlink ref="V125" r:id="rId103" display="https://doi.org/10.1177%2F0956797619849666" xr:uid="{D63BDF67-E88E-4878-9824-F70B6A841942}"/>
    <hyperlink ref="V126" r:id="rId104" xr:uid="{2F89F45E-F44F-4677-8602-FF50767997F0}"/>
    <hyperlink ref="V127" r:id="rId105" display="https://doi.org/10.1177%2F1948550618780728" xr:uid="{15EF721B-D02F-45D5-B264-12EE8853DA76}"/>
    <hyperlink ref="V128" r:id="rId106" xr:uid="{1C1DA85A-0E97-4AAB-B100-2C23C705E63D}"/>
    <hyperlink ref="V129" r:id="rId107" tooltip="Persistent link using digital object identifier" xr:uid="{B2A09ED9-A544-4585-A496-3BC086C827CD}"/>
    <hyperlink ref="V130" r:id="rId108" xr:uid="{79AB0ED6-7A70-4747-8406-5A220E394034}"/>
    <hyperlink ref="V131" r:id="rId109" tooltip="Persistent link using digital object identifier" xr:uid="{75CD9381-361A-42BC-994A-D1A70E87C470}"/>
    <hyperlink ref="V132" r:id="rId110" display="https://doi.apa.org/doi/10.1037/xlm0000352" xr:uid="{AA35F3BB-D534-431A-A0F0-1D314190D531}"/>
    <hyperlink ref="V133" r:id="rId111" xr:uid="{C81A7EDE-5B64-4017-AD50-48EF82168FE2}"/>
    <hyperlink ref="V134" r:id="rId112" xr:uid="{B94278C6-DCC5-4517-93C5-1F66997FDE6D}"/>
    <hyperlink ref="V135" r:id="rId113" xr:uid="{095FA284-CFC9-4541-97DF-4D5BB3BEB42B}"/>
    <hyperlink ref="V136" r:id="rId114" display="https://doi.org/10.5127%2Fjep.062317" xr:uid="{8072F09C-BBAE-4ABD-9424-657A914EA6CD}"/>
    <hyperlink ref="V137" r:id="rId115" xr:uid="{E5FB8B96-E8FD-4621-AC5D-43547FDEC4B5}"/>
    <hyperlink ref="V138" r:id="rId116" xr:uid="{633BB657-BFB8-42D2-BA14-7A29B2F8D667}"/>
    <hyperlink ref="V139" r:id="rId117" xr:uid="{FDEF9A22-AF14-4A5F-A794-28ED5ECF5E7D}"/>
    <hyperlink ref="V140" r:id="rId118" tooltip="Persistent link using digital object identifier" xr:uid="{EB685381-8E7F-48C6-85D3-D5C2C0FB9674}"/>
    <hyperlink ref="V141" r:id="rId119" xr:uid="{3EA197A6-579C-49BB-8F1B-429A745FB3D9}"/>
    <hyperlink ref="V142" r:id="rId120" xr:uid="{7DD5BACF-F0A8-4FA6-B14C-92AD34C22369}"/>
    <hyperlink ref="V143" r:id="rId121" display="https://doi.apa.org/doi/10.1037/pag0000161" xr:uid="{8F55F16E-CD86-4A48-8779-E89753B35DF4}"/>
    <hyperlink ref="V144" r:id="rId122" xr:uid="{2E887D1A-470C-4020-A4FB-0EAAF92D1A61}"/>
    <hyperlink ref="V145" r:id="rId123" tooltip="Persistent link using digital object identifier" xr:uid="{397255B7-E866-4020-9E7F-0EFD6A82E8DD}"/>
    <hyperlink ref="V146" r:id="rId124" xr:uid="{2D2DDF31-4135-4FCD-9162-49850721AB6F}"/>
    <hyperlink ref="V147" r:id="rId125" xr:uid="{4A6D9FEA-2079-4B29-BA14-94EA4F7A71D8}"/>
    <hyperlink ref="V148" r:id="rId126" tooltip="Persistent link using digital object identifier" xr:uid="{86A06D3E-1E31-4BDB-A04D-526F52D0A86C}"/>
    <hyperlink ref="V149" r:id="rId127" tooltip="Persistent link using digital object identifier" xr:uid="{A0B342E5-C55C-4F72-A050-CF421165D923}"/>
    <hyperlink ref="V150" r:id="rId128" tooltip="Persistent link using digital object identifier" xr:uid="{4063232F-651D-4D55-B9B5-BE41CC4E018B}"/>
    <hyperlink ref="V151" r:id="rId129" xr:uid="{DEB1E0BF-3D92-45B8-8046-39413062464C}"/>
    <hyperlink ref="V153" r:id="rId130" xr:uid="{1EAC8F37-BBD3-4DAE-9722-828991B4F9F7}"/>
    <hyperlink ref="V154" r:id="rId131" xr:uid="{97EBFD84-3442-4A61-8499-2578B2F13728}"/>
    <hyperlink ref="V155" r:id="rId132" display="https://doi.org/10.1177%2F0956797617741894" xr:uid="{9E19DA65-A192-40BC-B242-65F77F2B2BCE}"/>
    <hyperlink ref="V156" r:id="rId133" display="https://doi.apa.org/doi/10.1037/pspa0000136" xr:uid="{90AA6277-73A8-4A5E-A37D-412823BCC2C0}"/>
    <hyperlink ref="V157" r:id="rId134" xr:uid="{8CEDE7E4-94CF-41AB-ABC6-D681C445C3EE}"/>
    <hyperlink ref="V158" r:id="rId135" xr:uid="{281C6398-7D31-43F6-9E53-D15850CF3B91}"/>
    <hyperlink ref="V159" r:id="rId136" tooltip="Persistent link using digital object identifier" display="https://doi-org.tilburguniversity.idm.oclc.org/10.1016/j.jretai.2018.07.002" xr:uid="{D97838CC-6933-4868-8765-FFE47B6F1424}"/>
    <hyperlink ref="V160" r:id="rId137" display="https://doi.apa.org/doi/10.1037/pspa0000168" xr:uid="{C4AA1ED3-E413-4C85-A23D-0A994B78CC67}"/>
    <hyperlink ref="V152" r:id="rId138" display="https://psycnet.apa.org/doi/10.1037/xge0000482" xr:uid="{C3B94A8B-1743-454B-A2CA-DB786CB4A3BD}"/>
    <hyperlink ref="V161" r:id="rId139" display="https://psycnet.apa.org/doi/10.1007/s10648-016-9396-9" xr:uid="{51B66113-817D-44B9-B74F-AD2C57D0E960}"/>
    <hyperlink ref="V162" r:id="rId140" xr:uid="{B6768C66-9339-40DD-9883-B28389F3B896}"/>
    <hyperlink ref="V163" r:id="rId141" tooltip="Persistent link using digital object identifier" display="https://doi-org.tilburguniversity.idm.oclc.org/10.1016/j.bodyim.2016.10.009" xr:uid="{72168568-6FAA-41D0-A531-E23C8A17F0C1}"/>
    <hyperlink ref="V164" r:id="rId142" xr:uid="{F9596010-F20E-4852-BD80-339434A0BB60}"/>
    <hyperlink ref="V165" r:id="rId143" tooltip="Persistent link using digital object identifier" display="https://doi-org.tilburguniversity.idm.oclc.org/10.1016/j.obhdp.2018.07.001" xr:uid="{AC50684E-B886-4FB7-8983-B42CE72CE23E}"/>
    <hyperlink ref="V166" r:id="rId144" xr:uid="{F8CB704B-4B1E-4130-B0A8-46852B508C34}"/>
    <hyperlink ref="V167" r:id="rId145" xr:uid="{01C28015-368F-45B4-93FB-7D6DE8365707}"/>
    <hyperlink ref="V168" r:id="rId146" tooltip="Persistent link using digital object identifier" display="https://doi-org.tilburguniversity.idm.oclc.org/10.1016/j.jesp.2019.103853" xr:uid="{1E1462F8-DFE1-43E7-A8B6-22BB7C84379F}"/>
    <hyperlink ref="V169" r:id="rId147" display="https://psycnet.apa.org/doi/10.1037/pspi0000110" xr:uid="{65902A5F-9C31-491D-A275-AC1512A01874}"/>
    <hyperlink ref="V170" r:id="rId148" xr:uid="{FC425143-62A2-4188-975F-314DD19B5487}"/>
    <hyperlink ref="V171" r:id="rId149" xr:uid="{0956A46F-8117-459D-9D76-84E44DA8E182}"/>
    <hyperlink ref="V172" r:id="rId150" xr:uid="{8EC92D0E-3288-4485-9145-7A16F8D36EAD}"/>
    <hyperlink ref="V174" r:id="rId151" xr:uid="{65103446-DE80-4A75-B2E0-5502B6C123DE}"/>
    <hyperlink ref="V176" r:id="rId152" xr:uid="{D7D75341-25AD-431B-8B00-B445F6D20A5C}"/>
    <hyperlink ref="V175" r:id="rId153" tooltip="DOI: https://doi.org/10.1108/JRIM-05-2018-0065" xr:uid="{38A77C97-8529-4BF0-A7A4-7DEA98099077}"/>
    <hyperlink ref="V177" r:id="rId154" display="https://doi.org/10.1177%2F0146167218816327" xr:uid="{04D1A509-A415-43E3-856D-F6B0FF813D40}"/>
    <hyperlink ref="V179" r:id="rId155" tooltip="Persistent link using digital object identifier" display="https://doi-org.tilburguniversity.idm.oclc.org/10.1016/j.dcn.2017.05.001" xr:uid="{72B32065-17B7-4218-9036-00916B92328C}"/>
    <hyperlink ref="V180" r:id="rId156" xr:uid="{F86071E9-6BAF-4AC4-9B3C-0FFFFECE7C6D}"/>
    <hyperlink ref="V181" r:id="rId157" xr:uid="{2698A2A7-AB7F-4A04-B409-2F946A927907}"/>
    <hyperlink ref="V182" r:id="rId158" xr:uid="{91ACD816-F031-498F-8F29-885598557D87}"/>
    <hyperlink ref="V184" r:id="rId159" xr:uid="{D315811B-EC58-4326-8A29-5CD9A4C14ED5}"/>
    <hyperlink ref="V185" r:id="rId160" tooltip="Persistent link using digital object identifier" display="https://doi-org.tilburguniversity.idm.oclc.org/10.1016/j.cognition.2017.11.009" xr:uid="{B4B38D7C-51B5-4D0E-8889-A392A185C25F}"/>
    <hyperlink ref="V187" r:id="rId161" xr:uid="{E3F87B2E-5DDC-4C56-88E4-E2ACD89F458D}"/>
    <hyperlink ref="V189" r:id="rId162" xr:uid="{F387F210-90EA-4088-89F4-9B4D873B60B0}"/>
    <hyperlink ref="V190" r:id="rId163" xr:uid="{071B920C-2905-4F04-93A1-D3201C1EC996}"/>
    <hyperlink ref="V191" r:id="rId164" xr:uid="{AF0E8930-FE0D-4D61-8347-3FEC7AFA6820}"/>
    <hyperlink ref="V193" r:id="rId165" xr:uid="{F71C4F4D-C9AD-4A75-A01E-DFC80A26319D}"/>
    <hyperlink ref="V194" r:id="rId166" xr:uid="{DB6C2E38-F4ED-4290-8377-D2430A1D6625}"/>
    <hyperlink ref="V103" r:id="rId167" xr:uid="{68C61EF9-11C4-4147-846D-A90BA849E317}"/>
    <hyperlink ref="V48" r:id="rId168" xr:uid="{201AEC89-31D6-439F-8348-DFC3FFF93328}"/>
    <hyperlink ref="V5" r:id="rId169" display="https://doi.org/10.1177%2F0361684316674721" xr:uid="{0D847CCA-7B1A-46C2-BC04-461D30E1A9BF}"/>
    <hyperlink ref="V10" r:id="rId170" xr:uid="{146E5515-95B2-40AC-9622-D783328937D0}"/>
    <hyperlink ref="V14" r:id="rId171" xr:uid="{41038E11-90D1-4FCF-A0CD-B06710CB5C97}"/>
    <hyperlink ref="V79" r:id="rId172" xr:uid="{C7F51316-AD88-4B62-A6A4-6EC54AC14753}"/>
    <hyperlink ref="V77" r:id="rId173" xr:uid="{77943007-94A5-4F9E-B527-93D59D2FA2C6}"/>
    <hyperlink ref="V33" r:id="rId174" xr:uid="{376DC026-DC2B-4300-8DF8-A4335F2C6BF6}"/>
    <hyperlink ref="V70" r:id="rId175" xr:uid="{60FB3F15-5C8E-4711-B7AA-7A7034299508}"/>
    <hyperlink ref="V88" r:id="rId176" xr:uid="{634F956B-E855-42D1-8A7E-C4C4AC698576}"/>
    <hyperlink ref="V102" r:id="rId177" xr:uid="{4413B6E9-AA56-4CD0-8906-CB80F792F7C1}"/>
    <hyperlink ref="V110" r:id="rId178" xr:uid="{430175E4-5786-42AB-8332-D82DD8E336E9}"/>
    <hyperlink ref="V122" r:id="rId179" xr:uid="{C8212962-0385-463F-BE09-4FE358A12962}"/>
    <hyperlink ref="V111" r:id="rId180" xr:uid="{9F7EF35E-125A-487F-9A6E-CB60ED8B5FA3}"/>
    <hyperlink ref="V188" r:id="rId181" xr:uid="{9BD8ADB6-F330-46C9-B568-5EF108AA0C46}"/>
    <hyperlink ref="V178" r:id="rId182" xr:uid="{52B074CB-8F4F-4198-9BA8-82567B07059D}"/>
    <hyperlink ref="V192" r:id="rId183" xr:uid="{F7DA9413-C522-4F61-AAFD-EAD488B0759C}"/>
    <hyperlink ref="V50" r:id="rId184" xr:uid="{9771B94B-BDBC-4DD6-8509-79A0D3840FD9}"/>
    <hyperlink ref="V107" r:id="rId185" xr:uid="{C42FF674-7465-4C70-9D94-8174DE6A072F}"/>
    <hyperlink ref="V96" r:id="rId186" xr:uid="{CDF9CEF8-C4B6-42B5-B581-3140134105F6}"/>
    <hyperlink ref="V22" r:id="rId187" xr:uid="{D0436E98-A4C7-4730-AD60-2C86CE7B4FB8}"/>
    <hyperlink ref="V59" r:id="rId188" xr:uid="{4BCC84C3-1815-41E8-8290-906C5C9EA309}"/>
    <hyperlink ref="V72" r:id="rId189" xr:uid="{30A2A754-9258-45AA-AA6F-D59A62869442}"/>
    <hyperlink ref="V91" r:id="rId190" xr:uid="{981422AF-0F0F-4009-A1BE-A57890C2E0E3}"/>
    <hyperlink ref="V173" r:id="rId191" xr:uid="{610132F1-7A61-4A9D-A32F-5CB876763CA7}"/>
    <hyperlink ref="V183" r:id="rId192" xr:uid="{058AA0BA-D901-48B9-85BD-811A3569638A}"/>
    <hyperlink ref="V186" r:id="rId193" xr:uid="{38137B71-F448-40EC-86F7-77F435FD9994}"/>
  </hyperlinks>
  <pageMargins left="0.7" right="0.7" top="0.75" bottom="0.75" header="0.3" footer="0.3"/>
  <pageSetup paperSize="9" orientation="portrait" r:id="rId194"/>
  <drawing r:id="rId1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Tilburg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O.R. van den Akker</dc:creator>
  <cp:lastModifiedBy>O.R. van den Akker</cp:lastModifiedBy>
  <dcterms:created xsi:type="dcterms:W3CDTF">2022-11-14T16:40:45Z</dcterms:created>
  <dcterms:modified xsi:type="dcterms:W3CDTF">2022-11-25T20:31:23Z</dcterms:modified>
</cp:coreProperties>
</file>